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Project\marms\finance\"/>
    </mc:Choice>
  </mc:AlternateContent>
  <xr:revisionPtr revIDLastSave="0" documentId="13_ncr:1_{0D4AFE70-515F-4AE6-8C0C-E24A2A2EC5E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7" i="1" l="1"/>
  <c r="E34" i="1"/>
  <c r="E33" i="1"/>
  <c r="E32" i="1"/>
  <c r="K28" i="1"/>
  <c r="K27" i="1"/>
  <c r="K26" i="1"/>
  <c r="I26" i="1"/>
  <c r="K25" i="1"/>
  <c r="K24" i="1"/>
  <c r="K30" i="1" s="1"/>
  <c r="F24" i="1"/>
  <c r="C24" i="1"/>
  <c r="B21" i="1"/>
  <c r="I18" i="1"/>
  <c r="I16" i="1"/>
  <c r="C16" i="1"/>
  <c r="C14" i="1"/>
</calcChain>
</file>

<file path=xl/sharedStrings.xml><?xml version="1.0" encoding="utf-8"?>
<sst xmlns="http://schemas.openxmlformats.org/spreadsheetml/2006/main" count="40" uniqueCount="35">
  <si>
    <t xml:space="preserve">    PT. MARITIM ARMADA RAYA</t>
  </si>
  <si>
    <t xml:space="preserve">    Graha MIR Lt. 3 </t>
  </si>
  <si>
    <t xml:space="preserve">    Jl. Pemuda No.9 RT 001 RW 003</t>
  </si>
  <si>
    <t xml:space="preserve">    Rawamangun - Pulo Gadung</t>
  </si>
  <si>
    <t xml:space="preserve">    Jakarta Timur, 13220</t>
  </si>
  <si>
    <t>PAYMENT VOUCHER</t>
  </si>
  <si>
    <t>Pay to</t>
  </si>
  <si>
    <t>PV No</t>
  </si>
  <si>
    <t>146/K/VII/26</t>
  </si>
  <si>
    <t>Bupot</t>
  </si>
  <si>
    <t>Date</t>
  </si>
  <si>
    <t>No</t>
  </si>
  <si>
    <t>Invoice No.</t>
  </si>
  <si>
    <t>Ref. No</t>
  </si>
  <si>
    <t>Amount Paid (IDR)</t>
  </si>
  <si>
    <t>DPP</t>
  </si>
  <si>
    <t>PPN</t>
  </si>
  <si>
    <t>PPh psl</t>
  </si>
  <si>
    <t>Bank charge</t>
  </si>
  <si>
    <t xml:space="preserve">Balance </t>
  </si>
  <si>
    <t xml:space="preserve"> </t>
  </si>
  <si>
    <t xml:space="preserve">Account No      </t>
  </si>
  <si>
    <t>:</t>
  </si>
  <si>
    <t xml:space="preserve">Account Name </t>
  </si>
  <si>
    <t xml:space="preserve">Bank                 </t>
  </si>
  <si>
    <t>Cheque No.</t>
  </si>
  <si>
    <t>Online Banking</t>
  </si>
  <si>
    <t>Veryfield by    :</t>
  </si>
  <si>
    <t>CFO</t>
  </si>
  <si>
    <t>Issued Date</t>
  </si>
  <si>
    <t>Prepared by</t>
  </si>
  <si>
    <t>Dita Larasati</t>
  </si>
  <si>
    <t>Approved by  :</t>
  </si>
  <si>
    <t>BOD</t>
  </si>
  <si>
    <t xml:space="preserve">Sembilan Juta Lima Ratus Ribu Rupiah						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</si>
</sst>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@\ * &quot;: &quot;"/>
    <numFmt numFmtId="166" formatCode="[$-13809]mmmm\ dd\,\ yyyy;@"/>
    <numFmt numFmtId="167" formatCode="&quot;Being payment for the followings :&quot;\ @"/>
    <numFmt numFmtId="168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20"/>
      <color theme="1"/>
      <name val="Century Gothic"/>
      <family val="2"/>
    </font>
    <font>
      <b/>
      <sz val="11"/>
      <color indexed="8"/>
      <name val="Century Gothic"/>
      <family val="2"/>
    </font>
    <font>
      <sz val="11"/>
      <color indexed="8"/>
      <name val="Century Gothic"/>
      <family val="2"/>
    </font>
    <font>
      <sz val="10"/>
      <color rgb="FF000000"/>
      <name val="Century Gothic"/>
      <family val="2"/>
    </font>
    <font>
      <sz val="10"/>
      <color theme="1"/>
      <name val="Century Gothic"/>
      <family val="2"/>
    </font>
    <font>
      <b/>
      <sz val="11"/>
      <color rgb="FF000000"/>
      <name val="Century Gothic"/>
      <family val="2"/>
    </font>
    <font>
      <sz val="18"/>
      <color theme="1"/>
      <name val="Century Gothic"/>
      <family val="2"/>
    </font>
    <font>
      <sz val="9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</cellStyleXfs>
  <cellXfs count="116">
    <xf numFmtId="0" fontId="0" fillId="0" borderId="0" xfId="0"/>
    <xf numFmtId="0" fontId="2" fillId="0" borderId="0" xfId="1" applyFont="1"/>
    <xf numFmtId="164" fontId="2" fillId="0" borderId="0" xfId="2" applyFont="1" applyBorder="1"/>
    <xf numFmtId="0" fontId="3" fillId="0" borderId="0" xfId="1" applyFont="1"/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vertical="center"/>
    </xf>
    <xf numFmtId="0" fontId="2" fillId="0" borderId="1" xfId="1" applyFont="1" applyBorder="1"/>
    <xf numFmtId="0" fontId="2" fillId="0" borderId="2" xfId="1" applyFont="1" applyBorder="1"/>
    <xf numFmtId="0" fontId="2" fillId="0" borderId="3" xfId="1" applyFont="1" applyBorder="1"/>
    <xf numFmtId="165" fontId="3" fillId="0" borderId="4" xfId="1" applyNumberFormat="1" applyFont="1" applyBorder="1"/>
    <xf numFmtId="0" fontId="3" fillId="0" borderId="0" xfId="1" applyFont="1" applyAlignment="1">
      <alignment horizontal="left" wrapText="1"/>
    </xf>
    <xf numFmtId="0" fontId="3" fillId="0" borderId="5" xfId="1" applyFont="1" applyBorder="1" applyAlignment="1">
      <alignment horizontal="left" wrapText="1"/>
    </xf>
    <xf numFmtId="0" fontId="2" fillId="0" borderId="0" xfId="1" applyFont="1" applyAlignment="1">
      <alignment horizontal="left"/>
    </xf>
    <xf numFmtId="0" fontId="2" fillId="0" borderId="5" xfId="1" applyFont="1" applyBorder="1" applyAlignment="1">
      <alignment horizontal="left"/>
    </xf>
    <xf numFmtId="0" fontId="2" fillId="0" borderId="4" xfId="1" applyFont="1" applyBorder="1"/>
    <xf numFmtId="0" fontId="2" fillId="0" borderId="5" xfId="1" applyFont="1" applyBorder="1"/>
    <xf numFmtId="0" fontId="3" fillId="0" borderId="4" xfId="1" applyFont="1" applyBorder="1"/>
    <xf numFmtId="0" fontId="2" fillId="0" borderId="0" xfId="1" applyFont="1" applyAlignment="1">
      <alignment horizontal="left" vertical="top" wrapText="1"/>
    </xf>
    <xf numFmtId="0" fontId="2" fillId="0" borderId="5" xfId="1" applyFont="1" applyBorder="1" applyAlignment="1">
      <alignment horizontal="left" vertical="top" wrapText="1"/>
    </xf>
    <xf numFmtId="165" fontId="3" fillId="0" borderId="4" xfId="1" applyNumberFormat="1" applyFont="1" applyBorder="1" applyAlignment="1">
      <alignment vertical="center"/>
    </xf>
    <xf numFmtId="0" fontId="2" fillId="0" borderId="0" xfId="1" applyFont="1" applyAlignment="1">
      <alignment horizontal="left" vertical="center"/>
    </xf>
    <xf numFmtId="0" fontId="2" fillId="0" borderId="5" xfId="1" applyFont="1" applyBorder="1" applyAlignment="1">
      <alignment horizontal="left" vertical="center"/>
    </xf>
    <xf numFmtId="166" fontId="2" fillId="0" borderId="0" xfId="0" applyNumberFormat="1" applyFont="1" applyAlignment="1">
      <alignment horizontal="left" vertical="center"/>
    </xf>
    <xf numFmtId="166" fontId="2" fillId="0" borderId="5" xfId="0" applyNumberFormat="1" applyFont="1" applyBorder="1" applyAlignment="1">
      <alignment horizontal="left" vertical="center"/>
    </xf>
    <xf numFmtId="0" fontId="2" fillId="0" borderId="6" xfId="1" applyFont="1" applyBorder="1"/>
    <xf numFmtId="0" fontId="2" fillId="0" borderId="7" xfId="1" applyFont="1" applyBorder="1" applyAlignment="1">
      <alignment horizontal="left" vertical="top" wrapText="1"/>
    </xf>
    <xf numFmtId="0" fontId="2" fillId="0" borderId="8" xfId="1" applyFont="1" applyBorder="1" applyAlignment="1">
      <alignment horizontal="left" vertical="top" wrapText="1"/>
    </xf>
    <xf numFmtId="0" fontId="2" fillId="0" borderId="7" xfId="1" applyFont="1" applyBorder="1"/>
    <xf numFmtId="0" fontId="2" fillId="0" borderId="8" xfId="1" applyFont="1" applyBorder="1"/>
    <xf numFmtId="167" fontId="5" fillId="0" borderId="9" xfId="3" applyNumberFormat="1" applyFont="1" applyBorder="1" applyAlignment="1">
      <alignment horizontal="left" vertical="center" wrapText="1"/>
    </xf>
    <xf numFmtId="167" fontId="5" fillId="0" borderId="10" xfId="3" applyNumberFormat="1" applyFont="1" applyBorder="1" applyAlignment="1">
      <alignment horizontal="left" vertical="center" wrapText="1"/>
    </xf>
    <xf numFmtId="167" fontId="5" fillId="0" borderId="11" xfId="3" applyNumberFormat="1" applyFont="1" applyBorder="1" applyAlignment="1">
      <alignment horizontal="left" vertical="center" wrapText="1"/>
    </xf>
    <xf numFmtId="0" fontId="5" fillId="0" borderId="9" xfId="1" applyFont="1" applyBorder="1" applyAlignment="1">
      <alignment horizontal="center" vertical="center" wrapText="1" readingOrder="1"/>
    </xf>
    <xf numFmtId="0" fontId="5" fillId="0" borderId="9" xfId="1" applyFont="1" applyBorder="1" applyAlignment="1">
      <alignment horizontal="center" vertical="center" wrapText="1" readingOrder="1"/>
    </xf>
    <xf numFmtId="0" fontId="5" fillId="0" borderId="10" xfId="1" applyFont="1" applyBorder="1" applyAlignment="1">
      <alignment horizontal="center" vertical="center" wrapText="1" readingOrder="1"/>
    </xf>
    <xf numFmtId="0" fontId="5" fillId="0" borderId="11" xfId="1" applyFont="1" applyBorder="1" applyAlignment="1">
      <alignment horizontal="center" vertical="center" wrapText="1" readingOrder="1"/>
    </xf>
    <xf numFmtId="0" fontId="5" fillId="0" borderId="12" xfId="1" applyFont="1" applyBorder="1" applyAlignment="1">
      <alignment horizontal="center" vertical="center" wrapText="1" readingOrder="1"/>
    </xf>
    <xf numFmtId="0" fontId="5" fillId="0" borderId="10" xfId="1" applyFont="1" applyBorder="1" applyAlignment="1">
      <alignment horizontal="center" vertical="center" wrapText="1" readingOrder="1"/>
    </xf>
    <xf numFmtId="0" fontId="5" fillId="0" borderId="10" xfId="1" applyFont="1" applyBorder="1" applyAlignment="1">
      <alignment vertical="top" readingOrder="1"/>
    </xf>
    <xf numFmtId="0" fontId="5" fillId="0" borderId="0" xfId="1" applyFont="1" applyAlignment="1">
      <alignment vertical="top" readingOrder="1"/>
    </xf>
    <xf numFmtId="164" fontId="5" fillId="0" borderId="0" xfId="2" applyFont="1" applyBorder="1" applyAlignment="1">
      <alignment vertical="top" readingOrder="1"/>
    </xf>
    <xf numFmtId="0" fontId="6" fillId="0" borderId="1" xfId="1" applyFont="1" applyBorder="1" applyAlignment="1">
      <alignment vertical="top"/>
    </xf>
    <xf numFmtId="0" fontId="6" fillId="0" borderId="2" xfId="1" applyFont="1" applyBorder="1" applyAlignment="1">
      <alignment vertical="top"/>
    </xf>
    <xf numFmtId="0" fontId="6" fillId="0" borderId="3" xfId="1" applyFont="1" applyBorder="1" applyAlignment="1">
      <alignment vertical="top"/>
    </xf>
    <xf numFmtId="0" fontId="2" fillId="0" borderId="13" xfId="1" applyFont="1" applyBorder="1" applyAlignment="1">
      <alignment horizontal="center"/>
    </xf>
    <xf numFmtId="0" fontId="5" fillId="0" borderId="2" xfId="1" applyFont="1" applyBorder="1" applyAlignment="1">
      <alignment vertical="top" readingOrder="1"/>
    </xf>
    <xf numFmtId="0" fontId="5" fillId="0" borderId="14" xfId="1" applyFont="1" applyBorder="1" applyAlignment="1">
      <alignment vertical="top" readingOrder="1"/>
    </xf>
    <xf numFmtId="0" fontId="2" fillId="0" borderId="0" xfId="1" applyFont="1" applyAlignment="1">
      <alignment vertical="center"/>
    </xf>
    <xf numFmtId="0" fontId="7" fillId="0" borderId="4" xfId="4" applyFont="1" applyBorder="1" applyAlignment="1">
      <alignment horizontal="center" vertical="center" readingOrder="1"/>
    </xf>
    <xf numFmtId="0" fontId="8" fillId="0" borderId="4" xfId="4" quotePrefix="1" applyFont="1" applyBorder="1" applyAlignment="1">
      <alignment horizontal="center" vertical="center" wrapText="1"/>
    </xf>
    <xf numFmtId="0" fontId="8" fillId="0" borderId="0" xfId="4" quotePrefix="1" applyFont="1" applyAlignment="1">
      <alignment horizontal="center" vertical="center" wrapText="1"/>
    </xf>
    <xf numFmtId="0" fontId="8" fillId="0" borderId="5" xfId="4" quotePrefix="1" applyFont="1" applyBorder="1" applyAlignment="1">
      <alignment horizontal="center" vertical="center" wrapText="1"/>
    </xf>
    <xf numFmtId="0" fontId="8" fillId="0" borderId="13" xfId="4" quotePrefix="1" applyFont="1" applyBorder="1" applyAlignment="1">
      <alignment horizontal="center" vertical="center" wrapText="1"/>
    </xf>
    <xf numFmtId="0" fontId="8" fillId="0" borderId="0" xfId="4" applyFont="1" applyAlignment="1">
      <alignment vertical="center"/>
    </xf>
    <xf numFmtId="0" fontId="8" fillId="0" borderId="0" xfId="1" applyFont="1" applyAlignment="1">
      <alignment vertical="center"/>
    </xf>
    <xf numFmtId="168" fontId="8" fillId="0" borderId="13" xfId="2" applyNumberFormat="1" applyFont="1" applyBorder="1" applyAlignment="1">
      <alignment vertical="center"/>
    </xf>
    <xf numFmtId="164" fontId="2" fillId="0" borderId="0" xfId="2" applyFont="1" applyBorder="1" applyAlignment="1">
      <alignment vertical="center"/>
    </xf>
    <xf numFmtId="0" fontId="8" fillId="0" borderId="4" xfId="4" applyFont="1" applyBorder="1" applyAlignment="1">
      <alignment horizontal="center" vertical="center"/>
    </xf>
    <xf numFmtId="0" fontId="8" fillId="0" borderId="4" xfId="4" applyFont="1" applyBorder="1" applyAlignment="1">
      <alignment vertical="center"/>
    </xf>
    <xf numFmtId="0" fontId="8" fillId="0" borderId="5" xfId="4" applyFont="1" applyBorder="1" applyAlignment="1">
      <alignment vertical="center"/>
    </xf>
    <xf numFmtId="0" fontId="8" fillId="0" borderId="13" xfId="4" applyFont="1" applyBorder="1"/>
    <xf numFmtId="0" fontId="8" fillId="0" borderId="0" xfId="4" applyFont="1"/>
    <xf numFmtId="0" fontId="8" fillId="0" borderId="0" xfId="1" applyFont="1" applyAlignment="1">
      <alignment horizontal="left"/>
    </xf>
    <xf numFmtId="0" fontId="8" fillId="0" borderId="0" xfId="1" applyFont="1" applyAlignment="1">
      <alignment horizontal="right"/>
    </xf>
    <xf numFmtId="168" fontId="8" fillId="0" borderId="13" xfId="2" applyNumberFormat="1" applyFont="1" applyBorder="1"/>
    <xf numFmtId="0" fontId="8" fillId="0" borderId="0" xfId="1" applyFont="1" applyAlignment="1">
      <alignment horizontal="left" vertical="top"/>
    </xf>
    <xf numFmtId="168" fontId="2" fillId="0" borderId="0" xfId="1" applyNumberFormat="1" applyFont="1"/>
    <xf numFmtId="0" fontId="8" fillId="0" borderId="4" xfId="1" applyFont="1" applyBorder="1" applyAlignment="1">
      <alignment horizontal="center" vertical="center"/>
    </xf>
    <xf numFmtId="0" fontId="8" fillId="0" borderId="4" xfId="1" applyFont="1" applyBorder="1" applyAlignment="1">
      <alignment vertical="center"/>
    </xf>
    <xf numFmtId="0" fontId="8" fillId="0" borderId="5" xfId="1" applyFont="1" applyBorder="1" applyAlignment="1">
      <alignment vertical="center"/>
    </xf>
    <xf numFmtId="0" fontId="8" fillId="0" borderId="13" xfId="1" applyFont="1" applyBorder="1"/>
    <xf numFmtId="0" fontId="8" fillId="0" borderId="0" xfId="1" applyFont="1"/>
    <xf numFmtId="168" fontId="8" fillId="0" borderId="13" xfId="5" applyNumberFormat="1" applyFont="1" applyBorder="1" applyAlignment="1"/>
    <xf numFmtId="0" fontId="8" fillId="0" borderId="0" xfId="1" applyFont="1" applyAlignment="1">
      <alignment wrapText="1"/>
    </xf>
    <xf numFmtId="168" fontId="8" fillId="0" borderId="13" xfId="6" applyNumberFormat="1" applyFont="1" applyBorder="1" applyAlignment="1">
      <alignment vertical="center"/>
    </xf>
    <xf numFmtId="0" fontId="2" fillId="0" borderId="4" xfId="1" applyFont="1" applyBorder="1" applyAlignment="1">
      <alignment horizontal="center" vertical="center"/>
    </xf>
    <xf numFmtId="0" fontId="2" fillId="0" borderId="6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2" fillId="0" borderId="8" xfId="1" applyFont="1" applyBorder="1" applyAlignment="1">
      <alignment vertical="center"/>
    </xf>
    <xf numFmtId="0" fontId="2" fillId="0" borderId="15" xfId="1" applyFont="1" applyBorder="1"/>
    <xf numFmtId="168" fontId="2" fillId="0" borderId="13" xfId="6" applyNumberFormat="1" applyFont="1" applyBorder="1" applyAlignment="1"/>
    <xf numFmtId="0" fontId="5" fillId="0" borderId="9" xfId="1" applyFont="1" applyBorder="1" applyAlignment="1">
      <alignment horizontal="left" vertical="center" wrapText="1" readingOrder="1"/>
    </xf>
    <xf numFmtId="0" fontId="5" fillId="0" borderId="10" xfId="1" applyFont="1" applyBorder="1" applyAlignment="1">
      <alignment horizontal="left" vertical="center" wrapText="1" readingOrder="1"/>
    </xf>
    <xf numFmtId="168" fontId="3" fillId="0" borderId="12" xfId="6" applyNumberFormat="1" applyFont="1" applyBorder="1" applyAlignment="1">
      <alignment vertical="center"/>
    </xf>
    <xf numFmtId="0" fontId="2" fillId="0" borderId="0" xfId="1" applyFont="1" applyAlignment="1">
      <alignment horizontal="center" vertical="center"/>
    </xf>
    <xf numFmtId="0" fontId="2" fillId="0" borderId="16" xfId="1" applyFont="1" applyBorder="1" applyAlignment="1">
      <alignment vertical="center"/>
    </xf>
    <xf numFmtId="0" fontId="9" fillId="0" borderId="17" xfId="7" applyFont="1" applyBorder="1" applyAlignment="1">
      <alignment horizontal="left" vertical="center" readingOrder="1"/>
    </xf>
    <xf numFmtId="0" fontId="9" fillId="0" borderId="18" xfId="7" applyFont="1" applyBorder="1" applyAlignment="1">
      <alignment horizontal="left" vertical="center" readingOrder="1"/>
    </xf>
    <xf numFmtId="0" fontId="2" fillId="0" borderId="18" xfId="4" quotePrefix="1" applyFont="1" applyBorder="1" applyAlignment="1">
      <alignment vertical="center"/>
    </xf>
    <xf numFmtId="1" fontId="6" fillId="0" borderId="18" xfId="8" quotePrefix="1" applyNumberFormat="1" applyFont="1" applyBorder="1" applyAlignment="1">
      <alignment horizontal="left" vertical="center" readingOrder="1"/>
    </xf>
    <xf numFmtId="0" fontId="2" fillId="0" borderId="18" xfId="1" applyFont="1" applyBorder="1"/>
    <xf numFmtId="0" fontId="2" fillId="0" borderId="19" xfId="1" applyFont="1" applyBorder="1"/>
    <xf numFmtId="0" fontId="9" fillId="0" borderId="20" xfId="7" applyFont="1" applyBorder="1" applyAlignment="1">
      <alignment horizontal="left" vertical="center" readingOrder="1"/>
    </xf>
    <xf numFmtId="0" fontId="9" fillId="0" borderId="0" xfId="7" applyFont="1" applyAlignment="1">
      <alignment horizontal="left" vertical="center" readingOrder="1"/>
    </xf>
    <xf numFmtId="0" fontId="2" fillId="0" borderId="0" xfId="4" quotePrefix="1" applyFont="1" applyAlignment="1">
      <alignment vertical="center"/>
    </xf>
    <xf numFmtId="0" fontId="2" fillId="0" borderId="0" xfId="8" quotePrefix="1" applyFont="1" applyAlignment="1">
      <alignment horizontal="left" vertical="center"/>
    </xf>
    <xf numFmtId="0" fontId="6" fillId="0" borderId="0" xfId="1" applyFont="1" applyAlignment="1">
      <alignment vertical="center" readingOrder="1"/>
    </xf>
    <xf numFmtId="0" fontId="6" fillId="0" borderId="21" xfId="1" applyFont="1" applyBorder="1" applyAlignment="1">
      <alignment vertical="center" readingOrder="1"/>
    </xf>
    <xf numFmtId="164" fontId="6" fillId="0" borderId="0" xfId="2" applyFont="1" applyBorder="1" applyAlignment="1">
      <alignment vertical="center" readingOrder="1"/>
    </xf>
    <xf numFmtId="0" fontId="9" fillId="0" borderId="22" xfId="7" applyFont="1" applyBorder="1" applyAlignment="1">
      <alignment horizontal="left" vertical="center" readingOrder="1"/>
    </xf>
    <xf numFmtId="0" fontId="9" fillId="0" borderId="23" xfId="7" applyFont="1" applyBorder="1" applyAlignment="1">
      <alignment horizontal="left" vertical="center" readingOrder="1"/>
    </xf>
    <xf numFmtId="0" fontId="2" fillId="0" borderId="23" xfId="4" quotePrefix="1" applyFont="1" applyBorder="1" applyAlignment="1">
      <alignment vertical="center"/>
    </xf>
    <xf numFmtId="0" fontId="2" fillId="0" borderId="23" xfId="8" quotePrefix="1" applyFont="1" applyBorder="1" applyAlignment="1">
      <alignment horizontal="left" vertical="center"/>
    </xf>
    <xf numFmtId="0" fontId="2" fillId="0" borderId="23" xfId="1" applyFont="1" applyBorder="1"/>
    <xf numFmtId="0" fontId="2" fillId="0" borderId="24" xfId="1" applyFont="1" applyBorder="1"/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left"/>
    </xf>
    <xf numFmtId="0" fontId="2" fillId="0" borderId="0" xfId="1" quotePrefix="1" applyFont="1" applyAlignment="1">
      <alignment vertical="center"/>
    </xf>
    <xf numFmtId="15" fontId="2" fillId="0" borderId="7" xfId="1" applyNumberFormat="1" applyFont="1" applyBorder="1" applyAlignment="1">
      <alignment horizontal="left" vertical="center" readingOrder="1"/>
    </xf>
    <xf numFmtId="15" fontId="2" fillId="0" borderId="10" xfId="1" applyNumberFormat="1" applyFont="1" applyBorder="1" applyAlignment="1">
      <alignment horizontal="left" vertical="center" readingOrder="1"/>
    </xf>
    <xf numFmtId="0" fontId="2" fillId="0" borderId="10" xfId="1" applyFont="1" applyBorder="1"/>
    <xf numFmtId="15" fontId="2" fillId="0" borderId="0" xfId="1" applyNumberFormat="1" applyFont="1" applyAlignment="1">
      <alignment horizontal="left" vertical="center" readingOrder="1"/>
    </xf>
    <xf numFmtId="0" fontId="10" fillId="0" borderId="0" xfId="1" applyFont="1" applyAlignment="1">
      <alignment horizontal="center" vertical="center"/>
    </xf>
    <xf numFmtId="0" fontId="11" fillId="0" borderId="0" xfId="1" applyFont="1" applyAlignment="1">
      <alignment vertical="center"/>
    </xf>
    <xf numFmtId="0" fontId="11" fillId="0" borderId="0" xfId="1" applyFont="1"/>
  </cellXfs>
  <cellStyles count="9">
    <cellStyle name="Comma 5 2 6" xfId="6" xr:uid="{8D6BE20C-7572-4D9C-B882-23D563CD3D81}"/>
    <cellStyle name="Comma 5 7" xfId="5" xr:uid="{E6A2FE75-9AA7-400F-A4CB-0499D5F38788}"/>
    <cellStyle name="Comma 8" xfId="2" xr:uid="{C3FF7C6F-5CCA-4E64-94C3-3D3C7CF7C48A}"/>
    <cellStyle name="Normal" xfId="0" builtinId="0"/>
    <cellStyle name="Normal 2 5" xfId="8" xr:uid="{19AEC9A5-443B-4029-AE89-1718407A3EB4}"/>
    <cellStyle name="Normal 3 7" xfId="3" xr:uid="{E9454ECC-9B9A-47B2-AB24-55B948C3D4B1}"/>
    <cellStyle name="Normal 4 2 6" xfId="7" xr:uid="{4867AAC1-F9F2-4CEB-B3B5-46D1FF56274C}"/>
    <cellStyle name="Normal 5 3 6" xfId="1" xr:uid="{0435B1ED-4369-4C62-8118-5FB219CBAD98}"/>
    <cellStyle name="Normal 6 7" xfId="4" xr:uid="{25BDB0A5-5EAC-4F35-AAC0-50266B747E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247650</xdr:colOff>
      <xdr:row>0</xdr:row>
      <xdr:rowOff>38100</xdr:rowOff>
    </xdr:from>
    <xdr:ext cx="2028825" cy="1104900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56BA0A5F-C0DF-410F-BDB7-4C239C4203E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l="10448" t="27397" r="12438" b="30259"/>
        <a:stretch/>
      </xdr:blipFill>
      <xdr:spPr>
        <a:xfrm>
          <a:off x="387350" y="38100"/>
          <a:ext cx="2028825" cy="1104900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\marms\finance\NEW%20PV%20&amp;%20RV%20SYSTEM%202026%20copy.xlsm" TargetMode="External"/><Relationship Id="rId1" Type="http://schemas.openxmlformats.org/officeDocument/2006/relationships/externalLinkPath" Target="NEW%20PV%20&amp;%20RV%20SYSTEM%202026%20copy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B VENDOR &amp; CLIENT"/>
      <sheetName val="DB PV PLAZA"/>
      <sheetName val="DB PV KARADENAN"/>
      <sheetName val="DB PETTY CASH"/>
      <sheetName val="PV KERADENAN"/>
      <sheetName val="CUSTOM PV KAR"/>
      <sheetName val="CUSTOM PV KAR (2)"/>
      <sheetName val="CUSTOM PV PM"/>
      <sheetName val="PV PETTY CASH"/>
      <sheetName val="PV PETTY CASH (2)"/>
      <sheetName val="PV PETTY CASH (3)"/>
      <sheetName val="PV PPH"/>
      <sheetName val="PV ANGSURAN"/>
      <sheetName val="PV ANGSURAN (2)"/>
      <sheetName val="DB RV PLAZA"/>
      <sheetName val="DB RV KERADENAN"/>
      <sheetName val="RV PLAZA"/>
      <sheetName val="RV KERADENAN"/>
      <sheetName val="CUSTOM RV"/>
      <sheetName val="RV KERADENAN (2)"/>
    </sheetNames>
    <sheetDataSet>
      <sheetData sheetId="0">
        <row r="1">
          <cell r="B1" t="str">
            <v>Nama</v>
          </cell>
        </row>
        <row r="2">
          <cell r="B2" t="str">
            <v>PT DINASTI SAMUDERA ABADI</v>
          </cell>
        </row>
        <row r="3">
          <cell r="B3" t="str">
            <v>PT DIZAMATRA POWERINDO</v>
          </cell>
        </row>
        <row r="4">
          <cell r="B4" t="str">
            <v>PT BARA ANUGRAH SEJAHTERA</v>
          </cell>
        </row>
        <row r="5">
          <cell r="B5" t="str">
            <v>PT OLYMPIC FURNITURE JAKARTA PUSAT</v>
          </cell>
        </row>
        <row r="6">
          <cell r="B6" t="str">
            <v>PT VARIA USAHA LINTAS SEGARA</v>
          </cell>
        </row>
        <row r="7">
          <cell r="B7" t="str">
            <v>CREW ENTEBE STAR 30 / FINACIA 71</v>
          </cell>
        </row>
        <row r="8">
          <cell r="B8" t="str">
            <v>YUDIANTO</v>
          </cell>
        </row>
        <row r="9">
          <cell r="B9" t="str">
            <v>CV RIZKY ANUGRAH</v>
          </cell>
        </row>
        <row r="10">
          <cell r="B10" t="str">
            <v>DIRJEN PAJAK</v>
          </cell>
        </row>
        <row r="11">
          <cell r="B11" t="str">
            <v>ZULFADHLI JUSUF</v>
          </cell>
        </row>
        <row r="12">
          <cell r="B12" t="str">
            <v>PT MUTIARA LAUTAN SEMESTA</v>
          </cell>
        </row>
        <row r="13">
          <cell r="B13" t="str">
            <v>PLAZA MANDIRI</v>
          </cell>
        </row>
        <row r="14">
          <cell r="B14" t="str">
            <v>PT MITRABAHTERA SEGARA SEJATI</v>
          </cell>
        </row>
        <row r="15">
          <cell r="B15" t="str">
            <v>PT TRANS LOGISTIC PERKASA</v>
          </cell>
        </row>
        <row r="16">
          <cell r="B16" t="str">
            <v>PT BARA SAMUDERA ABADI</v>
          </cell>
        </row>
        <row r="17">
          <cell r="B17" t="str">
            <v>WIDY BUDI WIBOWO</v>
          </cell>
        </row>
        <row r="18">
          <cell r="B18" t="str">
            <v>PT ELISHA MILAN TANKERS</v>
          </cell>
        </row>
        <row r="19">
          <cell r="B19" t="str">
            <v>NURSANDI</v>
          </cell>
        </row>
        <row r="20">
          <cell r="B20" t="str">
            <v>PT PELAYARAN BAHTERA ADHIGUNA</v>
          </cell>
        </row>
        <row r="21">
          <cell r="B21" t="str">
            <v>PT ANDALAN LANCAR NIAGA</v>
          </cell>
        </row>
        <row r="22">
          <cell r="B22" t="str">
            <v>PT ADIKARYA BAHARI GEMILANG</v>
          </cell>
        </row>
        <row r="23">
          <cell r="B23" t="str">
            <v>JAJA SUDARJA</v>
          </cell>
        </row>
        <row r="24">
          <cell r="B24" t="str">
            <v>PT DELI PRATAMA ANGKUTAN LAUT</v>
          </cell>
        </row>
        <row r="25">
          <cell r="B25" t="str">
            <v>PT MAHAKARYA LINTAS SAMUDRA (BCA)</v>
          </cell>
        </row>
        <row r="26">
          <cell r="B26" t="str">
            <v>MANDIRI KARADENAN</v>
          </cell>
        </row>
        <row r="27">
          <cell r="B27" t="str">
            <v>PT WHS GLOBAL MANDIRI</v>
          </cell>
        </row>
        <row r="28">
          <cell r="B28" t="str">
            <v>HENDY KUSSUNAR ARYA</v>
          </cell>
        </row>
        <row r="29">
          <cell r="B29" t="str">
            <v>MUHAMMAD ZAKI</v>
          </cell>
        </row>
        <row r="30">
          <cell r="B30" t="str">
            <v>PT JAYA ENERGI ADHIPERKASA</v>
          </cell>
        </row>
        <row r="31">
          <cell r="B31" t="str">
            <v>PT TITAN INFRA ENERGY</v>
          </cell>
        </row>
        <row r="32">
          <cell r="B32" t="str">
            <v>PT MAHAKARYA LINTAS SAMUDRA (OCBC)</v>
          </cell>
        </row>
        <row r="33">
          <cell r="B33" t="str">
            <v>DIREKSI DAN STAFF</v>
          </cell>
        </row>
        <row r="34">
          <cell r="B34" t="str">
            <v>PT PALEO RENTO UTOMO</v>
          </cell>
        </row>
        <row r="35">
          <cell r="B35" t="str">
            <v>PT GADING MANDIRI GRAHA REALTY</v>
          </cell>
        </row>
        <row r="36">
          <cell r="B36" t="str">
            <v>BPJS KETENAGAKERJAAN staff</v>
          </cell>
        </row>
        <row r="37">
          <cell r="B37" t="str">
            <v>BPJS KETENAGAKERJAAN crew</v>
          </cell>
        </row>
        <row r="38">
          <cell r="B38" t="str">
            <v>BPJS KESEHATAN staff</v>
          </cell>
        </row>
        <row r="39">
          <cell r="B39" t="str">
            <v>BPJS KESEHATAN</v>
          </cell>
        </row>
        <row r="40">
          <cell r="B40" t="str">
            <v>PT MARITIM BATUBARA PERTAMA</v>
          </cell>
        </row>
        <row r="41">
          <cell r="B41" t="str">
            <v>PT SINARMAS LDA USAHA PELABUHAN</v>
          </cell>
        </row>
        <row r="42">
          <cell r="B42" t="str">
            <v>PT CEMERLANG MAKMUR ABADI</v>
          </cell>
        </row>
        <row r="43">
          <cell r="B43" t="str">
            <v>ENDANG JUANDA</v>
          </cell>
        </row>
        <row r="44">
          <cell r="B44" t="str">
            <v>PT PANCARAN SAMUDERA SHIYARD</v>
          </cell>
        </row>
        <row r="45">
          <cell r="B45" t="str">
            <v>PT RIQKI INTIPRATAMA SINERGI</v>
          </cell>
        </row>
        <row r="46">
          <cell r="B46" t="str">
            <v>PT BENAYA AMB MANDIRI</v>
          </cell>
        </row>
        <row r="47">
          <cell r="B47" t="str">
            <v>EDI YANTO</v>
          </cell>
        </row>
        <row r="48">
          <cell r="B48" t="str">
            <v>PT ADHI GUNA PUTERA (CILACAP)</v>
          </cell>
        </row>
        <row r="49">
          <cell r="B49" t="str">
            <v>PT ELPI NUSANTARA ARMADA</v>
          </cell>
        </row>
        <row r="50">
          <cell r="B50" t="str">
            <v>CV SUMBER BERKAT KARUNIA</v>
          </cell>
        </row>
        <row r="51">
          <cell r="B51" t="str">
            <v>PT PELNAS SABANG RAYA INDAH</v>
          </cell>
        </row>
        <row r="52">
          <cell r="B52" t="str">
            <v>TRI HANDOYO</v>
          </cell>
        </row>
        <row r="53">
          <cell r="B53" t="str">
            <v>PT MAHAKARYA LINTAS SAMUDRA (MNC)</v>
          </cell>
        </row>
        <row r="54">
          <cell r="B54" t="str">
            <v>RAYA NOVILISMAN</v>
          </cell>
        </row>
        <row r="55">
          <cell r="B55" t="str">
            <v>PT DWI JAYA SAMUDRA</v>
          </cell>
        </row>
        <row r="56">
          <cell r="B56" t="str">
            <v>WINDA MUPLIAH</v>
          </cell>
        </row>
        <row r="57">
          <cell r="B57" t="str">
            <v>INFORMA ARTHA GADING</v>
          </cell>
        </row>
        <row r="58">
          <cell r="B58" t="str">
            <v>PT HARAPAN MITRA BERSAMA</v>
          </cell>
        </row>
        <row r="59">
          <cell r="B59" t="str">
            <v>JOKO WAHYU ARY M</v>
          </cell>
        </row>
        <row r="60">
          <cell r="B60" t="str">
            <v>PT SURVEYOR INDONESIA</v>
          </cell>
        </row>
        <row r="61">
          <cell r="B61" t="str">
            <v>RIZA ANDINTARA</v>
          </cell>
        </row>
        <row r="62">
          <cell r="B62" t="str">
            <v>MUHAMMAD AL FATIH</v>
          </cell>
        </row>
        <row r="63">
          <cell r="B63" t="str">
            <v>PT TRANS NIAGA PRIMA</v>
          </cell>
        </row>
        <row r="64">
          <cell r="B64" t="str">
            <v>PT SEJAHTERA KARUNIA LINES</v>
          </cell>
        </row>
        <row r="65">
          <cell r="B65" t="str">
            <v>PT TIMORRA JAYA PERDANA</v>
          </cell>
        </row>
        <row r="66">
          <cell r="B66" t="str">
            <v>PT CEMINDO GEMILANG</v>
          </cell>
        </row>
        <row r="67">
          <cell r="B67" t="str">
            <v>PT ARGHANIAGA PANCATUNGGAL</v>
          </cell>
        </row>
        <row r="68">
          <cell r="B68" t="str">
            <v>PT BARUNA DIRGA DHARMA</v>
          </cell>
        </row>
        <row r="69">
          <cell r="B69" t="str">
            <v>PT ELEANOR PRADANA SHIPPING</v>
          </cell>
        </row>
        <row r="70">
          <cell r="B70" t="str">
            <v>PT SHP PASIFIK ABADI</v>
          </cell>
        </row>
        <row r="71">
          <cell r="B71" t="str">
            <v>PAINO</v>
          </cell>
        </row>
        <row r="72">
          <cell r="B72" t="str">
            <v>FIRDAUS GAFFAR</v>
          </cell>
        </row>
        <row r="73">
          <cell r="B73" t="str">
            <v>PT LANCAR BAROKAH ENERGI (Mandiri)</v>
          </cell>
        </row>
        <row r="74">
          <cell r="B74" t="str">
            <v>PT CETHA SLAMET MULYANA INDONESIA</v>
          </cell>
        </row>
        <row r="75">
          <cell r="B75" t="str">
            <v>RIO ALFIANUS SINULINGGA</v>
          </cell>
        </row>
        <row r="76">
          <cell r="B76" t="str">
            <v>PT ANUGRAH LAUT BIRU</v>
          </cell>
        </row>
        <row r="77">
          <cell r="B77" t="str">
            <v>WINDA EKA PERMATASARI</v>
          </cell>
        </row>
        <row r="78">
          <cell r="B78" t="str">
            <v>PT KRAKATAU SAMUDRA SOLUSI</v>
          </cell>
        </row>
        <row r="79">
          <cell r="B79" t="str">
            <v>PT DAIDAN UTAMA PIALANG ASURANSI</v>
          </cell>
        </row>
        <row r="80">
          <cell r="B80" t="str">
            <v>PT BANAWA ORION SEJAHTERA</v>
          </cell>
        </row>
        <row r="81">
          <cell r="B81" t="str">
            <v>PT ADHI GUNA PUTERA (BELAWAN, PANGSU)</v>
          </cell>
        </row>
        <row r="82">
          <cell r="B82" t="str">
            <v>PT AGENCY PELAYARAN INDONESIA</v>
          </cell>
        </row>
        <row r="83">
          <cell r="B83" t="str">
            <v>SRI WAHYUNI</v>
          </cell>
        </row>
        <row r="84">
          <cell r="B84" t="str">
            <v>ARUNA LUNAR DESIGN</v>
          </cell>
        </row>
        <row r="85">
          <cell r="B85" t="str">
            <v>KAP JOJO SUNARJO DAN REKAN</v>
          </cell>
        </row>
        <row r="86">
          <cell r="B86" t="str">
            <v>PT WISTARA SHIPPING AGENCY</v>
          </cell>
        </row>
        <row r="87">
          <cell r="B87" t="str">
            <v>PT PASIFIK JAYA MARITIM (Mandiri)</v>
          </cell>
        </row>
        <row r="88">
          <cell r="B88" t="str">
            <v>PT PASIFIK JAYA MARITIM (BNI)</v>
          </cell>
        </row>
        <row r="89">
          <cell r="B89" t="str">
            <v>YONI FIRDAUS WIBOWO</v>
          </cell>
        </row>
        <row r="90">
          <cell r="B90" t="str">
            <v>PT CAHAYA SAMODERA BERSAUDARA</v>
          </cell>
        </row>
        <row r="91">
          <cell r="B91" t="str">
            <v>ALFIN HIDAYAT ACHMAD</v>
          </cell>
        </row>
        <row r="92">
          <cell r="B92" t="str">
            <v>PT CAKRAWALA NUSA BAHARI</v>
          </cell>
        </row>
        <row r="93">
          <cell r="B93" t="str">
            <v>TODUNG MANALU</v>
          </cell>
        </row>
        <row r="94">
          <cell r="B94" t="str">
            <v>CV PUTRA ADUL MUARA SATUI</v>
          </cell>
        </row>
        <row r="95">
          <cell r="B95" t="str">
            <v>PT MITRA INFRA SOLUSINDO</v>
          </cell>
        </row>
        <row r="96">
          <cell r="B96" t="str">
            <v>PT ADHI GUNA PUTERA (Paiton)</v>
          </cell>
        </row>
        <row r="97">
          <cell r="B97" t="str">
            <v>PT PELAYARAN BERKAT USAHA MANDIRI</v>
          </cell>
        </row>
        <row r="98">
          <cell r="B98" t="str">
            <v>PT BUKIT PRIMA BAHARI</v>
          </cell>
        </row>
        <row r="99">
          <cell r="B99" t="str">
            <v>MUHAMMAD RASUL</v>
          </cell>
        </row>
        <row r="100">
          <cell r="B100" t="str">
            <v>PT GORBY ENERGY</v>
          </cell>
        </row>
        <row r="101">
          <cell r="B101" t="str">
            <v>PT GORBY PUTRA UTAMA</v>
          </cell>
        </row>
        <row r="102">
          <cell r="B102" t="str">
            <v>PT SUPRA PRIMATAMA NUSANTARA</v>
          </cell>
        </row>
        <row r="103">
          <cell r="B103" t="str">
            <v>PT SUA KARYA SOLUSI</v>
          </cell>
        </row>
        <row r="104">
          <cell r="B104" t="str">
            <v>PT ADHI GUNA PUTERA (Jakarta)</v>
          </cell>
        </row>
        <row r="105">
          <cell r="B105" t="str">
            <v>PT TIRTA SAMUDERA AGENCY</v>
          </cell>
        </row>
        <row r="106">
          <cell r="B106" t="str">
            <v>PT PELAYARAN PESONA BANYUBIRU</v>
          </cell>
        </row>
        <row r="107">
          <cell r="B107" t="str">
            <v>PT PELAYARAN BARITO DUTA SARANA</v>
          </cell>
        </row>
        <row r="108">
          <cell r="B108" t="str">
            <v>ABDUR ROSYID</v>
          </cell>
        </row>
        <row r="109">
          <cell r="B109" t="str">
            <v>PT ALPHA PACIFIC LINE</v>
          </cell>
        </row>
        <row r="110">
          <cell r="B110" t="str">
            <v>PT CAESAR MULIA</v>
          </cell>
        </row>
        <row r="111">
          <cell r="B111" t="str">
            <v>CHRISTINE ELSA FRANSISKA</v>
          </cell>
        </row>
        <row r="112">
          <cell r="B112" t="str">
            <v>PT SINARMAS LDA USAHA MARITIME</v>
          </cell>
        </row>
        <row r="113">
          <cell r="B113" t="str">
            <v>PT TRANS MARITIM PRATAMA</v>
          </cell>
        </row>
        <row r="114">
          <cell r="B114" t="str">
            <v>CV UBO RAMPE PALWOKO (Kintap)</v>
          </cell>
        </row>
        <row r="115">
          <cell r="B115" t="str">
            <v>CV JAYA FAJAR ADHIPERKASA</v>
          </cell>
        </row>
        <row r="116">
          <cell r="B116" t="str">
            <v>PT VIRGO SAMUDERA JAYA</v>
          </cell>
        </row>
        <row r="117">
          <cell r="B117" t="str">
            <v>MIKA</v>
          </cell>
        </row>
        <row r="118">
          <cell r="B118" t="str">
            <v>NANANG DWI RINTO</v>
          </cell>
        </row>
        <row r="119">
          <cell r="B119" t="str">
            <v>PT ENERGI POWER INDONESIA</v>
          </cell>
        </row>
        <row r="120">
          <cell r="B120" t="str">
            <v>PT MAHAKARYA LINTAS SAMUDRA (MANDIRI)</v>
          </cell>
        </row>
        <row r="121">
          <cell r="B121" t="str">
            <v>PT ZONA ARMADA MAJU</v>
          </cell>
        </row>
        <row r="122">
          <cell r="B122" t="str">
            <v>PT MARITIME POWER</v>
          </cell>
        </row>
        <row r="123">
          <cell r="B123" t="str">
            <v>READY FOTOCOPY &amp; YUSUF STAMP</v>
          </cell>
        </row>
        <row r="124">
          <cell r="B124" t="str">
            <v>NABILA DITA RIRIS ASKA ZAKI YONI</v>
          </cell>
        </row>
        <row r="125">
          <cell r="B125" t="str">
            <v>TOKOPEDIA</v>
          </cell>
        </row>
        <row r="126">
          <cell r="B126" t="str">
            <v>PRESTISA KARANGAN BUNGA</v>
          </cell>
        </row>
        <row r="127">
          <cell r="B127" t="str">
            <v>TELKOM INDONESIA</v>
          </cell>
        </row>
        <row r="128">
          <cell r="B128" t="str">
            <v>AZKO</v>
          </cell>
        </row>
        <row r="129">
          <cell r="B129" t="str">
            <v>TOKO UMI</v>
          </cell>
        </row>
        <row r="130">
          <cell r="B130" t="str">
            <v xml:space="preserve">POS INDONESIA &amp; JNT </v>
          </cell>
        </row>
        <row r="131">
          <cell r="B131" t="str">
            <v>PT LION MENTARI</v>
          </cell>
        </row>
        <row r="132">
          <cell r="B132" t="str">
            <v>PT AERO GLOBE INDONESIA</v>
          </cell>
        </row>
        <row r="133">
          <cell r="B133" t="str">
            <v>DIKNA RIYANDHANI</v>
          </cell>
        </row>
        <row r="134">
          <cell r="B134" t="str">
            <v>PT PELNAS PASIFIK SAMUDERA SHIPPING</v>
          </cell>
        </row>
        <row r="135">
          <cell r="B135" t="str">
            <v>RIZAL</v>
          </cell>
        </row>
        <row r="136">
          <cell r="B136" t="str">
            <v>PT NOBEL RIGGINDO SAMUDRA</v>
          </cell>
        </row>
        <row r="137">
          <cell r="B137" t="str">
            <v>KJPP Husni, Joediono &amp; Rekan</v>
          </cell>
        </row>
        <row r="138">
          <cell r="B138" t="str">
            <v>H DWI CAHYONO</v>
          </cell>
        </row>
        <row r="139">
          <cell r="B139" t="str">
            <v>ARLAN</v>
          </cell>
        </row>
        <row r="140">
          <cell r="B140" t="str">
            <v>AMELIA RUTH ANASTASI</v>
          </cell>
        </row>
        <row r="141">
          <cell r="B141" t="str">
            <v>PT TANJUNG BINGA SEJAHTERA</v>
          </cell>
        </row>
        <row r="142">
          <cell r="B142" t="str">
            <v>GOLF BATUBARA INDONESIA</v>
          </cell>
        </row>
        <row r="143">
          <cell r="B143" t="str">
            <v>RINALDO JOVIS BARETHA</v>
          </cell>
        </row>
        <row r="144">
          <cell r="B144" t="str">
            <v>PD MARINDO JAYA</v>
          </cell>
        </row>
        <row r="145">
          <cell r="B145" t="str">
            <v>PT RINA INDONESIA</v>
          </cell>
        </row>
        <row r="146">
          <cell r="B146" t="str">
            <v>RIZZA HIMAWAN SANDROTO</v>
          </cell>
        </row>
        <row r="147">
          <cell r="B147" t="str">
            <v>PT ARMADA RIZKY LINES</v>
          </cell>
        </row>
        <row r="148">
          <cell r="B148" t="str">
            <v>PT MARITIM INDO RAYA</v>
          </cell>
        </row>
        <row r="149">
          <cell r="B149" t="str">
            <v>RIRIS PURWANINGSIH</v>
          </cell>
        </row>
        <row r="150">
          <cell r="B150" t="str">
            <v>PT ENERGY TRANSPORTER INDONESIA</v>
          </cell>
        </row>
        <row r="151">
          <cell r="B151" t="str">
            <v>PT INDIKA ENERGY TRADING</v>
          </cell>
        </row>
        <row r="152">
          <cell r="B152" t="str">
            <v>CLOVERS FLORIST</v>
          </cell>
        </row>
        <row r="153">
          <cell r="B153" t="str">
            <v>CV TRIJAYA SETIA MAKMUR</v>
          </cell>
        </row>
        <row r="154">
          <cell r="B154" t="str">
            <v>TASYA COPY CENTER</v>
          </cell>
        </row>
        <row r="155">
          <cell r="B155" t="str">
            <v>PT MITRA SARANA BAROKAH</v>
          </cell>
        </row>
        <row r="156">
          <cell r="B156" t="str">
            <v>MAS NUROH YUSUF</v>
          </cell>
        </row>
        <row r="157">
          <cell r="B157" t="str">
            <v>PT BAHTERA PASIFIK NUSANTARA</v>
          </cell>
        </row>
        <row r="158">
          <cell r="B158" t="str">
            <v>PT DELTA TRANS MARITIM</v>
          </cell>
        </row>
        <row r="159">
          <cell r="B159" t="str">
            <v>PT BAHARI TIRTA JAYA</v>
          </cell>
        </row>
        <row r="160">
          <cell r="B160" t="str">
            <v>PT NASIA KIRMALA SAMUDERA</v>
          </cell>
        </row>
        <row r="161">
          <cell r="B161" t="str">
            <v>PT PATRIA MARITIME LINES</v>
          </cell>
        </row>
        <row r="162">
          <cell r="B162" t="str">
            <v>PT ADHI GUNA (Pacitan, Gresik)</v>
          </cell>
        </row>
        <row r="163">
          <cell r="B163" t="str">
            <v>PT GANIA PRIMA ENERGI</v>
          </cell>
        </row>
        <row r="164">
          <cell r="B164" t="str">
            <v>TOKO BUKU AA BEKASI</v>
          </cell>
        </row>
        <row r="165">
          <cell r="B165" t="str">
            <v>CV EDSIGN DELTA IMAJI</v>
          </cell>
        </row>
        <row r="166">
          <cell r="B166" t="str">
            <v>ANDI ARDI SAID</v>
          </cell>
        </row>
        <row r="167">
          <cell r="B167" t="str">
            <v>DKM MASJID AL FATTAH Cibinong</v>
          </cell>
        </row>
        <row r="168">
          <cell r="B168" t="str">
            <v>ARUTMIN BORNEO RUN</v>
          </cell>
        </row>
        <row r="169">
          <cell r="B169" t="str">
            <v>CREW SURYA SEGARA 3 / FINACIA 96</v>
          </cell>
        </row>
        <row r="170">
          <cell r="B170" t="str">
            <v>MASUDI</v>
          </cell>
        </row>
        <row r="171">
          <cell r="B171" t="str">
            <v>NOTARIS EWIN ENY SUNDARI S.H</v>
          </cell>
        </row>
        <row r="172">
          <cell r="B172" t="str">
            <v>LASTE FERI KUSUMA</v>
          </cell>
        </row>
        <row r="173">
          <cell r="B173" t="str">
            <v>PT TANTO MAJU BERSAMA</v>
          </cell>
        </row>
        <row r="174">
          <cell r="B174" t="str">
            <v>ISMUALAM (CV Berkat Power)</v>
          </cell>
        </row>
        <row r="175">
          <cell r="B175" t="str">
            <v>PT BLUE OCEAN SHIPPING</v>
          </cell>
        </row>
        <row r="176">
          <cell r="B176" t="str">
            <v>GOJEK</v>
          </cell>
        </row>
        <row r="177">
          <cell r="B177" t="str">
            <v>PT VENETA NUSANTARA</v>
          </cell>
        </row>
        <row r="178">
          <cell r="B178" t="str">
            <v>TOTAL BUAH SEGAR BEKASI</v>
          </cell>
        </row>
        <row r="179">
          <cell r="B179" t="str">
            <v>ASKA AMBAR ROKMANA NINGRUM</v>
          </cell>
        </row>
        <row r="180">
          <cell r="B180" t="str">
            <v>ALFAMART</v>
          </cell>
        </row>
        <row r="181">
          <cell r="B181" t="str">
            <v>UUS BUDI UNTUNG</v>
          </cell>
        </row>
        <row r="182">
          <cell r="B182" t="str">
            <v>PT LANCAR BAROKAH ENERGI (BNI)</v>
          </cell>
        </row>
        <row r="183">
          <cell r="B183" t="str">
            <v>PT SAPUTRA SUMBER JAYA</v>
          </cell>
        </row>
        <row r="184">
          <cell r="B184" t="str">
            <v>PT BANGGA ADI UTAMA</v>
          </cell>
        </row>
        <row r="185">
          <cell r="B185" t="str">
            <v>CV PERMATA ABADI MARINE</v>
          </cell>
        </row>
        <row r="186">
          <cell r="B186" t="str">
            <v>PT AMBANG BARITO PERSADA</v>
          </cell>
        </row>
        <row r="187">
          <cell r="B187" t="str">
            <v>PT VIREMA IMPEX</v>
          </cell>
        </row>
        <row r="188">
          <cell r="B188" t="str">
            <v>PT PELNAS WIBOWO BERSAUDARA</v>
          </cell>
        </row>
        <row r="189">
          <cell r="B189" t="str">
            <v>HAIRUL ANWAR NOOR</v>
          </cell>
        </row>
        <row r="190">
          <cell r="B190" t="str">
            <v>DIAN HARNITA</v>
          </cell>
        </row>
        <row r="191">
          <cell r="B191" t="str">
            <v>PT SAMUDERA CAPIT HITAM</v>
          </cell>
        </row>
        <row r="192">
          <cell r="B192" t="str">
            <v>PT RODA MITRA ABADI</v>
          </cell>
        </row>
        <row r="193">
          <cell r="B193" t="str">
            <v>PT GLOBAL PRIME SINERGY</v>
          </cell>
        </row>
        <row r="194">
          <cell r="B194" t="str">
            <v>M TEKNIK</v>
          </cell>
        </row>
        <row r="195">
          <cell r="B195" t="str">
            <v>PT MULIA SAFETY SERVICE</v>
          </cell>
        </row>
        <row r="196">
          <cell r="B196" t="str">
            <v>RUDY</v>
          </cell>
        </row>
        <row r="197">
          <cell r="B197" t="str">
            <v>PT MULTI KARYA SENTOSA</v>
          </cell>
        </row>
        <row r="198">
          <cell r="B198" t="str">
            <v>PT SUMBER REJEKI EKONOMI</v>
          </cell>
        </row>
        <row r="199">
          <cell r="B199" t="str">
            <v>PT SAHABAT PELAYARAN INDONESIA</v>
          </cell>
        </row>
        <row r="200">
          <cell r="B200" t="str">
            <v>PT RAJA GAGAS SARANA</v>
          </cell>
        </row>
        <row r="201">
          <cell r="B201" t="str">
            <v>RACKETIFY BOGOR</v>
          </cell>
        </row>
        <row r="202">
          <cell r="B202" t="str">
            <v>PUJIONO</v>
          </cell>
        </row>
        <row r="203">
          <cell r="B203" t="str">
            <v>PT MAHAJAYA BUMI SENTOSA</v>
          </cell>
        </row>
        <row r="204">
          <cell r="B204" t="str">
            <v>PT JAVA OCEAN UTAMA</v>
          </cell>
        </row>
        <row r="205">
          <cell r="B205" t="str">
            <v>PT RADIPA SOLUSI MARITIM</v>
          </cell>
        </row>
        <row r="206">
          <cell r="B206" t="str">
            <v>PT HANANIA SAMUDERA JAYA</v>
          </cell>
        </row>
        <row r="207">
          <cell r="B207" t="str">
            <v>BINA SARANA INFORMATIKA</v>
          </cell>
        </row>
        <row r="208">
          <cell r="B208" t="str">
            <v>SITI NASTITI</v>
          </cell>
        </row>
        <row r="209">
          <cell r="B209" t="str">
            <v>CV CARVIN JAYA SEJATI</v>
          </cell>
        </row>
        <row r="210">
          <cell r="B210" t="str">
            <v>PT RAFFAZA SAMUDERA INDONESIA</v>
          </cell>
        </row>
        <row r="211">
          <cell r="B211" t="str">
            <v>DEDE SUGIYONO</v>
          </cell>
        </row>
        <row r="212">
          <cell r="B212" t="str">
            <v>HASWIN</v>
          </cell>
        </row>
        <row r="213">
          <cell r="B213" t="str">
            <v>PT CAHAYA MALUKU LESTARI</v>
          </cell>
        </row>
        <row r="214">
          <cell r="B214" t="str">
            <v>PT DINI RIYANTO BUANA MEKAR</v>
          </cell>
        </row>
        <row r="215">
          <cell r="B215" t="str">
            <v>PT DWI SAMUDERA LINE</v>
          </cell>
        </row>
        <row r="216">
          <cell r="B216" t="str">
            <v>PT SAMUDERA PERMATA MANDIRI</v>
          </cell>
        </row>
        <row r="217">
          <cell r="B217" t="str">
            <v>SUMBER TEKNIK</v>
          </cell>
        </row>
        <row r="218">
          <cell r="B218" t="str">
            <v>PT HOKARI LINEX PRATAMA (Cilegon)</v>
          </cell>
        </row>
        <row r="219">
          <cell r="B219" t="str">
            <v>PT HOKARI LINEX PRATAMA</v>
          </cell>
        </row>
        <row r="220">
          <cell r="B220" t="str">
            <v>PT PAN ORIENT PACIFIC</v>
          </cell>
        </row>
        <row r="221">
          <cell r="B221" t="str">
            <v>SUBUR MOTOR</v>
          </cell>
        </row>
        <row r="222">
          <cell r="B222" t="str">
            <v>CV BANOLI JAYA</v>
          </cell>
        </row>
        <row r="223">
          <cell r="B223" t="str">
            <v>IRMA HARDIANTI</v>
          </cell>
        </row>
        <row r="224">
          <cell r="B224" t="str">
            <v>CREW MICHELLE 219-08 / ANGELINE 219-08</v>
          </cell>
        </row>
        <row r="225">
          <cell r="B225" t="str">
            <v>JUSNAEKA</v>
          </cell>
        </row>
        <row r="226">
          <cell r="B226" t="str">
            <v>RAIHAN ARDANI</v>
          </cell>
        </row>
        <row r="227">
          <cell r="B227" t="str">
            <v>PT NAFV CATALYS LOGIC</v>
          </cell>
        </row>
        <row r="228">
          <cell r="B228" t="str">
            <v>PT GENTA MARITIM PRATAMA</v>
          </cell>
        </row>
        <row r="229">
          <cell r="B229" t="str">
            <v>PT WIDAYA AGROKIMIA NUSANTARA</v>
          </cell>
        </row>
        <row r="230">
          <cell r="B230" t="str">
            <v>Achmad Toha</v>
          </cell>
        </row>
        <row r="231">
          <cell r="B231" t="str">
            <v>PT FIXPRINT</v>
          </cell>
        </row>
        <row r="232">
          <cell r="B232" t="str">
            <v>PT PELITA SAMUDERA SREEYA</v>
          </cell>
        </row>
        <row r="233">
          <cell r="B233" t="str">
            <v>INDIKA CAPITAL INVESTMENTS PTE LTD</v>
          </cell>
        </row>
        <row r="234">
          <cell r="B234" t="str">
            <v>BERTON SIMAMORA</v>
          </cell>
        </row>
        <row r="235">
          <cell r="B235" t="str">
            <v>ANDI AHMAD</v>
          </cell>
        </row>
        <row r="236">
          <cell r="B236" t="str">
            <v>RIKHARDO ARTHUR PHIL</v>
          </cell>
        </row>
        <row r="237">
          <cell r="B237" t="str">
            <v>JAYA KESUMA</v>
          </cell>
        </row>
        <row r="238">
          <cell r="B238" t="str">
            <v>JUNINGSIH SUTJIONO</v>
          </cell>
        </row>
        <row r="239">
          <cell r="B239" t="str">
            <v>FIKI</v>
          </cell>
        </row>
        <row r="240">
          <cell r="B240" t="str">
            <v>SENTOSA SEAFOOD</v>
          </cell>
        </row>
        <row r="241">
          <cell r="B241" t="str">
            <v>INDOMARET</v>
          </cell>
        </row>
        <row r="242">
          <cell r="B242" t="str">
            <v>TARMINAH</v>
          </cell>
        </row>
        <row r="243">
          <cell r="B243" t="str">
            <v>DIMSUM INC FESTIVAL</v>
          </cell>
        </row>
        <row r="244">
          <cell r="B244" t="str">
            <v>PT IMC PELITA LOGISTIK TBK</v>
          </cell>
        </row>
        <row r="245">
          <cell r="B245" t="str">
            <v>PT DELTA POWER 88</v>
          </cell>
        </row>
        <row r="246">
          <cell r="B246" t="str">
            <v>DITA LARASATI</v>
          </cell>
        </row>
        <row r="247">
          <cell r="B247" t="str">
            <v>RM PADANG SEDERHANA</v>
          </cell>
        </row>
        <row r="248">
          <cell r="B248" t="str">
            <v>WEEZY COOKIES</v>
          </cell>
        </row>
        <row r="249">
          <cell r="B249" t="str">
            <v>PT PRIMA ISMAYA SEJAHTERA</v>
          </cell>
        </row>
        <row r="250">
          <cell r="B250" t="str">
            <v>2 SAUDARA TEKNIK</v>
          </cell>
        </row>
        <row r="251">
          <cell r="B251" t="str">
            <v>TUGU KUNSTKRING PALEIS</v>
          </cell>
        </row>
        <row r="252">
          <cell r="B252" t="str">
            <v>PT AMERTA LINTAS NUSANTARA</v>
          </cell>
        </row>
        <row r="253">
          <cell r="B253" t="str">
            <v>PT MAKSINDO DIESEL UTAMA</v>
          </cell>
        </row>
        <row r="254">
          <cell r="B254" t="str">
            <v>PT ADITOYA MULTI GUNA</v>
          </cell>
        </row>
        <row r="255">
          <cell r="B255" t="str">
            <v>AMERICAN BUREAU OF SHIPPING</v>
          </cell>
        </row>
        <row r="256">
          <cell r="B256" t="str">
            <v>PT BERKAT CAHAYA MARITIM</v>
          </cell>
        </row>
        <row r="257">
          <cell r="B257" t="str">
            <v>PT PULAU SEROJA JAYA</v>
          </cell>
        </row>
        <row r="258">
          <cell r="B258" t="str">
            <v>CAESAR EHRLICH SAMPURNA ACHMAD</v>
          </cell>
        </row>
        <row r="259">
          <cell r="B259" t="str">
            <v>PT SARANA RESOURCES</v>
          </cell>
        </row>
        <row r="260">
          <cell r="B260" t="str">
            <v>PT BAHARI JAYA MULIA</v>
          </cell>
        </row>
        <row r="261">
          <cell r="B261" t="str">
            <v>RIRIS &amp; NABILA</v>
          </cell>
        </row>
        <row r="262">
          <cell r="B262" t="str">
            <v>PT MULTI ARTHA SEGORO</v>
          </cell>
        </row>
        <row r="263">
          <cell r="B263" t="str">
            <v>PT ZIO JAYA BAHARI</v>
          </cell>
        </row>
        <row r="264">
          <cell r="B264" t="str">
            <v>PT GARUDA UNGGUL NASIONAL</v>
          </cell>
        </row>
        <row r="265">
          <cell r="B265" t="str">
            <v>PT TRANS ENERGY OPTIMA</v>
          </cell>
        </row>
        <row r="266">
          <cell r="B266" t="str">
            <v>ILHAM RIFQI DWI HANIF</v>
          </cell>
        </row>
        <row r="267">
          <cell r="B267" t="str">
            <v>PT AZAZ SHIPS SERVICES</v>
          </cell>
        </row>
        <row r="268">
          <cell r="B268" t="str">
            <v>PT ADHI GUNA PUTERA (Banten)</v>
          </cell>
        </row>
        <row r="269">
          <cell r="B269" t="str">
            <v>PT LIMA SEMBILAN SEMBILAN SEMBILAN</v>
          </cell>
        </row>
        <row r="270">
          <cell r="B270" t="str">
            <v>CV JAYA AGUNG MARINE</v>
          </cell>
        </row>
        <row r="271">
          <cell r="B271" t="str">
            <v>PT BINTANG BAHARI DIESEL</v>
          </cell>
        </row>
        <row r="272">
          <cell r="B272" t="str">
            <v>PT AMBANG BARITO NUSA PERSADA</v>
          </cell>
        </row>
        <row r="273">
          <cell r="B273" t="str">
            <v>ENGGARINGTYAS DONYA WICAHYO LISWARI</v>
          </cell>
        </row>
        <row r="274">
          <cell r="B274" t="str">
            <v>CV CAHAYA ABADI</v>
          </cell>
        </row>
        <row r="275">
          <cell r="B275" t="str">
            <v>HILMAN KHAMIL</v>
          </cell>
        </row>
        <row r="276">
          <cell r="B276" t="str">
            <v>ALI KASIM</v>
          </cell>
        </row>
        <row r="277">
          <cell r="B277" t="str">
            <v>ISMA NUAENI</v>
          </cell>
        </row>
        <row r="278">
          <cell r="B278" t="str">
            <v>CV PARNA MAKMUR BERSAMA</v>
          </cell>
        </row>
        <row r="279">
          <cell r="B279" t="str">
            <v>PT SUMMER TEKNIK</v>
          </cell>
        </row>
        <row r="280">
          <cell r="B280" t="str">
            <v>PT GLOBAL LOGISTIK AGENSI</v>
          </cell>
        </row>
        <row r="281">
          <cell r="B281" t="str">
            <v>PT DUTA BAHTERA SEMESTA</v>
          </cell>
        </row>
        <row r="282">
          <cell r="B282" t="str">
            <v>CREDIBLE GLOBAL LOGISTICS</v>
          </cell>
        </row>
        <row r="283">
          <cell r="B283" t="str">
            <v>PT RAYA KALISTA SAMUDERA</v>
          </cell>
        </row>
        <row r="284">
          <cell r="B284" t="str">
            <v>PT PINUS MULIA ABADI</v>
          </cell>
        </row>
        <row r="285">
          <cell r="B285" t="str">
            <v>PT SAMUDERA PASIFIC TOTABUAN</v>
          </cell>
        </row>
        <row r="286">
          <cell r="B286" t="str">
            <v>KHARISMA DUTA</v>
          </cell>
        </row>
        <row r="287">
          <cell r="B287" t="str">
            <v>CELEBES TEKNIK</v>
          </cell>
        </row>
        <row r="288">
          <cell r="B288" t="str">
            <v>DWI JAYA SAMUDRA</v>
          </cell>
        </row>
        <row r="289">
          <cell r="B289" t="str">
            <v>PT SURYA BANJAR UTAMA</v>
          </cell>
        </row>
        <row r="290">
          <cell r="B290" t="str">
            <v>PT MASADA JAYA LINES</v>
          </cell>
        </row>
        <row r="291">
          <cell r="B291" t="str">
            <v>PT ENERGI PRIMER ASIA</v>
          </cell>
        </row>
        <row r="292">
          <cell r="B292" t="str">
            <v>PT TRANSCOAL PACIFIC TBK</v>
          </cell>
        </row>
        <row r="293">
          <cell r="B293" t="str">
            <v>PT ARTA GEMILANG ENERGI</v>
          </cell>
        </row>
        <row r="294">
          <cell r="B294" t="str">
            <v>PT GOLDEN RAMA EXPRESS</v>
          </cell>
        </row>
        <row r="295">
          <cell r="B295" t="str">
            <v>PT CAKRAWALA ENERGI MINERAL</v>
          </cell>
        </row>
        <row r="296">
          <cell r="B296" t="str">
            <v>BAMBU OJU</v>
          </cell>
        </row>
        <row r="297">
          <cell r="B297" t="str">
            <v>ANDI DEWI CAMANDINI</v>
          </cell>
        </row>
        <row r="298">
          <cell r="B298" t="str">
            <v>PT BGIB INSURANCE BROKERS</v>
          </cell>
        </row>
        <row r="299">
          <cell r="B299" t="str">
            <v>PT MARITIM INTERNUSA ABADI</v>
          </cell>
        </row>
        <row r="300">
          <cell r="B300" t="str">
            <v>CV BERKAH LINTAS SAMUDERA</v>
          </cell>
        </row>
        <row r="301">
          <cell r="B301" t="str">
            <v>PT SEMERU INTI PRIMA</v>
          </cell>
        </row>
        <row r="302">
          <cell r="B302" t="str">
            <v>PT LAUT NATUNA</v>
          </cell>
        </row>
        <row r="303">
          <cell r="B303" t="str">
            <v>SEHIMPOEN</v>
          </cell>
        </row>
        <row r="304">
          <cell r="B304" t="str">
            <v>PT BAINRA LAUTAN UTAMA</v>
          </cell>
        </row>
        <row r="305">
          <cell r="B305" t="str">
            <v>PT WEB MEDIA TECHNOLOGY INDONESIA</v>
          </cell>
        </row>
        <row r="306">
          <cell r="B306" t="str">
            <v xml:space="preserve">SINAR INTI JAYA </v>
          </cell>
        </row>
        <row r="307">
          <cell r="B307" t="str">
            <v>PT ANDROMEDA SENTRAL PASIFIK</v>
          </cell>
        </row>
        <row r="308">
          <cell r="B308" t="str">
            <v>PT WAHANA SAMUDERA AGENCY</v>
          </cell>
        </row>
        <row r="309">
          <cell r="B309" t="str">
            <v>HENDRA SURYANA</v>
          </cell>
        </row>
        <row r="310">
          <cell r="B310" t="str">
            <v>SANTI SARI</v>
          </cell>
        </row>
        <row r="311">
          <cell r="B311" t="str">
            <v>CELVITA TRIATUSTI</v>
          </cell>
        </row>
        <row r="312">
          <cell r="B312" t="str">
            <v>PT MEGA SUMBER ENERGY</v>
          </cell>
        </row>
        <row r="313">
          <cell r="B313" t="str">
            <v>TRIJAYA COMPUTER</v>
          </cell>
        </row>
        <row r="314">
          <cell r="B314" t="str">
            <v>BPJS KETENAGAKERJAAN</v>
          </cell>
        </row>
        <row r="315">
          <cell r="B315" t="str">
            <v>MIE AYAM BANGKA</v>
          </cell>
        </row>
        <row r="316">
          <cell r="B316" t="str">
            <v>PT PERSADA LINTAS ASIA</v>
          </cell>
        </row>
        <row r="317">
          <cell r="B317" t="str">
            <v>ANDREW CH TINGGIAN</v>
          </cell>
        </row>
        <row r="318">
          <cell r="B318" t="str">
            <v>HENDRA SCIPTA SAKIDJA</v>
          </cell>
        </row>
        <row r="319">
          <cell r="B319" t="str">
            <v>ANTONY</v>
          </cell>
        </row>
        <row r="320">
          <cell r="B320" t="str">
            <v>PT BIRO KLASIFIKASI INDONESIA PERSERO</v>
          </cell>
        </row>
        <row r="321">
          <cell r="B321" t="str">
            <v>PT BARITO DUTA SARANA</v>
          </cell>
        </row>
        <row r="322">
          <cell r="B322" t="str">
            <v>PT PELAYARAN PELANGI SINDUMULIA</v>
          </cell>
        </row>
        <row r="323">
          <cell r="B323" t="str">
            <v>CV SHARE MULTI TEKNIKA</v>
          </cell>
        </row>
        <row r="324">
          <cell r="B324" t="str">
            <v xml:space="preserve">PT PERMATA LINTAS ABADI </v>
          </cell>
        </row>
        <row r="325">
          <cell r="B325" t="str">
            <v>WIN SON</v>
          </cell>
        </row>
        <row r="326">
          <cell r="B326" t="str">
            <v>VENANTIUS AGUS BASUKI</v>
          </cell>
        </row>
        <row r="327">
          <cell r="B327" t="str">
            <v>MUH IQROM PUTRA</v>
          </cell>
        </row>
        <row r="328">
          <cell r="B328" t="str">
            <v>PT ADHIUTAMA POWER MANDALA</v>
          </cell>
        </row>
        <row r="329">
          <cell r="B329" t="str">
            <v>PT ASTHA YASA SENTOSA</v>
          </cell>
        </row>
        <row r="330">
          <cell r="B330" t="str">
            <v>YAYASAN AMAL TAMBANG SEMBILAN SEMBILAN MANDIRI</v>
          </cell>
        </row>
        <row r="331">
          <cell r="B331" t="str">
            <v>BUDI KAHANA</v>
          </cell>
        </row>
        <row r="332">
          <cell r="B332" t="str">
            <v>PT HAVEN SAMUDRA INDONESIA</v>
          </cell>
        </row>
        <row r="333">
          <cell r="B333" t="str">
            <v>PT SUMBER ENERGI SUKSES MAKMUR</v>
          </cell>
        </row>
        <row r="334">
          <cell r="B334" t="str">
            <v>DENY SAMUDRA</v>
          </cell>
        </row>
        <row r="335">
          <cell r="B335" t="str">
            <v>ANDI ARMAN</v>
          </cell>
        </row>
        <row r="336">
          <cell r="B336" t="str">
            <v>STEVANUS HATMOKO</v>
          </cell>
        </row>
        <row r="337">
          <cell r="B337" t="str">
            <v>AGUS</v>
          </cell>
        </row>
        <row r="338">
          <cell r="B338" t="str">
            <v>PT MARITIM ARMADA RAYA</v>
          </cell>
        </row>
        <row r="339">
          <cell r="B339" t="str">
            <v>CREW OCEAN POWER 21 / BG ANGELINE 219-05</v>
          </cell>
        </row>
        <row r="340">
          <cell r="B340" t="str">
            <v>SYAFRIZAL HJ LAADA</v>
          </cell>
        </row>
        <row r="341">
          <cell r="B341" t="str">
            <v>PT BIMA KALTIM UTAMA</v>
          </cell>
        </row>
        <row r="342">
          <cell r="B342" t="str">
            <v>PT BHINEKA BAHARI JAYA</v>
          </cell>
        </row>
        <row r="343">
          <cell r="B343" t="str">
            <v>PT KARYA PACIFIC SHIPPING</v>
          </cell>
        </row>
        <row r="344">
          <cell r="B344" t="str">
            <v>PT BARUGA MANDIRI PRATAMA (AGENCY)</v>
          </cell>
        </row>
        <row r="345">
          <cell r="B345" t="str">
            <v>JAMILLUDIN</v>
          </cell>
        </row>
        <row r="346">
          <cell r="B346" t="str">
            <v>PT DIVEN MAJU SENTOSA</v>
          </cell>
        </row>
        <row r="347">
          <cell r="B347" t="str">
            <v xml:space="preserve">AANG SETIAWAN </v>
          </cell>
        </row>
        <row r="348">
          <cell r="B348" t="str">
            <v>PT SAMUDERA NUSA PERKASA</v>
          </cell>
        </row>
        <row r="349">
          <cell r="B349" t="str">
            <v>FUJIANTO</v>
          </cell>
        </row>
        <row r="350">
          <cell r="B350" t="str">
            <v>FIDA UL ADN</v>
          </cell>
        </row>
        <row r="351">
          <cell r="B351" t="str">
            <v>PT PELAYARAN LAKSITA ADITYA PARAMA</v>
          </cell>
        </row>
        <row r="352">
          <cell r="B352" t="str">
            <v>PT BONSANG SAMUDERA SEJAHTERA</v>
          </cell>
        </row>
        <row r="353">
          <cell r="B353" t="str">
            <v>DENNY SAMUDRA</v>
          </cell>
        </row>
        <row r="354">
          <cell r="B354" t="str">
            <v>MAS AGUS</v>
          </cell>
        </row>
        <row r="355">
          <cell r="B355" t="str">
            <v>RIYADI</v>
          </cell>
        </row>
        <row r="356">
          <cell r="B356" t="str">
            <v xml:space="preserve">PIZZA HUT </v>
          </cell>
        </row>
        <row r="357">
          <cell r="B357" t="str">
            <v>PT JASA DAGANG INDONESIA</v>
          </cell>
        </row>
        <row r="358">
          <cell r="B358" t="str">
            <v>CV TRANS LOGISTIK NUSANTARA</v>
          </cell>
        </row>
        <row r="359">
          <cell r="B359" t="str">
            <v>BUN TJI LIUNG</v>
          </cell>
        </row>
        <row r="360">
          <cell r="B360" t="str">
            <v>SUDIRMAN</v>
          </cell>
        </row>
        <row r="361">
          <cell r="B361" t="str">
            <v>SAWITRI HADIPRAYITNO</v>
          </cell>
        </row>
        <row r="362">
          <cell r="B362" t="str">
            <v>PT BINTANG LAUT SEJAHTERA SEMBILAN DUA</v>
          </cell>
        </row>
        <row r="363">
          <cell r="B363" t="str">
            <v>PT VINICI SAMUDRA AGENCIES</v>
          </cell>
        </row>
        <row r="364">
          <cell r="B364" t="str">
            <v>PT TITAN TRANSPORT INDONUSA</v>
          </cell>
        </row>
        <row r="365">
          <cell r="B365" t="str">
            <v>PT SEAPORT SERVICES INDONESIA</v>
          </cell>
        </row>
        <row r="366">
          <cell r="B366" t="str">
            <v>PT DALUT NUSANTARA BARU</v>
          </cell>
        </row>
        <row r="367">
          <cell r="B367" t="str">
            <v>PT JAYA ABADI SHIPPING</v>
          </cell>
        </row>
        <row r="368">
          <cell r="B368" t="str">
            <v>PT OMEGA PERSADA EMAS</v>
          </cell>
        </row>
        <row r="369">
          <cell r="B369" t="str">
            <v>PT SAMUGARA MULTIKARYA UTAMA</v>
          </cell>
        </row>
        <row r="370">
          <cell r="B370" t="str">
            <v>SAKTI AJI MAHARDIKA</v>
          </cell>
        </row>
      </sheetData>
      <sheetData sheetId="1"/>
      <sheetData sheetId="2">
        <row r="2">
          <cell r="B2" t="str">
            <v>001/K/I/26</v>
          </cell>
          <cell r="C2">
            <v>46025</v>
          </cell>
          <cell r="E2" t="str">
            <v>PT BENAYA AMB MANDIRI</v>
          </cell>
          <cell r="F2" t="str">
            <v>60/BAM-MAR/INV/XII/25</v>
          </cell>
          <cell r="G2" t="str">
            <v>585/OPS-XII/2025</v>
          </cell>
          <cell r="H2" t="str">
            <v>Solar HSD MXV Voyage 125L</v>
          </cell>
          <cell r="I2">
            <v>572072072</v>
          </cell>
          <cell r="J2">
            <v>62927928</v>
          </cell>
          <cell r="K2">
            <v>0</v>
          </cell>
          <cell r="M2">
            <v>0</v>
          </cell>
          <cell r="N2">
            <v>0</v>
          </cell>
          <cell r="O2">
            <v>0</v>
          </cell>
          <cell r="P2">
            <v>635000000</v>
          </cell>
          <cell r="Q2">
            <v>46034</v>
          </cell>
        </row>
        <row r="3">
          <cell r="B3" t="str">
            <v>002/K/I/26</v>
          </cell>
          <cell r="C3">
            <v>46023</v>
          </cell>
          <cell r="E3" t="str">
            <v>YUDIANTO</v>
          </cell>
          <cell r="G3" t="str">
            <v>704/PV-MAR/2025</v>
          </cell>
          <cell r="H3" t="str">
            <v>Uang Makan Crew Entebe Star 31 / Financia 71 Periode Desember 2025</v>
          </cell>
          <cell r="I3">
            <v>16500000</v>
          </cell>
          <cell r="J3">
            <v>0</v>
          </cell>
          <cell r="K3">
            <v>0</v>
          </cell>
          <cell r="M3">
            <v>0</v>
          </cell>
          <cell r="N3">
            <v>0</v>
          </cell>
          <cell r="O3">
            <v>0</v>
          </cell>
          <cell r="P3">
            <v>16500000</v>
          </cell>
          <cell r="Q3">
            <v>46034</v>
          </cell>
        </row>
        <row r="4">
          <cell r="B4" t="str">
            <v>003/K/I/26</v>
          </cell>
          <cell r="C4">
            <v>46025</v>
          </cell>
          <cell r="E4" t="str">
            <v>Zulfadhli Jusuf</v>
          </cell>
          <cell r="G4" t="str">
            <v>002/PV-MAR/2026</v>
          </cell>
          <cell r="H4" t="str">
            <v>Outing direksi MAR - Tiket pesawat, Akomodasi via Cheria Travel &amp; uang saku</v>
          </cell>
          <cell r="I4">
            <v>120000000</v>
          </cell>
          <cell r="J4">
            <v>0</v>
          </cell>
          <cell r="K4">
            <v>0</v>
          </cell>
          <cell r="M4">
            <v>0</v>
          </cell>
          <cell r="N4">
            <v>0</v>
          </cell>
          <cell r="O4">
            <v>0</v>
          </cell>
          <cell r="P4">
            <v>120000000</v>
          </cell>
          <cell r="Q4">
            <v>46034</v>
          </cell>
        </row>
        <row r="5">
          <cell r="B5" t="str">
            <v>004/K/I/26</v>
          </cell>
          <cell r="C5">
            <v>46025</v>
          </cell>
          <cell r="E5" t="str">
            <v>BINA SARANA INFORMATIKA</v>
          </cell>
          <cell r="F5" t="str">
            <v>323.02/Y-BSI/XII/2025</v>
          </cell>
          <cell r="G5" t="str">
            <v>003/PV-MAR/2026</v>
          </cell>
          <cell r="H5" t="str">
            <v>Sewa Ruangan Graha MIR Lt 3 Zona B dan Zona C 2026</v>
          </cell>
          <cell r="I5">
            <v>395760000</v>
          </cell>
          <cell r="J5">
            <v>0</v>
          </cell>
          <cell r="K5">
            <v>0</v>
          </cell>
          <cell r="M5">
            <v>-39576000</v>
          </cell>
          <cell r="N5">
            <v>2900</v>
          </cell>
          <cell r="O5">
            <v>0</v>
          </cell>
          <cell r="P5">
            <v>356186900</v>
          </cell>
          <cell r="Q5">
            <v>46034</v>
          </cell>
        </row>
        <row r="6">
          <cell r="B6" t="str">
            <v>005/K/I/26</v>
          </cell>
          <cell r="C6">
            <v>46029</v>
          </cell>
          <cell r="D6" t="str">
            <v>260008MJY</v>
          </cell>
          <cell r="E6" t="str">
            <v>PT SUPRA PRIMATAMA NUSANTARA</v>
          </cell>
          <cell r="F6" t="str">
            <v>000000003353</v>
          </cell>
          <cell r="G6" t="str">
            <v>004/PV-MAR/2026</v>
          </cell>
          <cell r="H6" t="str">
            <v>Tagihan Internet Januari 2026 - Maret 2027</v>
          </cell>
          <cell r="I6">
            <v>20400000</v>
          </cell>
          <cell r="J6">
            <v>2244000</v>
          </cell>
          <cell r="K6">
            <v>23</v>
          </cell>
          <cell r="M6">
            <v>-408000</v>
          </cell>
          <cell r="N6">
            <v>2500</v>
          </cell>
          <cell r="O6">
            <v>10000</v>
          </cell>
          <cell r="P6">
            <v>22248500</v>
          </cell>
          <cell r="Q6">
            <v>46034</v>
          </cell>
        </row>
        <row r="7">
          <cell r="B7" t="str">
            <v>006/K/I/26</v>
          </cell>
          <cell r="C7">
            <v>46029</v>
          </cell>
          <cell r="E7" t="str">
            <v>MUHAMMAD ZAKI</v>
          </cell>
          <cell r="G7" t="str">
            <v>CAV004/OPS-I/2026</v>
          </cell>
          <cell r="H7" t="str">
            <v>Advance Operasional Januari 2026</v>
          </cell>
          <cell r="I7">
            <v>19918718</v>
          </cell>
          <cell r="J7">
            <v>0</v>
          </cell>
          <cell r="K7">
            <v>0</v>
          </cell>
          <cell r="M7">
            <v>0</v>
          </cell>
          <cell r="N7">
            <v>2500</v>
          </cell>
          <cell r="O7">
            <v>0</v>
          </cell>
          <cell r="P7">
            <v>19921218</v>
          </cell>
          <cell r="Q7">
            <v>46034</v>
          </cell>
        </row>
        <row r="8">
          <cell r="B8" t="str">
            <v>007/K/I/26</v>
          </cell>
          <cell r="C8">
            <v>46029</v>
          </cell>
          <cell r="D8" t="str">
            <v>26000JT7O</v>
          </cell>
          <cell r="E8" t="str">
            <v>SITI NASTITI</v>
          </cell>
          <cell r="F8" t="str">
            <v>06/INV-PJM/I/2026</v>
          </cell>
          <cell r="G8" t="str">
            <v>605/OPS-I/2026</v>
          </cell>
          <cell r="H8" t="str">
            <v>Perbaikan kapal TB Surya Segara 3 / BG Financia 96</v>
          </cell>
          <cell r="I8">
            <v>45128205</v>
          </cell>
          <cell r="J8">
            <v>0</v>
          </cell>
          <cell r="K8">
            <v>0</v>
          </cell>
          <cell r="M8">
            <v>-1128205</v>
          </cell>
          <cell r="N8">
            <v>0</v>
          </cell>
          <cell r="O8">
            <v>0</v>
          </cell>
          <cell r="P8">
            <v>44000000</v>
          </cell>
          <cell r="Q8">
            <v>46034</v>
          </cell>
        </row>
        <row r="9">
          <cell r="B9" t="str">
            <v>008/K/I/26</v>
          </cell>
          <cell r="C9">
            <v>46029</v>
          </cell>
          <cell r="E9" t="str">
            <v>RIZAL</v>
          </cell>
          <cell r="F9" t="str">
            <v>PV 091/K/XII/25</v>
          </cell>
          <cell r="G9" t="str">
            <v>604/OPS-I/2026</v>
          </cell>
          <cell r="H9" t="str">
            <v>Perbaikan kapal BG Financia 71</v>
          </cell>
          <cell r="I9">
            <v>18250000</v>
          </cell>
          <cell r="J9">
            <v>0</v>
          </cell>
          <cell r="K9">
            <v>0</v>
          </cell>
          <cell r="M9">
            <v>0</v>
          </cell>
          <cell r="N9">
            <v>0</v>
          </cell>
          <cell r="O9">
            <v>0</v>
          </cell>
          <cell r="P9">
            <v>18250000</v>
          </cell>
          <cell r="Q9">
            <v>46034</v>
          </cell>
        </row>
        <row r="10">
          <cell r="B10" t="str">
            <v>009/K/I/26</v>
          </cell>
          <cell r="C10">
            <v>46029</v>
          </cell>
          <cell r="D10" t="str">
            <v>260008MJX</v>
          </cell>
          <cell r="E10" t="str">
            <v>PT ELEANOR PRADANA SHIPPING</v>
          </cell>
          <cell r="F10" t="str">
            <v>0031/INV-ELPRAS/XI/2025</v>
          </cell>
          <cell r="G10" t="str">
            <v>490/OPS-XI/2025</v>
          </cell>
          <cell r="H10" t="str">
            <v>Biaya Keagenan TB Titan 470 &amp; BG Titan 480 Voyage 102D</v>
          </cell>
          <cell r="I10">
            <v>17190049</v>
          </cell>
          <cell r="J10">
            <v>220000</v>
          </cell>
          <cell r="K10">
            <v>23</v>
          </cell>
          <cell r="M10">
            <v>-40000</v>
          </cell>
          <cell r="N10">
            <v>2900</v>
          </cell>
          <cell r="O10">
            <v>0</v>
          </cell>
          <cell r="P10">
            <v>17372949</v>
          </cell>
          <cell r="Q10">
            <v>46034</v>
          </cell>
        </row>
        <row r="11">
          <cell r="B11" t="str">
            <v>010/K/I/26</v>
          </cell>
          <cell r="C11">
            <v>46029</v>
          </cell>
          <cell r="D11" t="str">
            <v>260008MJW</v>
          </cell>
          <cell r="E11" t="str">
            <v>PT ELEANOR PRADANA SHIPPING</v>
          </cell>
          <cell r="F11" t="str">
            <v>001/EPS-MAR/XI-25</v>
          </cell>
          <cell r="G11" t="str">
            <v>500/OPS-XI/2025</v>
          </cell>
          <cell r="H11" t="str">
            <v>Agency Fee TB Michelle X / BG Benami X Voyage 111LD</v>
          </cell>
          <cell r="I11">
            <v>23300118</v>
          </cell>
          <cell r="J11">
            <v>275000</v>
          </cell>
          <cell r="K11">
            <v>23</v>
          </cell>
          <cell r="M11">
            <v>-50000</v>
          </cell>
          <cell r="N11">
            <v>0</v>
          </cell>
          <cell r="O11">
            <v>0</v>
          </cell>
          <cell r="P11">
            <v>23525118</v>
          </cell>
          <cell r="Q11">
            <v>46034</v>
          </cell>
        </row>
        <row r="12">
          <cell r="B12" t="str">
            <v>011/K/I/26</v>
          </cell>
          <cell r="C12">
            <v>46029</v>
          </cell>
          <cell r="D12" t="str">
            <v>260008MJV</v>
          </cell>
          <cell r="E12" t="str">
            <v>PT PELAYARAN PESONA BANYUBIRU</v>
          </cell>
          <cell r="F12" t="str">
            <v>1101-01/INV-INDRAMAYU/XI/2025</v>
          </cell>
          <cell r="G12" t="str">
            <v>504/OPS-XI/2025</v>
          </cell>
          <cell r="H12" t="str">
            <v>Biaya Handling Keagenan TB Entebe Star 30 / BG Finacia 71 Voyage 106D</v>
          </cell>
          <cell r="I12">
            <v>22300000</v>
          </cell>
          <cell r="J12">
            <v>550000</v>
          </cell>
          <cell r="K12">
            <v>23</v>
          </cell>
          <cell r="M12">
            <v>-100000</v>
          </cell>
          <cell r="N12">
            <v>2900</v>
          </cell>
          <cell r="O12">
            <v>0</v>
          </cell>
          <cell r="P12">
            <v>22752900</v>
          </cell>
          <cell r="Q12">
            <v>46034</v>
          </cell>
        </row>
        <row r="13">
          <cell r="B13" t="str">
            <v>012/K/I/26</v>
          </cell>
          <cell r="C13">
            <v>46029</v>
          </cell>
          <cell r="D13" t="str">
            <v>26008MJU</v>
          </cell>
          <cell r="E13" t="str">
            <v>PT TIRTA SAMUDRA AGENCY</v>
          </cell>
          <cell r="F13" t="str">
            <v>001/PT.TSA/INV/XI/25</v>
          </cell>
          <cell r="G13" t="str">
            <v>517/OPS-XI/2025</v>
          </cell>
          <cell r="H13" t="str">
            <v>Agency Fee TB Michele XV / BG Benami XV Voyage 109D</v>
          </cell>
          <cell r="I13">
            <v>18937875</v>
          </cell>
          <cell r="J13">
            <v>220000</v>
          </cell>
          <cell r="K13">
            <v>23</v>
          </cell>
          <cell r="M13">
            <v>-40000</v>
          </cell>
          <cell r="N13">
            <v>2900</v>
          </cell>
          <cell r="O13">
            <v>0</v>
          </cell>
          <cell r="P13">
            <v>19120775</v>
          </cell>
          <cell r="Q13">
            <v>46034</v>
          </cell>
        </row>
        <row r="14">
          <cell r="B14" t="str">
            <v>013/K/I/26</v>
          </cell>
          <cell r="C14">
            <v>46029</v>
          </cell>
          <cell r="D14" t="str">
            <v>260008MJT</v>
          </cell>
          <cell r="E14" t="str">
            <v>PT ADHI GUNA PUTERA (JAKARTA)</v>
          </cell>
          <cell r="F14" t="str">
            <v>371/DNP/X/TN/2025</v>
          </cell>
          <cell r="G14" t="str">
            <v>526/OPS-XI/2025</v>
          </cell>
          <cell r="H14" t="str">
            <v>Assist Tug &amp; Pilotage Service TB Michelle Voyage 085D</v>
          </cell>
          <cell r="I14">
            <v>62361104</v>
          </cell>
          <cell r="J14">
            <v>0</v>
          </cell>
          <cell r="K14">
            <v>23</v>
          </cell>
          <cell r="M14">
            <v>-1247222.08</v>
          </cell>
          <cell r="N14">
            <v>2900</v>
          </cell>
          <cell r="O14">
            <v>-1</v>
          </cell>
          <cell r="P14">
            <v>61116780.920000002</v>
          </cell>
          <cell r="Q14">
            <v>46035</v>
          </cell>
        </row>
        <row r="15">
          <cell r="B15" t="str">
            <v>014/K/I/26</v>
          </cell>
          <cell r="C15">
            <v>46029</v>
          </cell>
          <cell r="E15" t="str">
            <v>CV PERMATA ABADI MARINE</v>
          </cell>
          <cell r="F15" t="str">
            <v>755/INV/PAM/XI-2025</v>
          </cell>
          <cell r="G15" t="str">
            <v>531/OPS-XI/2025</v>
          </cell>
          <cell r="H15" t="str">
            <v>Keperluan Kapal TB Surya Segara 3</v>
          </cell>
          <cell r="I15">
            <v>11860000</v>
          </cell>
          <cell r="J15">
            <v>0</v>
          </cell>
          <cell r="K15">
            <v>0</v>
          </cell>
          <cell r="M15">
            <v>0</v>
          </cell>
          <cell r="N15">
            <v>2900</v>
          </cell>
          <cell r="O15">
            <v>0</v>
          </cell>
          <cell r="P15">
            <v>11862900</v>
          </cell>
          <cell r="Q15">
            <v>46035</v>
          </cell>
        </row>
        <row r="16">
          <cell r="B16" t="str">
            <v>015/K/I/26</v>
          </cell>
          <cell r="C16">
            <v>46029</v>
          </cell>
          <cell r="E16" t="str">
            <v>PT CAHAYA SAMODERA BERSAUDARA</v>
          </cell>
          <cell r="F16" t="str">
            <v>CSB/INV/MRDCS/25/04476</v>
          </cell>
          <cell r="G16" t="str">
            <v>532/OPS-XI/2025</v>
          </cell>
          <cell r="H16" t="str">
            <v>Keperluan Kapal TB Surya Segara 3</v>
          </cell>
          <cell r="I16">
            <v>20175000</v>
          </cell>
          <cell r="J16">
            <v>0</v>
          </cell>
          <cell r="K16">
            <v>0</v>
          </cell>
          <cell r="M16">
            <v>0</v>
          </cell>
          <cell r="N16">
            <v>2900</v>
          </cell>
          <cell r="O16">
            <v>0</v>
          </cell>
          <cell r="P16">
            <v>20177900</v>
          </cell>
          <cell r="Q16">
            <v>46035</v>
          </cell>
        </row>
        <row r="17">
          <cell r="B17" t="str">
            <v>016/K/I/26</v>
          </cell>
          <cell r="C17">
            <v>46029</v>
          </cell>
          <cell r="D17" t="str">
            <v>260008MJS</v>
          </cell>
          <cell r="E17" t="str">
            <v>PT AGENCY PELAYARAN INDONESIA</v>
          </cell>
          <cell r="F17" t="str">
            <v>INV-089/KTP-RMB/MAR/X/2025</v>
          </cell>
          <cell r="G17" t="str">
            <v>539/OPS-XI/2025</v>
          </cell>
          <cell r="H17" t="str">
            <v>Keagenan TB Titan 470 / BG Titan 480 Voyage 102L</v>
          </cell>
          <cell r="I17">
            <v>11799280</v>
          </cell>
          <cell r="J17">
            <v>385000</v>
          </cell>
          <cell r="K17">
            <v>23</v>
          </cell>
          <cell r="M17">
            <v>-70000</v>
          </cell>
          <cell r="N17">
            <v>0</v>
          </cell>
          <cell r="O17">
            <v>1500000</v>
          </cell>
          <cell r="P17">
            <v>13614280</v>
          </cell>
          <cell r="Q17">
            <v>46035</v>
          </cell>
        </row>
        <row r="18">
          <cell r="B18" t="str">
            <v>016/K/I/26</v>
          </cell>
          <cell r="C18">
            <v>46029</v>
          </cell>
          <cell r="D18" t="str">
            <v>260008MJS</v>
          </cell>
          <cell r="E18" t="str">
            <v>PT AGENCY PELAYARAN INDONESIA</v>
          </cell>
          <cell r="F18" t="str">
            <v>INV-045/KTP-LTR/MAR/XI/2025</v>
          </cell>
          <cell r="G18" t="str">
            <v>595/OPS-XII/2025</v>
          </cell>
          <cell r="H18" t="str">
            <v>Keagenan TB Michelle X / BG Benami X Voyage 113L</v>
          </cell>
          <cell r="I18">
            <v>11826102</v>
          </cell>
          <cell r="J18">
            <v>385000</v>
          </cell>
          <cell r="K18">
            <v>23</v>
          </cell>
          <cell r="M18">
            <v>-70000</v>
          </cell>
          <cell r="N18">
            <v>0</v>
          </cell>
          <cell r="O18">
            <v>0</v>
          </cell>
          <cell r="P18">
            <v>12141102</v>
          </cell>
          <cell r="Q18">
            <v>46035</v>
          </cell>
        </row>
        <row r="19">
          <cell r="B19" t="str">
            <v>017/K/I/26</v>
          </cell>
          <cell r="C19">
            <v>46029</v>
          </cell>
          <cell r="E19" t="str">
            <v>CV CARVIN JAYA SEJATI</v>
          </cell>
          <cell r="F19" t="str">
            <v>P00129/CJS-INV/10/25</v>
          </cell>
          <cell r="G19" t="str">
            <v>549/OPS-XII/2025</v>
          </cell>
          <cell r="H19" t="str">
            <v>Keperluan kapal TB Entebe 30 / BG Finacia 71</v>
          </cell>
          <cell r="I19">
            <v>2800000</v>
          </cell>
          <cell r="J19">
            <v>308000</v>
          </cell>
          <cell r="K19">
            <v>0</v>
          </cell>
          <cell r="M19">
            <v>0</v>
          </cell>
          <cell r="N19">
            <v>2900</v>
          </cell>
          <cell r="O19">
            <v>0</v>
          </cell>
          <cell r="P19">
            <v>3110900</v>
          </cell>
          <cell r="Q19">
            <v>46035</v>
          </cell>
        </row>
        <row r="20">
          <cell r="B20" t="str">
            <v>017/K/I/26</v>
          </cell>
          <cell r="C20">
            <v>46029</v>
          </cell>
          <cell r="E20" t="str">
            <v>CV CARVIN JAYA SEJATI</v>
          </cell>
          <cell r="F20" t="str">
            <v>P00128/CJS-INV/10/25</v>
          </cell>
          <cell r="G20" t="str">
            <v>550/OPS-XII/2025</v>
          </cell>
          <cell r="H20" t="str">
            <v>Keperluan kapal TB Entebe 30 / BG Finacia 71</v>
          </cell>
          <cell r="I20">
            <v>8100000</v>
          </cell>
          <cell r="J20">
            <v>891000</v>
          </cell>
          <cell r="K20">
            <v>0</v>
          </cell>
          <cell r="M20">
            <v>0</v>
          </cell>
          <cell r="N20">
            <v>0</v>
          </cell>
          <cell r="O20">
            <v>0</v>
          </cell>
          <cell r="P20">
            <v>8991000</v>
          </cell>
          <cell r="Q20">
            <v>46035</v>
          </cell>
        </row>
        <row r="21">
          <cell r="B21" t="str">
            <v>018/K/I/26</v>
          </cell>
          <cell r="C21">
            <v>46029</v>
          </cell>
          <cell r="D21" t="str">
            <v>260008MJO</v>
          </cell>
          <cell r="E21" t="str">
            <v>PT RAFFAZA SAMUDERA INDONESIA</v>
          </cell>
          <cell r="F21" t="str">
            <v>447/JKT-RSI/XI/2025</v>
          </cell>
          <cell r="G21" t="str">
            <v>552/OPS-XII/2025</v>
          </cell>
          <cell r="H21" t="str">
            <v>Keagenan TB Surya Segara 3 / BG Finacia 96</v>
          </cell>
          <cell r="I21">
            <v>14644000</v>
          </cell>
          <cell r="J21">
            <v>1610840</v>
          </cell>
          <cell r="K21">
            <v>23</v>
          </cell>
          <cell r="M21">
            <v>-40000</v>
          </cell>
          <cell r="N21">
            <v>0</v>
          </cell>
          <cell r="O21">
            <v>0</v>
          </cell>
          <cell r="P21">
            <v>16214840</v>
          </cell>
          <cell r="Q21">
            <v>46035</v>
          </cell>
        </row>
        <row r="22">
          <cell r="B22" t="str">
            <v>019/K/I/26</v>
          </cell>
          <cell r="C22">
            <v>46029</v>
          </cell>
          <cell r="E22" t="str">
            <v>PT HANANIA SAMUDERA JAYA</v>
          </cell>
          <cell r="F22" t="str">
            <v>005/INV/HSJ/XI/25</v>
          </cell>
          <cell r="G22" t="str">
            <v>564/OPS-XII/2025</v>
          </cell>
          <cell r="H22" t="str">
            <v>Keperluan kapal TB Surya Segara 3 / BG Finacia 96</v>
          </cell>
          <cell r="I22">
            <v>3720000</v>
          </cell>
          <cell r="J22">
            <v>0</v>
          </cell>
          <cell r="K22">
            <v>0</v>
          </cell>
          <cell r="M22">
            <v>0</v>
          </cell>
          <cell r="N22">
            <v>0</v>
          </cell>
          <cell r="O22">
            <v>0</v>
          </cell>
          <cell r="P22">
            <v>3720000</v>
          </cell>
          <cell r="Q22">
            <v>46035</v>
          </cell>
        </row>
        <row r="23">
          <cell r="B23" t="str">
            <v>020/K/I/26</v>
          </cell>
          <cell r="C23">
            <v>46029</v>
          </cell>
          <cell r="D23" t="str">
            <v>260008MJR</v>
          </cell>
          <cell r="E23" t="str">
            <v>PT BUKIT PRIMA BAHARI</v>
          </cell>
          <cell r="F23" t="str">
            <v>495/INV/PT.BPB-PT.MAR/XI/2025</v>
          </cell>
          <cell r="G23" t="str">
            <v>557/OPS-XII/2025</v>
          </cell>
          <cell r="H23" t="str">
            <v>Jasa Handling Keagenan TB Michelle XV / BG Benami XV Voyage 037L</v>
          </cell>
          <cell r="I23">
            <v>82855432</v>
          </cell>
          <cell r="J23">
            <v>1155000</v>
          </cell>
          <cell r="K23">
            <v>23</v>
          </cell>
          <cell r="L23">
            <v>2340000</v>
          </cell>
          <cell r="M23">
            <v>-120000</v>
          </cell>
          <cell r="N23">
            <v>2900</v>
          </cell>
          <cell r="O23">
            <v>0</v>
          </cell>
          <cell r="P23">
            <v>83893332</v>
          </cell>
          <cell r="Q23">
            <v>46035</v>
          </cell>
        </row>
        <row r="24">
          <cell r="B24" t="str">
            <v>021/K/I/26</v>
          </cell>
          <cell r="C24">
            <v>46029</v>
          </cell>
          <cell r="D24" t="str">
            <v>260008MJP</v>
          </cell>
          <cell r="E24" t="str">
            <v>PT ADHI GUNA PUTERA (PAITON)</v>
          </cell>
          <cell r="F24" t="str">
            <v>345/AST-PTN/IX/2025</v>
          </cell>
          <cell r="G24" t="str">
            <v>575/OPS-XII/2025</v>
          </cell>
          <cell r="H24" t="str">
            <v>Jasa Pandu &amp; Tunda TB Entebe Star 30 / BG Finacia 71 Voyage 083D</v>
          </cell>
          <cell r="I24">
            <v>21483473</v>
          </cell>
          <cell r="J24">
            <v>0</v>
          </cell>
          <cell r="K24">
            <v>23</v>
          </cell>
          <cell r="L24">
            <v>9435000</v>
          </cell>
          <cell r="M24">
            <v>-429669.46</v>
          </cell>
          <cell r="N24">
            <v>2900</v>
          </cell>
          <cell r="O24">
            <v>-1</v>
          </cell>
          <cell r="P24">
            <v>21056702.539999999</v>
          </cell>
          <cell r="Q24">
            <v>46035</v>
          </cell>
        </row>
        <row r="25">
          <cell r="B25" t="str">
            <v>022/K/I/26</v>
          </cell>
          <cell r="C25">
            <v>46029</v>
          </cell>
          <cell r="D25" t="str">
            <v>260008MJQ</v>
          </cell>
          <cell r="E25" t="str">
            <v>PT MARITIM BATUBARA PERTAMA</v>
          </cell>
          <cell r="F25" t="str">
            <v>MBP/XII-25/0873</v>
          </cell>
          <cell r="G25" t="str">
            <v>578/OPS-XII/2025</v>
          </cell>
          <cell r="H25" t="str">
            <v>Mooring &amp; Unmooring TB Surya Segara 3 / BG Finacia 96 Voyage 117D</v>
          </cell>
          <cell r="I25">
            <v>2000000</v>
          </cell>
          <cell r="J25">
            <v>0</v>
          </cell>
          <cell r="K25">
            <v>23</v>
          </cell>
          <cell r="M25">
            <v>-40000</v>
          </cell>
          <cell r="N25">
            <v>2900</v>
          </cell>
          <cell r="O25">
            <v>0</v>
          </cell>
          <cell r="P25">
            <v>1962900</v>
          </cell>
          <cell r="Q25">
            <v>46035</v>
          </cell>
        </row>
        <row r="26">
          <cell r="B26" t="str">
            <v>023/K/I/26</v>
          </cell>
          <cell r="C26">
            <v>46029</v>
          </cell>
          <cell r="D26" t="str">
            <v>260008MJN</v>
          </cell>
          <cell r="E26" t="str">
            <v>PT SINARMAS LDA USAHA PELABUHAN</v>
          </cell>
          <cell r="F26" t="str">
            <v>CI25-07809</v>
          </cell>
          <cell r="G26" t="str">
            <v>579/OPS-XII/2025</v>
          </cell>
          <cell r="H26" t="str">
            <v>Assist Tug &amp; Pilotage TB Surya Segara 3 / BG Finacia 96 Voyage 117D</v>
          </cell>
          <cell r="I26">
            <v>21483693</v>
          </cell>
          <cell r="J26">
            <v>0</v>
          </cell>
          <cell r="K26">
            <v>23</v>
          </cell>
          <cell r="M26">
            <v>0</v>
          </cell>
          <cell r="N26">
            <v>2900</v>
          </cell>
          <cell r="O26">
            <v>0</v>
          </cell>
          <cell r="P26">
            <v>21486593</v>
          </cell>
          <cell r="Q26">
            <v>46035</v>
          </cell>
        </row>
        <row r="27">
          <cell r="B27" t="str">
            <v>024/K/I/26</v>
          </cell>
          <cell r="C27">
            <v>46029</v>
          </cell>
          <cell r="E27" t="str">
            <v>DEDE SUGIYONO</v>
          </cell>
          <cell r="G27" t="str">
            <v>005/PV-MAR/2026</v>
          </cell>
          <cell r="H27" t="str">
            <v>Uang Makan Crew TB Michelle 219-08  / BG Angeline 219-08 periode Januari 2026</v>
          </cell>
          <cell r="I27">
            <v>19500000</v>
          </cell>
          <cell r="J27">
            <v>0</v>
          </cell>
          <cell r="K27">
            <v>0</v>
          </cell>
          <cell r="M27">
            <v>0</v>
          </cell>
          <cell r="N27">
            <v>0</v>
          </cell>
          <cell r="O27">
            <v>0</v>
          </cell>
          <cell r="P27">
            <v>19500000</v>
          </cell>
          <cell r="Q27">
            <v>46035</v>
          </cell>
        </row>
        <row r="28">
          <cell r="B28" t="str">
            <v>025/K/I/26</v>
          </cell>
          <cell r="C28">
            <v>46029</v>
          </cell>
          <cell r="E28" t="str">
            <v>HASWIN</v>
          </cell>
          <cell r="G28" t="str">
            <v>006/PV-MAR/2026</v>
          </cell>
          <cell r="H28" t="str">
            <v xml:space="preserve">Reimburs Tiket Pesawat Crew TB Entebe Star 30 </v>
          </cell>
          <cell r="I28">
            <v>1568072</v>
          </cell>
          <cell r="J28">
            <v>0</v>
          </cell>
          <cell r="K28">
            <v>0</v>
          </cell>
          <cell r="M28">
            <v>0</v>
          </cell>
          <cell r="N28">
            <v>2500</v>
          </cell>
          <cell r="O28">
            <v>0</v>
          </cell>
          <cell r="P28">
            <v>1570572</v>
          </cell>
          <cell r="Q28">
            <v>46035</v>
          </cell>
        </row>
        <row r="29">
          <cell r="B29" t="str">
            <v>026/K/I/26</v>
          </cell>
          <cell r="C29">
            <v>46023</v>
          </cell>
          <cell r="E29" t="str">
            <v>ANDI ARDI SAID</v>
          </cell>
          <cell r="G29" t="str">
            <v>706/PV-MAR/2025</v>
          </cell>
          <cell r="H29" t="str">
            <v>Uang Makan Crew Surya Segara 3 / Financia 96 Periode Januari 2026</v>
          </cell>
          <cell r="I29">
            <v>16500000</v>
          </cell>
          <cell r="J29">
            <v>0</v>
          </cell>
          <cell r="K29">
            <v>0</v>
          </cell>
          <cell r="M29">
            <v>0</v>
          </cell>
          <cell r="N29">
            <v>6500</v>
          </cell>
          <cell r="O29">
            <v>0</v>
          </cell>
          <cell r="P29">
            <v>16506500</v>
          </cell>
          <cell r="Q29">
            <v>46041</v>
          </cell>
        </row>
        <row r="30">
          <cell r="B30" t="str">
            <v>027/K/I/26</v>
          </cell>
          <cell r="C30">
            <v>46037</v>
          </cell>
          <cell r="E30" t="str">
            <v>BINA SARANA INFORMATIKA</v>
          </cell>
          <cell r="F30" t="str">
            <v>019.02/Y-BSI/I/2026</v>
          </cell>
          <cell r="G30" t="str">
            <v>008/PV-MAR/2026</v>
          </cell>
          <cell r="H30" t="str">
            <v>Parkir Member Motor 1 bulan 10 Januari 2026 - 09 Februari 2026</v>
          </cell>
          <cell r="I30">
            <v>3300000</v>
          </cell>
          <cell r="J30">
            <v>0</v>
          </cell>
          <cell r="K30">
            <v>0</v>
          </cell>
          <cell r="M30">
            <v>0</v>
          </cell>
          <cell r="N30">
            <v>2500</v>
          </cell>
          <cell r="O30">
            <v>0</v>
          </cell>
          <cell r="P30">
            <v>3302500</v>
          </cell>
          <cell r="Q30">
            <v>46041</v>
          </cell>
        </row>
        <row r="31">
          <cell r="B31" t="str">
            <v>028/K/I/26</v>
          </cell>
          <cell r="C31">
            <v>46035</v>
          </cell>
          <cell r="D31" t="str">
            <v>26000OGQE</v>
          </cell>
          <cell r="E31" t="str">
            <v>PT ADHI GUNA PUTERA (PAITON)</v>
          </cell>
          <cell r="F31" t="str">
            <v>K0415/INV-PTN/XI/2025</v>
          </cell>
          <cell r="G31" t="str">
            <v>554/OPS-XII/2025</v>
          </cell>
          <cell r="H31" t="str">
            <v>Call Fee TB APL 7 / BG Baiduri 70273</v>
          </cell>
          <cell r="I31">
            <v>10293261</v>
          </cell>
          <cell r="J31">
            <v>220000</v>
          </cell>
          <cell r="K31">
            <v>0</v>
          </cell>
          <cell r="M31">
            <v>-40000</v>
          </cell>
          <cell r="N31">
            <v>2900</v>
          </cell>
          <cell r="O31">
            <v>0</v>
          </cell>
          <cell r="P31">
            <v>10476161</v>
          </cell>
          <cell r="Q31">
            <v>46041</v>
          </cell>
        </row>
        <row r="32">
          <cell r="B32" t="str">
            <v>029/K/I/26</v>
          </cell>
          <cell r="C32">
            <v>46035</v>
          </cell>
          <cell r="D32" t="str">
            <v>260012B5D</v>
          </cell>
          <cell r="E32" t="str">
            <v>PT AGENCY PELAYARAN INDONESIA</v>
          </cell>
          <cell r="F32" t="str">
            <v>INV-074/KTP-PTN/MAR/XI/2025</v>
          </cell>
          <cell r="G32" t="str">
            <v>594/OPS-XII/2025</v>
          </cell>
          <cell r="H32" t="str">
            <v>Agency Fee TB APL 7 / BG Baiduri 70273 Voyage 115L</v>
          </cell>
          <cell r="I32">
            <v>11853602</v>
          </cell>
          <cell r="J32">
            <v>385000</v>
          </cell>
          <cell r="K32">
            <v>23</v>
          </cell>
          <cell r="M32">
            <v>-70000</v>
          </cell>
          <cell r="N32">
            <v>0</v>
          </cell>
          <cell r="O32">
            <v>-308000</v>
          </cell>
          <cell r="P32">
            <v>11860602</v>
          </cell>
          <cell r="Q32">
            <v>46041</v>
          </cell>
        </row>
        <row r="33">
          <cell r="B33" t="str">
            <v>030/K/I/26</v>
          </cell>
          <cell r="C33">
            <v>46035</v>
          </cell>
          <cell r="E33" t="str">
            <v>PT AGENCY PELAYARAN INDONESIA</v>
          </cell>
          <cell r="F33" t="str">
            <v>INV-074/KTP-PTN/MAR/XI/2025</v>
          </cell>
          <cell r="G33" t="str">
            <v>594/OPS-XII/2025</v>
          </cell>
          <cell r="H33" t="str">
            <v>Double Transfer Agency Fee TB APL 7 / BG Baiduri 70273 Voyage 115L</v>
          </cell>
          <cell r="I33">
            <v>11853602</v>
          </cell>
          <cell r="J33">
            <v>385000</v>
          </cell>
          <cell r="K33">
            <v>23</v>
          </cell>
          <cell r="M33">
            <v>-70000</v>
          </cell>
          <cell r="N33">
            <v>0</v>
          </cell>
          <cell r="O33">
            <v>0</v>
          </cell>
          <cell r="P33">
            <v>12168602</v>
          </cell>
          <cell r="Q33">
            <v>46041</v>
          </cell>
        </row>
        <row r="34">
          <cell r="B34" t="str">
            <v>031/K/I/26</v>
          </cell>
          <cell r="C34">
            <v>46035</v>
          </cell>
          <cell r="D34" t="str">
            <v>26000OJIE</v>
          </cell>
          <cell r="E34" t="str">
            <v>PT CAHAYA MALUKU LESTARI</v>
          </cell>
          <cell r="G34" t="str">
            <v>600/OPS-XII/2025</v>
          </cell>
          <cell r="H34" t="str">
            <v>Operational Cost &amp; Agency Fee TB Titan 470 / TK Titan 480 Voyage 126L</v>
          </cell>
          <cell r="I34">
            <v>21500000</v>
          </cell>
          <cell r="J34">
            <v>0</v>
          </cell>
          <cell r="K34">
            <v>0</v>
          </cell>
          <cell r="M34">
            <v>-62500</v>
          </cell>
          <cell r="N34">
            <v>2500</v>
          </cell>
          <cell r="O34">
            <v>12500</v>
          </cell>
          <cell r="P34">
            <v>21452500</v>
          </cell>
          <cell r="Q34">
            <v>46041</v>
          </cell>
        </row>
        <row r="35">
          <cell r="B35" t="str">
            <v>032/K/I/26</v>
          </cell>
          <cell r="C35">
            <v>46035</v>
          </cell>
          <cell r="D35" t="str">
            <v>26000OGQ4</v>
          </cell>
          <cell r="E35" t="str">
            <v>PT CAHAYA SAMODERA BERSAUDARA</v>
          </cell>
          <cell r="F35" t="str">
            <v>CSB/INV/MRDCS/25/04477</v>
          </cell>
          <cell r="G35" t="str">
            <v>533/OPS-XI/2025</v>
          </cell>
          <cell r="H35" t="str">
            <v>Boat Charge TB Surya Segara 3</v>
          </cell>
          <cell r="I35">
            <v>600000</v>
          </cell>
          <cell r="J35">
            <v>66000</v>
          </cell>
          <cell r="K35">
            <v>0</v>
          </cell>
          <cell r="M35">
            <v>-12000</v>
          </cell>
          <cell r="N35">
            <v>2900</v>
          </cell>
          <cell r="O35">
            <v>-15000</v>
          </cell>
          <cell r="P35">
            <v>641900</v>
          </cell>
          <cell r="Q35">
            <v>46041</v>
          </cell>
        </row>
        <row r="36">
          <cell r="B36" t="str">
            <v>032/K/I/26</v>
          </cell>
          <cell r="C36">
            <v>46035</v>
          </cell>
          <cell r="D36" t="str">
            <v>26000OGQ4</v>
          </cell>
          <cell r="E36" t="str">
            <v>PT CAHAYA SAMODERA BERSAUDARA</v>
          </cell>
          <cell r="F36" t="str">
            <v>CSB/INV/MRDCS/25/04487</v>
          </cell>
          <cell r="G36" t="str">
            <v>548/OPS-XII/2025</v>
          </cell>
          <cell r="H36" t="str">
            <v>Boat Charge TB Surya Segara 3</v>
          </cell>
          <cell r="I36">
            <v>200000</v>
          </cell>
          <cell r="J36">
            <v>22000</v>
          </cell>
          <cell r="K36">
            <v>0</v>
          </cell>
          <cell r="M36">
            <v>-4000</v>
          </cell>
          <cell r="N36">
            <v>0</v>
          </cell>
          <cell r="O36">
            <v>36000</v>
          </cell>
          <cell r="P36">
            <v>254000</v>
          </cell>
          <cell r="Q36">
            <v>46041</v>
          </cell>
        </row>
        <row r="37">
          <cell r="B37" t="str">
            <v>033/K/I/26</v>
          </cell>
          <cell r="C37">
            <v>46035</v>
          </cell>
          <cell r="E37" t="str">
            <v>PT DINI RIYANTO BUANA MEKAR</v>
          </cell>
          <cell r="F37" t="str">
            <v>530/DRBM-MAR/INV/SGT/XII/2025</v>
          </cell>
          <cell r="G37" t="str">
            <v>581/OPS-XII/2025</v>
          </cell>
          <cell r="H37" t="str">
            <v>Port Clerance TB Michelle 219 08 / BG Angeline 219 08 Voyage 120D</v>
          </cell>
          <cell r="I37">
            <v>36978000</v>
          </cell>
          <cell r="J37">
            <v>1650000</v>
          </cell>
          <cell r="K37">
            <v>0</v>
          </cell>
          <cell r="M37">
            <v>0</v>
          </cell>
          <cell r="N37">
            <v>0</v>
          </cell>
          <cell r="O37">
            <v>-1650000</v>
          </cell>
          <cell r="P37">
            <v>36978000</v>
          </cell>
          <cell r="Q37">
            <v>46041</v>
          </cell>
        </row>
        <row r="38">
          <cell r="B38" t="str">
            <v>034/K/I/26</v>
          </cell>
          <cell r="C38">
            <v>46035</v>
          </cell>
          <cell r="D38" t="str">
            <v>26000OGQ2</v>
          </cell>
          <cell r="E38" t="str">
            <v>PT DWI SAMUDERA LINE</v>
          </cell>
          <cell r="F38" t="str">
            <v>381/INV/DSL-MAR/25.12/2025</v>
          </cell>
          <cell r="G38" t="str">
            <v>601/OPS-XII/2025</v>
          </cell>
          <cell r="H38" t="str">
            <v>Clearence In Out / Port Operation / Agency Fee TB Michelle 219 08 / BG Angeline 219 08 Voyage 122L</v>
          </cell>
          <cell r="I38">
            <v>18933210</v>
          </cell>
          <cell r="J38">
            <v>935000</v>
          </cell>
          <cell r="K38">
            <v>0</v>
          </cell>
          <cell r="M38">
            <v>-170000</v>
          </cell>
          <cell r="N38">
            <v>0</v>
          </cell>
          <cell r="O38">
            <v>0</v>
          </cell>
          <cell r="P38">
            <v>19698210</v>
          </cell>
          <cell r="Q38">
            <v>46041</v>
          </cell>
        </row>
        <row r="39">
          <cell r="B39" t="str">
            <v>035/K/I/26</v>
          </cell>
          <cell r="C39">
            <v>46035</v>
          </cell>
          <cell r="E39" t="str">
            <v>PT HANANIA SAMUDERA JAYA</v>
          </cell>
          <cell r="F39" t="str">
            <v>004/INV/HSJ/XI/25</v>
          </cell>
          <cell r="G39" t="str">
            <v>565/OPS-XII/2025</v>
          </cell>
          <cell r="H39" t="str">
            <v>Keperluan kapal TB Surya Segara 3 / BG Finacia 96</v>
          </cell>
          <cell r="I39">
            <v>18158000</v>
          </cell>
          <cell r="J39">
            <v>0</v>
          </cell>
          <cell r="K39">
            <v>0</v>
          </cell>
          <cell r="M39">
            <v>0</v>
          </cell>
          <cell r="N39">
            <v>0</v>
          </cell>
          <cell r="O39">
            <v>0</v>
          </cell>
          <cell r="P39">
            <v>18158000</v>
          </cell>
          <cell r="Q39">
            <v>46041</v>
          </cell>
        </row>
        <row r="40">
          <cell r="B40" t="str">
            <v>035/K/I/26</v>
          </cell>
          <cell r="C40">
            <v>46035</v>
          </cell>
          <cell r="E40" t="str">
            <v>PT HANANIA SAMUDERA JAYA</v>
          </cell>
          <cell r="F40" t="str">
            <v>003/INV/HSJ/XI/25</v>
          </cell>
          <cell r="G40" t="str">
            <v>566/OPS-XII/2025</v>
          </cell>
          <cell r="H40" t="str">
            <v>Keperluan kapal TB Entebe 30 / BG Finacia 71</v>
          </cell>
          <cell r="I40">
            <v>6885000</v>
          </cell>
          <cell r="J40">
            <v>0</v>
          </cell>
          <cell r="K40">
            <v>0</v>
          </cell>
          <cell r="M40">
            <v>0</v>
          </cell>
          <cell r="N40">
            <v>0</v>
          </cell>
          <cell r="O40">
            <v>0</v>
          </cell>
          <cell r="P40">
            <v>6885000</v>
          </cell>
          <cell r="Q40">
            <v>46041</v>
          </cell>
        </row>
        <row r="41">
          <cell r="B41" t="str">
            <v>036/K/I/26</v>
          </cell>
          <cell r="C41">
            <v>46035</v>
          </cell>
          <cell r="E41" t="str">
            <v>PT PELAYARAN BARITO DUTA SARANA</v>
          </cell>
          <cell r="F41" t="str">
            <v>A. 238/BDS-S/BJM/INV/XI/2025</v>
          </cell>
          <cell r="G41" t="str">
            <v>543/OPS-XI/2025</v>
          </cell>
          <cell r="H41" t="str">
            <v>Agency Fee KSOP Banjarmasin Wilker Sungai Puting TB Titan 470 / BG Titan 480 Voyage 108LD</v>
          </cell>
          <cell r="I41">
            <v>55872005</v>
          </cell>
          <cell r="J41">
            <v>275000</v>
          </cell>
          <cell r="K41">
            <v>0</v>
          </cell>
          <cell r="M41">
            <v>-50000</v>
          </cell>
          <cell r="N41">
            <v>0</v>
          </cell>
          <cell r="O41">
            <v>0</v>
          </cell>
          <cell r="P41">
            <v>56097005</v>
          </cell>
          <cell r="Q41">
            <v>46041</v>
          </cell>
        </row>
        <row r="42">
          <cell r="B42" t="str">
            <v>037/K/I/26</v>
          </cell>
          <cell r="C42">
            <v>46035</v>
          </cell>
          <cell r="D42" t="str">
            <v>26000OGQA</v>
          </cell>
          <cell r="E42" t="str">
            <v>PT PELAYARAN PESONA BANYUBIRU</v>
          </cell>
          <cell r="F42" t="str">
            <v>1120/INV/XI/2025</v>
          </cell>
          <cell r="G42" t="str">
            <v>516/OPS-XI/2025</v>
          </cell>
          <cell r="H42" t="str">
            <v>Keagenan TB Surya Segara 3 / BG Finacia 96</v>
          </cell>
          <cell r="I42">
            <v>16600000</v>
          </cell>
          <cell r="J42">
            <v>0</v>
          </cell>
          <cell r="K42">
            <v>0</v>
          </cell>
          <cell r="M42">
            <v>-70000</v>
          </cell>
          <cell r="N42">
            <v>2900</v>
          </cell>
          <cell r="O42">
            <v>0</v>
          </cell>
          <cell r="P42">
            <v>16532900</v>
          </cell>
          <cell r="Q42">
            <v>46041</v>
          </cell>
        </row>
        <row r="43">
          <cell r="B43" t="str">
            <v>038/K/I/26</v>
          </cell>
          <cell r="C43">
            <v>46035</v>
          </cell>
          <cell r="E43" t="str">
            <v>PT RAFFAZA SAMUDERA INDONESIA</v>
          </cell>
          <cell r="F43" t="str">
            <v>448/JKT-RSI/XI/2025</v>
          </cell>
          <cell r="G43" t="str">
            <v>553/OPS-XII/2025</v>
          </cell>
          <cell r="H43" t="str">
            <v>Perbaikan kapal TB Surya Segara 3 / BG Finacia 96</v>
          </cell>
          <cell r="I43">
            <v>1364000</v>
          </cell>
          <cell r="J43">
            <v>0</v>
          </cell>
          <cell r="K43">
            <v>0</v>
          </cell>
          <cell r="M43">
            <v>0</v>
          </cell>
          <cell r="N43">
            <v>0</v>
          </cell>
          <cell r="O43">
            <v>0</v>
          </cell>
          <cell r="P43">
            <v>1364000</v>
          </cell>
          <cell r="Q43">
            <v>46041</v>
          </cell>
        </row>
        <row r="44">
          <cell r="B44" t="str">
            <v>039/K/I/26</v>
          </cell>
          <cell r="C44">
            <v>46035</v>
          </cell>
          <cell r="D44" t="str">
            <v>26000OGQ1</v>
          </cell>
          <cell r="E44" t="str">
            <v>PT SAMUDERA PERMATA MANDIRI</v>
          </cell>
          <cell r="F44" t="str">
            <v>42/INV/SPM-AMG/XII-2025</v>
          </cell>
          <cell r="G44" t="str">
            <v>586/OPS-XII/2025</v>
          </cell>
          <cell r="H44" t="str">
            <v>Jasa Agen Clearance In/Out Lumpsum TB Titan 470 / BG Titan 480 Voyage 118D</v>
          </cell>
          <cell r="I44">
            <v>72487500</v>
          </cell>
          <cell r="J44">
            <v>1650000</v>
          </cell>
          <cell r="K44">
            <v>0</v>
          </cell>
          <cell r="M44">
            <v>-300000</v>
          </cell>
          <cell r="N44">
            <v>0</v>
          </cell>
          <cell r="O44">
            <v>0</v>
          </cell>
          <cell r="P44">
            <v>73837500</v>
          </cell>
          <cell r="Q44">
            <v>46041</v>
          </cell>
        </row>
        <row r="45">
          <cell r="B45" t="str">
            <v>040/K/I/26</v>
          </cell>
          <cell r="C45">
            <v>46035</v>
          </cell>
          <cell r="D45" t="str">
            <v>26000OGQB</v>
          </cell>
          <cell r="E45" t="str">
            <v>PT TIRTA SAMUDRA AGENCY</v>
          </cell>
          <cell r="F45" t="str">
            <v>004/PT.TSA/INV/XII/25</v>
          </cell>
          <cell r="G45" t="str">
            <v>597/OPS-XII/2025</v>
          </cell>
          <cell r="H45" t="str">
            <v>Agency Fee TB Michelle X / BG Benami X Voyage 113D</v>
          </cell>
          <cell r="I45">
            <v>15937875</v>
          </cell>
          <cell r="J45">
            <v>220000</v>
          </cell>
          <cell r="K45">
            <v>0</v>
          </cell>
          <cell r="M45">
            <v>-40000</v>
          </cell>
          <cell r="N45">
            <v>2900</v>
          </cell>
          <cell r="O45">
            <v>0</v>
          </cell>
          <cell r="P45">
            <v>16120775</v>
          </cell>
          <cell r="Q45">
            <v>46041</v>
          </cell>
        </row>
        <row r="46">
          <cell r="B46" t="str">
            <v>041/K/I/26</v>
          </cell>
          <cell r="C46">
            <v>46035</v>
          </cell>
          <cell r="E46" t="str">
            <v>SUMBER TEKNIK</v>
          </cell>
          <cell r="G46" t="str">
            <v>602/OPS-I/2026</v>
          </cell>
          <cell r="H46" t="str">
            <v>Service Hidrolic &amp; Ganti Seal ES30</v>
          </cell>
          <cell r="I46">
            <v>3500000</v>
          </cell>
          <cell r="J46">
            <v>0</v>
          </cell>
          <cell r="K46">
            <v>0</v>
          </cell>
          <cell r="M46">
            <v>0</v>
          </cell>
          <cell r="N46">
            <v>0</v>
          </cell>
          <cell r="O46">
            <v>0</v>
          </cell>
          <cell r="P46">
            <v>3500000</v>
          </cell>
          <cell r="Q46">
            <v>46042</v>
          </cell>
        </row>
        <row r="47">
          <cell r="B47" t="str">
            <v>042/K/I/26</v>
          </cell>
          <cell r="C47">
            <v>46035</v>
          </cell>
          <cell r="E47" t="str">
            <v>DIRJEN PAJAK</v>
          </cell>
          <cell r="G47" t="str">
            <v>007/PV-MAR/2026</v>
          </cell>
          <cell r="H47" t="str">
            <v>Pembayaran PPh psl 21, 15, dan 23 periode Desember 2025</v>
          </cell>
          <cell r="I47">
            <v>214201238</v>
          </cell>
          <cell r="J47">
            <v>0</v>
          </cell>
          <cell r="K47">
            <v>0</v>
          </cell>
          <cell r="M47">
            <v>0</v>
          </cell>
          <cell r="N47">
            <v>0</v>
          </cell>
          <cell r="O47">
            <v>0</v>
          </cell>
          <cell r="P47">
            <v>214201238</v>
          </cell>
          <cell r="Q47">
            <v>46042</v>
          </cell>
        </row>
        <row r="48">
          <cell r="B48" t="str">
            <v>043/K/I/26</v>
          </cell>
          <cell r="C48">
            <v>46037</v>
          </cell>
          <cell r="D48" t="str">
            <v>26000OGQI</v>
          </cell>
          <cell r="E48" t="str">
            <v>PT ANDALAN LANCAR NIAGA</v>
          </cell>
          <cell r="F48" t="str">
            <v>00253/ALN-INV/XI/2025</v>
          </cell>
          <cell r="G48" t="str">
            <v>009/PV-MAR/2026</v>
          </cell>
          <cell r="H48" t="str">
            <v>Biaya Freight Charter TB Michelle VIII / BG Benami (Jetty SBL - Pel Kijing)</v>
          </cell>
          <cell r="I48">
            <v>900873000</v>
          </cell>
          <cell r="J48">
            <v>0</v>
          </cell>
          <cell r="K48">
            <v>15</v>
          </cell>
          <cell r="M48">
            <v>-10810476</v>
          </cell>
          <cell r="N48">
            <v>15000</v>
          </cell>
          <cell r="O48">
            <v>0</v>
          </cell>
          <cell r="P48">
            <v>890077524</v>
          </cell>
          <cell r="Q48">
            <v>46042</v>
          </cell>
        </row>
        <row r="49">
          <cell r="B49" t="str">
            <v>044/K/I/26</v>
          </cell>
          <cell r="C49">
            <v>46037</v>
          </cell>
          <cell r="D49" t="str">
            <v>26000OGQJ</v>
          </cell>
          <cell r="E49" t="str">
            <v>PT KRAKATAU SAMUDRA SOLUSI</v>
          </cell>
          <cell r="F49" t="str">
            <v>KSS.SI.250521</v>
          </cell>
          <cell r="G49" t="str">
            <v>010/PV-MAR/2026</v>
          </cell>
          <cell r="H49" t="str">
            <v>Biaya Freight Charter TB Grace 201  / BG Abby 310 (Jetty Kintap - PLTU Pacitan)</v>
          </cell>
          <cell r="I49">
            <v>1804618260</v>
          </cell>
          <cell r="J49">
            <v>0</v>
          </cell>
          <cell r="K49">
            <v>15</v>
          </cell>
          <cell r="M49">
            <v>-21655419.120000001</v>
          </cell>
          <cell r="N49">
            <v>0</v>
          </cell>
          <cell r="O49">
            <v>-1</v>
          </cell>
          <cell r="P49">
            <v>1782962839.8800001</v>
          </cell>
          <cell r="Q49">
            <v>46042</v>
          </cell>
        </row>
        <row r="50">
          <cell r="B50" t="str">
            <v>045/K/I/26</v>
          </cell>
          <cell r="C50">
            <v>46037</v>
          </cell>
          <cell r="D50" t="str">
            <v>26000OGQK</v>
          </cell>
          <cell r="E50" t="str">
            <v>PT HARAPAN MITRA BERSAMA</v>
          </cell>
          <cell r="F50" t="str">
            <v>100-INV/HAMA-MAR/XII/2025</v>
          </cell>
          <cell r="G50" t="str">
            <v>011/PV-MAR/2026</v>
          </cell>
          <cell r="H50" t="str">
            <v>Biaya Freight Charter TB Hama 002 / BG Mari 8001 (Jetty Patratani - PLTU Paiton)</v>
          </cell>
          <cell r="I50">
            <v>1286188299</v>
          </cell>
          <cell r="J50">
            <v>0</v>
          </cell>
          <cell r="K50">
            <v>15</v>
          </cell>
          <cell r="M50">
            <v>-15434259</v>
          </cell>
          <cell r="N50">
            <v>15000</v>
          </cell>
          <cell r="O50">
            <v>-1</v>
          </cell>
          <cell r="P50">
            <v>1270769039</v>
          </cell>
          <cell r="Q50">
            <v>46042</v>
          </cell>
        </row>
        <row r="51">
          <cell r="B51" t="str">
            <v>046/K/I/26</v>
          </cell>
          <cell r="C51">
            <v>46037</v>
          </cell>
          <cell r="E51" t="str">
            <v>PT LANCAR BAROKAH ENERGI (Mandiri)</v>
          </cell>
          <cell r="F51" t="str">
            <v>0700/LBE-Inv/TB/12/2025</v>
          </cell>
          <cell r="G51" t="str">
            <v>606/OPS-I/2026</v>
          </cell>
          <cell r="H51" t="str">
            <v>BBM Solar TB Titan 470 Voyage 126L</v>
          </cell>
          <cell r="I51">
            <v>333333333</v>
          </cell>
          <cell r="J51">
            <v>36666667</v>
          </cell>
          <cell r="K51">
            <v>0</v>
          </cell>
          <cell r="M51">
            <v>0</v>
          </cell>
          <cell r="N51">
            <v>0</v>
          </cell>
          <cell r="O51">
            <v>0</v>
          </cell>
          <cell r="P51">
            <v>370000000</v>
          </cell>
          <cell r="Q51">
            <v>46042</v>
          </cell>
        </row>
        <row r="52">
          <cell r="B52" t="str">
            <v>047/K/I/26</v>
          </cell>
          <cell r="C52">
            <v>46037</v>
          </cell>
          <cell r="E52" t="str">
            <v>PT HOKARI LINEX PRATAMA (Cilegon)</v>
          </cell>
          <cell r="F52" t="str">
            <v>116/HLP-CLG/XII/2025</v>
          </cell>
          <cell r="G52" t="str">
            <v>607/OPS-I/2026</v>
          </cell>
          <cell r="H52" t="str">
            <v>Bio Solar TB Entebe Star 30 Voyage 123D</v>
          </cell>
          <cell r="I52">
            <v>144864840</v>
          </cell>
          <cell r="J52">
            <v>15935132.4</v>
          </cell>
          <cell r="K52">
            <v>0</v>
          </cell>
          <cell r="M52">
            <v>0</v>
          </cell>
          <cell r="N52">
            <v>0</v>
          </cell>
          <cell r="O52">
            <v>28</v>
          </cell>
          <cell r="P52">
            <v>160800000.40000001</v>
          </cell>
          <cell r="Q52">
            <v>46042</v>
          </cell>
        </row>
        <row r="53">
          <cell r="B53" t="str">
            <v>001/K/I/26 CAV</v>
          </cell>
          <cell r="C53">
            <v>46025</v>
          </cell>
          <cell r="E53" t="str">
            <v>MASUDI</v>
          </cell>
          <cell r="G53" t="str">
            <v>001/PV-MAR/2026</v>
          </cell>
          <cell r="H53" t="str">
            <v>Advance Trip ke Batam - Monitoring Ship Building Januari 2026</v>
          </cell>
          <cell r="I53">
            <v>7500000</v>
          </cell>
          <cell r="J53">
            <v>0</v>
          </cell>
          <cell r="K53">
            <v>0</v>
          </cell>
          <cell r="M53">
            <v>0</v>
          </cell>
          <cell r="N53">
            <v>0</v>
          </cell>
          <cell r="O53">
            <v>0</v>
          </cell>
          <cell r="P53">
            <v>7500000</v>
          </cell>
          <cell r="Q53">
            <v>46042</v>
          </cell>
        </row>
        <row r="54">
          <cell r="B54" t="str">
            <v>048/K/I/26</v>
          </cell>
          <cell r="C54">
            <v>46037</v>
          </cell>
          <cell r="E54" t="str">
            <v>MANDIRI KARADENAN</v>
          </cell>
          <cell r="H54" t="str">
            <v>Angsuran Pinjaman ke-20 Limit 7.800.000.000</v>
          </cell>
          <cell r="I54">
            <v>359505627.70999998</v>
          </cell>
          <cell r="J54">
            <v>0</v>
          </cell>
          <cell r="K54">
            <v>0</v>
          </cell>
          <cell r="M54">
            <v>0</v>
          </cell>
          <cell r="N54">
            <v>0</v>
          </cell>
          <cell r="O54">
            <v>0</v>
          </cell>
          <cell r="P54">
            <v>359505627.70999998</v>
          </cell>
          <cell r="Q54">
            <v>46042</v>
          </cell>
        </row>
        <row r="55">
          <cell r="B55" t="str">
            <v>049/K/I/26</v>
          </cell>
          <cell r="C55">
            <v>46037</v>
          </cell>
          <cell r="E55" t="str">
            <v>MANDIRI KARADENAN</v>
          </cell>
          <cell r="H55" t="str">
            <v>Angsuran Pinjaman ke-3 Limit 11.500.000.000</v>
          </cell>
          <cell r="I55">
            <v>408344366.85000002</v>
          </cell>
          <cell r="J55">
            <v>0</v>
          </cell>
          <cell r="K55">
            <v>0</v>
          </cell>
          <cell r="M55">
            <v>0</v>
          </cell>
          <cell r="N55">
            <v>0</v>
          </cell>
          <cell r="O55">
            <v>0</v>
          </cell>
          <cell r="P55">
            <v>408344366.85000002</v>
          </cell>
          <cell r="Q55">
            <v>46042</v>
          </cell>
        </row>
        <row r="56">
          <cell r="B56" t="str">
            <v>050/K/I/26</v>
          </cell>
          <cell r="C56">
            <v>46040</v>
          </cell>
          <cell r="D56" t="str">
            <v>260012B5E</v>
          </cell>
          <cell r="E56" t="str">
            <v>PT MARITIM INDO RAYA</v>
          </cell>
          <cell r="F56" t="str">
            <v>021/INV/MIR-MAR/XII/2025</v>
          </cell>
          <cell r="G56" t="str">
            <v>611/OPS-I/2026</v>
          </cell>
          <cell r="H56" t="str">
            <v>Agency Fee TB Michelle XV - BG Benami XV Voyage 125L</v>
          </cell>
          <cell r="I56">
            <v>92328848</v>
          </cell>
          <cell r="J56">
            <v>0</v>
          </cell>
          <cell r="K56">
            <v>0</v>
          </cell>
          <cell r="M56">
            <v>-80000</v>
          </cell>
          <cell r="N56">
            <v>2500</v>
          </cell>
          <cell r="O56">
            <v>80000</v>
          </cell>
          <cell r="P56">
            <v>92331348</v>
          </cell>
          <cell r="Q56">
            <v>46042</v>
          </cell>
        </row>
        <row r="57">
          <cell r="B57" t="str">
            <v>051/K/I/26</v>
          </cell>
          <cell r="C57">
            <v>46041</v>
          </cell>
          <cell r="E57" t="str">
            <v>PT HOKARI LINEX PRATAMA</v>
          </cell>
          <cell r="F57" t="str">
            <v>004/HLP-PRIOK/I/2026</v>
          </cell>
          <cell r="G57" t="str">
            <v>608/OPS-I/2026</v>
          </cell>
          <cell r="H57" t="str">
            <v>Bio Solar TB Michelle 219-08 Voyage 122D</v>
          </cell>
          <cell r="I57">
            <v>523248000</v>
          </cell>
          <cell r="J57">
            <v>57557280</v>
          </cell>
          <cell r="K57">
            <v>0</v>
          </cell>
          <cell r="M57">
            <v>0</v>
          </cell>
          <cell r="N57">
            <v>0</v>
          </cell>
          <cell r="O57">
            <v>-5280</v>
          </cell>
          <cell r="P57">
            <v>580800000</v>
          </cell>
          <cell r="Q57">
            <v>46042</v>
          </cell>
        </row>
        <row r="58">
          <cell r="P58">
            <v>0</v>
          </cell>
          <cell r="Q58">
            <v>46043</v>
          </cell>
        </row>
        <row r="59">
          <cell r="B59" t="str">
            <v>053/K/I/26</v>
          </cell>
          <cell r="C59">
            <v>46044</v>
          </cell>
          <cell r="E59" t="str">
            <v>PT MARITIM INDO RAYA</v>
          </cell>
          <cell r="F59" t="str">
            <v>007/PRO/MIR-MAR/I/2026</v>
          </cell>
          <cell r="G59" t="str">
            <v>012/PV-MAR/2026</v>
          </cell>
          <cell r="H59" t="str">
            <v>Keagenan TB APL 7 / BG Baiduri 70273 Voyage V127L</v>
          </cell>
          <cell r="I59">
            <v>59458000</v>
          </cell>
          <cell r="J59">
            <v>0</v>
          </cell>
          <cell r="K59">
            <v>0</v>
          </cell>
          <cell r="M59">
            <v>0</v>
          </cell>
          <cell r="N59">
            <v>2500</v>
          </cell>
          <cell r="O59">
            <v>0</v>
          </cell>
          <cell r="P59">
            <v>59460500</v>
          </cell>
          <cell r="Q59">
            <v>46044</v>
          </cell>
        </row>
        <row r="60">
          <cell r="B60" t="str">
            <v>054/K/I/26</v>
          </cell>
          <cell r="C60">
            <v>46044</v>
          </cell>
          <cell r="E60" t="str">
            <v>PT MARITIM INDO RAYA</v>
          </cell>
          <cell r="F60" t="str">
            <v>008/PRO/MIR-MAR/I/2026</v>
          </cell>
          <cell r="G60" t="str">
            <v>013/PV-MAR/2026</v>
          </cell>
          <cell r="H60" t="str">
            <v>Keagenan TB Entebe Star 30 / BG Finacia 71 DP Voyage 128L</v>
          </cell>
          <cell r="I60">
            <v>59458000</v>
          </cell>
          <cell r="J60">
            <v>0</v>
          </cell>
          <cell r="K60">
            <v>0</v>
          </cell>
          <cell r="M60">
            <v>0</v>
          </cell>
          <cell r="N60">
            <v>2500</v>
          </cell>
          <cell r="O60">
            <v>0</v>
          </cell>
          <cell r="P60">
            <v>59460500</v>
          </cell>
          <cell r="Q60">
            <v>46044</v>
          </cell>
        </row>
        <row r="61">
          <cell r="B61" t="str">
            <v>055/K/I/26</v>
          </cell>
          <cell r="C61">
            <v>46044</v>
          </cell>
          <cell r="E61" t="str">
            <v>PT MARITIM INDO RAYA</v>
          </cell>
          <cell r="F61" t="str">
            <v>009/PRO/MIR-MAR/I/2026</v>
          </cell>
          <cell r="G61" t="str">
            <v>014/PV-MAR/2026</v>
          </cell>
          <cell r="H61" t="str">
            <v>Keagenan TB Surya Segara 3 / BG Finacia 96 Voyage 130L</v>
          </cell>
          <cell r="I61">
            <v>59458000</v>
          </cell>
          <cell r="J61">
            <v>0</v>
          </cell>
          <cell r="K61">
            <v>0</v>
          </cell>
          <cell r="M61">
            <v>0</v>
          </cell>
          <cell r="N61">
            <v>2500</v>
          </cell>
          <cell r="O61">
            <v>0</v>
          </cell>
          <cell r="P61">
            <v>59460500</v>
          </cell>
          <cell r="Q61">
            <v>46044</v>
          </cell>
        </row>
        <row r="62">
          <cell r="B62" t="str">
            <v>056/K/I/26</v>
          </cell>
          <cell r="C62">
            <v>46044</v>
          </cell>
          <cell r="D62" t="str">
            <v>260012B5F</v>
          </cell>
          <cell r="E62" t="str">
            <v>PT PAN ORIENT PACIFIC</v>
          </cell>
          <cell r="F62" t="str">
            <v>003/POP-INV/I/2026</v>
          </cell>
          <cell r="G62" t="str">
            <v>015/PV-MAR/2026</v>
          </cell>
          <cell r="H62" t="str">
            <v>Biaya Freight Charter TB Sindo Perkasa 9 / BG SOM 69</v>
          </cell>
          <cell r="I62">
            <v>575000000</v>
          </cell>
          <cell r="J62">
            <v>0</v>
          </cell>
          <cell r="K62">
            <v>0</v>
          </cell>
          <cell r="M62">
            <v>-6900000</v>
          </cell>
          <cell r="N62">
            <v>15000</v>
          </cell>
          <cell r="O62">
            <v>0</v>
          </cell>
          <cell r="P62">
            <v>568115000</v>
          </cell>
          <cell r="Q62">
            <v>46042</v>
          </cell>
        </row>
        <row r="63">
          <cell r="B63" t="str">
            <v>057/K/I/26</v>
          </cell>
          <cell r="C63">
            <v>46039</v>
          </cell>
          <cell r="E63" t="str">
            <v>SUBUR MOTOR</v>
          </cell>
          <cell r="H63" t="str">
            <v>Pembelian Ban Mobil Alphard</v>
          </cell>
          <cell r="I63">
            <v>3100000</v>
          </cell>
          <cell r="J63">
            <v>0</v>
          </cell>
          <cell r="K63">
            <v>0</v>
          </cell>
          <cell r="M63">
            <v>0</v>
          </cell>
          <cell r="N63">
            <v>0</v>
          </cell>
          <cell r="O63">
            <v>0</v>
          </cell>
          <cell r="P63">
            <v>3100000</v>
          </cell>
          <cell r="Q63">
            <v>46049</v>
          </cell>
        </row>
        <row r="64">
          <cell r="B64" t="str">
            <v>058/K/I/26</v>
          </cell>
          <cell r="C64">
            <v>46040</v>
          </cell>
          <cell r="E64" t="str">
            <v>CV BANOLI JAYA</v>
          </cell>
          <cell r="H64" t="str">
            <v>Pembelian Ban Mobil Alphard</v>
          </cell>
          <cell r="I64">
            <v>3050000</v>
          </cell>
          <cell r="J64">
            <v>0</v>
          </cell>
          <cell r="K64">
            <v>0</v>
          </cell>
          <cell r="M64">
            <v>0</v>
          </cell>
          <cell r="N64">
            <v>0</v>
          </cell>
          <cell r="O64">
            <v>0</v>
          </cell>
          <cell r="P64">
            <v>3050000</v>
          </cell>
          <cell r="Q64">
            <v>46049</v>
          </cell>
        </row>
        <row r="65">
          <cell r="B65" t="str">
            <v>059/K/I/26</v>
          </cell>
          <cell r="C65">
            <v>46045</v>
          </cell>
          <cell r="E65" t="str">
            <v>PT CAHAYA SAMODERA BERSAUDARA</v>
          </cell>
          <cell r="F65" t="str">
            <v>CSB/INV/BJSCS/25/05136</v>
          </cell>
          <cell r="G65" t="str">
            <v>590/OPS-XII/2025</v>
          </cell>
          <cell r="H65" t="str">
            <v>Sirius S4 15W-40 1*209L &amp; Rimula R2 10W 1*20L untuk TB Entebe Star 30 - BG Finacia 71</v>
          </cell>
          <cell r="I65">
            <v>21150000</v>
          </cell>
          <cell r="K65">
            <v>0</v>
          </cell>
          <cell r="M65">
            <v>0</v>
          </cell>
          <cell r="N65">
            <v>2500</v>
          </cell>
          <cell r="O65">
            <v>0</v>
          </cell>
          <cell r="P65">
            <v>21152500</v>
          </cell>
          <cell r="Q65">
            <v>46051</v>
          </cell>
        </row>
        <row r="66">
          <cell r="B66" t="str">
            <v>059/K/I/26</v>
          </cell>
          <cell r="C66">
            <v>46045</v>
          </cell>
          <cell r="D66" t="str">
            <v>26001Z4HL</v>
          </cell>
          <cell r="E66" t="str">
            <v>PT CAHAYA SAMODERA BERSAUDARA</v>
          </cell>
          <cell r="F66" t="str">
            <v>CSB/INV/BJSCS/25/05137</v>
          </cell>
          <cell r="G66" t="str">
            <v>591/OPS-XII/2025</v>
          </cell>
          <cell r="H66" t="str">
            <v>Boat charge TB ENTEBE STAR 30</v>
          </cell>
          <cell r="I66">
            <v>800000</v>
          </cell>
          <cell r="J66">
            <v>88000</v>
          </cell>
          <cell r="K66">
            <v>0</v>
          </cell>
          <cell r="M66">
            <v>-16000</v>
          </cell>
          <cell r="N66">
            <v>0</v>
          </cell>
          <cell r="O66">
            <v>0</v>
          </cell>
          <cell r="P66">
            <v>872000</v>
          </cell>
          <cell r="Q66">
            <v>46051</v>
          </cell>
        </row>
        <row r="67">
          <cell r="B67" t="str">
            <v>060/K/I/26</v>
          </cell>
          <cell r="C67">
            <v>46045</v>
          </cell>
          <cell r="E67" t="str">
            <v>DIREKSI DAN STAFF</v>
          </cell>
          <cell r="G67" t="str">
            <v>016/PV-MAR/2026</v>
          </cell>
          <cell r="H67" t="str">
            <v xml:space="preserve">Gaji Direksi dan staff periode Januari 2026 </v>
          </cell>
          <cell r="I67">
            <v>131299700</v>
          </cell>
          <cell r="J67">
            <v>0</v>
          </cell>
          <cell r="K67">
            <v>0</v>
          </cell>
          <cell r="M67">
            <v>0</v>
          </cell>
          <cell r="N67">
            <v>0</v>
          </cell>
          <cell r="O67">
            <v>0</v>
          </cell>
          <cell r="P67">
            <v>131299700</v>
          </cell>
          <cell r="Q67">
            <v>46051</v>
          </cell>
        </row>
        <row r="68">
          <cell r="B68" t="str">
            <v>061/K/I/26</v>
          </cell>
          <cell r="C68">
            <v>46045</v>
          </cell>
          <cell r="D68" t="str">
            <v>26001S9TV</v>
          </cell>
          <cell r="E68" t="str">
            <v>PT CAKRAWALA NUSA BAHARI</v>
          </cell>
          <cell r="F68" t="str">
            <v>093/MAR-CNB/TC/XI/2025</v>
          </cell>
          <cell r="G68" t="str">
            <v>017/PV-MAR/2026</v>
          </cell>
          <cell r="H68" t="str">
            <v>Net-off Invoice 093/IMAR-CNB/TC/XI/2025 dengan 3 invoice CNB - 001643. 1653 &amp; 1678</v>
          </cell>
          <cell r="I68">
            <v>1064703031</v>
          </cell>
          <cell r="J68">
            <v>0</v>
          </cell>
          <cell r="K68">
            <v>0</v>
          </cell>
          <cell r="M68">
            <v>0</v>
          </cell>
          <cell r="N68">
            <v>0</v>
          </cell>
          <cell r="O68">
            <v>0</v>
          </cell>
          <cell r="P68">
            <v>1064703031</v>
          </cell>
          <cell r="Q68">
            <v>46051</v>
          </cell>
        </row>
        <row r="69">
          <cell r="B69" t="str">
            <v>062/K/I/26</v>
          </cell>
          <cell r="C69">
            <v>46045</v>
          </cell>
          <cell r="D69" t="str">
            <v>26001R3HR</v>
          </cell>
          <cell r="E69" t="str">
            <v>PT ADHI GUNA PUTERA (PAITON)</v>
          </cell>
          <cell r="F69" t="str">
            <v>K0416/INV-PTN/XI/2025</v>
          </cell>
          <cell r="G69" t="str">
            <v>555/OPS-XII/2025</v>
          </cell>
          <cell r="H69" t="str">
            <v>Call Fee TB Michelle XV / BG Benami XV Voyage 110D</v>
          </cell>
          <cell r="I69">
            <v>9959021</v>
          </cell>
          <cell r="J69">
            <v>220000</v>
          </cell>
          <cell r="K69">
            <v>0</v>
          </cell>
          <cell r="M69">
            <v>-40000</v>
          </cell>
          <cell r="N69">
            <v>2500</v>
          </cell>
          <cell r="O69">
            <v>0</v>
          </cell>
          <cell r="P69">
            <v>10141521</v>
          </cell>
          <cell r="Q69">
            <v>46051</v>
          </cell>
        </row>
        <row r="70">
          <cell r="B70" t="str">
            <v>062/K/I/26</v>
          </cell>
          <cell r="C70">
            <v>46045</v>
          </cell>
          <cell r="D70" t="str">
            <v>26001YH5F</v>
          </cell>
          <cell r="E70" t="str">
            <v>PT ADHI GUNA PUTERA (PAITON)</v>
          </cell>
          <cell r="F70" t="str">
            <v>418/AST-PTN/XI/2025</v>
          </cell>
          <cell r="G70" t="str">
            <v>556/OPS-XII/2025</v>
          </cell>
          <cell r="H70" t="str">
            <v>Jasa Pandu &amp; Tunda TB APL 7 / BG Baiduri 70273 Voyage 115D</v>
          </cell>
          <cell r="I70">
            <v>21499790</v>
          </cell>
          <cell r="J70">
            <v>0</v>
          </cell>
          <cell r="K70">
            <v>0</v>
          </cell>
          <cell r="M70">
            <v>-429996</v>
          </cell>
          <cell r="N70">
            <v>0</v>
          </cell>
          <cell r="O70">
            <v>0</v>
          </cell>
          <cell r="P70">
            <v>21069794</v>
          </cell>
          <cell r="Q70">
            <v>46051</v>
          </cell>
        </row>
        <row r="71">
          <cell r="B71" t="str">
            <v>063/K/I/26</v>
          </cell>
          <cell r="C71">
            <v>46045</v>
          </cell>
          <cell r="D71" t="str">
            <v>26001R3HM</v>
          </cell>
          <cell r="E71" t="str">
            <v>PT PELAYARAN BARITO DUTA SARANA</v>
          </cell>
          <cell r="F71" t="str">
            <v>A 246/BDS-S/BJM/INV/XI/2025</v>
          </cell>
          <cell r="G71" t="str">
            <v>560/OPS-XII/2025</v>
          </cell>
          <cell r="H71" t="str">
            <v>Agency Fee TB Titan 470 / BG Titan 480 Voyage 108L</v>
          </cell>
          <cell r="I71">
            <v>55972230</v>
          </cell>
          <cell r="J71">
            <v>275000</v>
          </cell>
          <cell r="K71">
            <v>0</v>
          </cell>
          <cell r="M71">
            <v>-50000</v>
          </cell>
          <cell r="N71">
            <v>0</v>
          </cell>
          <cell r="O71">
            <v>0</v>
          </cell>
          <cell r="P71">
            <v>56197230</v>
          </cell>
          <cell r="Q71">
            <v>46051</v>
          </cell>
        </row>
        <row r="72">
          <cell r="B72" t="str">
            <v>063/K/I/26</v>
          </cell>
          <cell r="C72">
            <v>46045</v>
          </cell>
          <cell r="D72" t="str">
            <v>26001R3HM</v>
          </cell>
          <cell r="E72" t="str">
            <v>PT PELAYARAN BARITO DUTA SARANA</v>
          </cell>
          <cell r="F72" t="str">
            <v>A 242/BDS-S/BJM/INV/XI/2025</v>
          </cell>
          <cell r="G72" t="str">
            <v>561/OPS-XII/2025</v>
          </cell>
          <cell r="H72" t="str">
            <v>Agency Fee TB Titan 470 / BG Titan 480 Voyage 108D</v>
          </cell>
          <cell r="I72">
            <v>15315450</v>
          </cell>
          <cell r="J72">
            <v>275000</v>
          </cell>
          <cell r="K72">
            <v>0</v>
          </cell>
          <cell r="M72">
            <v>-50000</v>
          </cell>
          <cell r="N72">
            <v>0</v>
          </cell>
          <cell r="O72">
            <v>0</v>
          </cell>
          <cell r="P72">
            <v>15540450</v>
          </cell>
          <cell r="Q72">
            <v>46051</v>
          </cell>
        </row>
        <row r="73">
          <cell r="B73" t="str">
            <v>064/K/I/26</v>
          </cell>
          <cell r="C73">
            <v>46045</v>
          </cell>
          <cell r="D73" t="str">
            <v>26001R3HO</v>
          </cell>
          <cell r="E73" t="str">
            <v>PT TIRTA SAMUDRA AGENCY</v>
          </cell>
          <cell r="F73" t="str">
            <v>014/PT.TSA/INV/XII/25</v>
          </cell>
          <cell r="G73" t="str">
            <v>596/OPS-XII/2025</v>
          </cell>
          <cell r="H73" t="str">
            <v>Agency Fee TB Michelle XV / BG Benami XV Voyage 121D</v>
          </cell>
          <cell r="I73">
            <v>2000000</v>
          </cell>
          <cell r="J73">
            <v>220000</v>
          </cell>
          <cell r="K73">
            <v>0</v>
          </cell>
          <cell r="M73">
            <v>-40000</v>
          </cell>
          <cell r="N73">
            <v>2500</v>
          </cell>
          <cell r="O73">
            <v>-1000000</v>
          </cell>
          <cell r="P73">
            <v>1182500</v>
          </cell>
          <cell r="Q73">
            <v>46051</v>
          </cell>
        </row>
        <row r="74">
          <cell r="B74" t="str">
            <v>064/K/I/27</v>
          </cell>
          <cell r="C74">
            <v>46045</v>
          </cell>
          <cell r="D74" t="str">
            <v>26001R3HO</v>
          </cell>
          <cell r="E74" t="str">
            <v>PT TIRTA SAMUDRA AGENCY</v>
          </cell>
          <cell r="F74" t="str">
            <v>015/PT.TSA/INV/XII/25</v>
          </cell>
          <cell r="G74" t="str">
            <v>596/OPS-XII/2026</v>
          </cell>
          <cell r="H74" t="str">
            <v>Agency Fee TB Michelle XV / BG Benami XV Voyage 121D</v>
          </cell>
          <cell r="I74">
            <v>17687950</v>
          </cell>
          <cell r="J74">
            <v>0</v>
          </cell>
          <cell r="K74">
            <v>0</v>
          </cell>
          <cell r="M74">
            <v>0</v>
          </cell>
          <cell r="N74">
            <v>0</v>
          </cell>
          <cell r="O74">
            <v>0</v>
          </cell>
          <cell r="P74">
            <v>17687950</v>
          </cell>
          <cell r="Q74">
            <v>46051</v>
          </cell>
        </row>
        <row r="75">
          <cell r="B75" t="str">
            <v>065/K/I/26</v>
          </cell>
          <cell r="C75">
            <v>46045</v>
          </cell>
          <cell r="E75" t="str">
            <v>PT NOBEL RIGGINDO SAMUDRA</v>
          </cell>
          <cell r="F75" t="str">
            <v>INV-25 25125678</v>
          </cell>
          <cell r="G75" t="str">
            <v>603/OPS-I/2026</v>
          </cell>
          <cell r="H75" t="str">
            <v xml:space="preserve">Perlengkapan kapal TB Entebe Star 30 - BG Finacia 71 </v>
          </cell>
          <cell r="I75">
            <v>18600000</v>
          </cell>
          <cell r="J75">
            <v>2046000</v>
          </cell>
          <cell r="K75">
            <v>0</v>
          </cell>
          <cell r="M75">
            <v>0</v>
          </cell>
          <cell r="N75">
            <v>2500</v>
          </cell>
          <cell r="O75">
            <v>0</v>
          </cell>
          <cell r="P75">
            <v>20648500</v>
          </cell>
          <cell r="Q75">
            <v>46051</v>
          </cell>
        </row>
        <row r="76">
          <cell r="B76" t="str">
            <v>066/K/I/26</v>
          </cell>
          <cell r="C76">
            <v>46045</v>
          </cell>
          <cell r="D76" t="str">
            <v>26001R3HV</v>
          </cell>
          <cell r="E76" t="str">
            <v>PT BUKIT PRIMA BAHARI</v>
          </cell>
          <cell r="F76" t="str">
            <v>1061/INV/PT.BPB-PT.MAR/XI/2025</v>
          </cell>
          <cell r="G76" t="str">
            <v>510/OPS-XI/2025</v>
          </cell>
          <cell r="H76" t="str">
            <v>Keagenan TB Michelle XV / BG Benami XV Voyage 080L</v>
          </cell>
          <cell r="I76">
            <v>85951057</v>
          </cell>
          <cell r="J76">
            <v>660000</v>
          </cell>
          <cell r="K76">
            <v>0</v>
          </cell>
          <cell r="M76">
            <v>-120000</v>
          </cell>
          <cell r="N76">
            <v>2500</v>
          </cell>
          <cell r="O76">
            <v>0</v>
          </cell>
          <cell r="P76">
            <v>86493557</v>
          </cell>
          <cell r="Q76">
            <v>46051</v>
          </cell>
        </row>
        <row r="77">
          <cell r="B77" t="str">
            <v>067/K/I/26</v>
          </cell>
          <cell r="C77">
            <v>46045</v>
          </cell>
          <cell r="E77" t="str">
            <v>RIZAL</v>
          </cell>
          <cell r="F77" t="str">
            <v>862/PP/BG.FINANCIA 71/MR/I/2026</v>
          </cell>
          <cell r="G77" t="str">
            <v>610/OPS-I/2026</v>
          </cell>
          <cell r="H77" t="str">
            <v>Perbaikan kapal TB Entebe 30 / BG Finacia 71</v>
          </cell>
          <cell r="I77">
            <v>36500000</v>
          </cell>
          <cell r="J77">
            <v>0</v>
          </cell>
          <cell r="K77">
            <v>0</v>
          </cell>
          <cell r="M77">
            <v>0</v>
          </cell>
          <cell r="N77">
            <v>0</v>
          </cell>
          <cell r="O77">
            <v>-18250000</v>
          </cell>
          <cell r="P77">
            <v>18250000</v>
          </cell>
          <cell r="Q77">
            <v>46051</v>
          </cell>
        </row>
        <row r="78">
          <cell r="B78" t="str">
            <v>068/K/I/26</v>
          </cell>
          <cell r="C78">
            <v>46048</v>
          </cell>
          <cell r="E78" t="str">
            <v>BPJS KETENAGAKERJAAN staff</v>
          </cell>
          <cell r="G78" t="str">
            <v>018/PV-MAR/2026</v>
          </cell>
          <cell r="H78" t="str">
            <v>BPJS Ketenagakerjaan staff periode Januari 2026</v>
          </cell>
          <cell r="I78">
            <v>10811736</v>
          </cell>
          <cell r="J78">
            <v>0</v>
          </cell>
          <cell r="K78">
            <v>0</v>
          </cell>
          <cell r="M78">
            <v>0</v>
          </cell>
          <cell r="N78">
            <v>0</v>
          </cell>
          <cell r="O78">
            <v>0</v>
          </cell>
          <cell r="P78">
            <v>10811736</v>
          </cell>
          <cell r="Q78">
            <v>46051</v>
          </cell>
        </row>
        <row r="79">
          <cell r="B79" t="str">
            <v>069/K/I/26</v>
          </cell>
          <cell r="C79">
            <v>46048</v>
          </cell>
          <cell r="E79" t="str">
            <v>PT GADING MANDIRI GRAHA REALTY</v>
          </cell>
          <cell r="F79" t="str">
            <v>0008</v>
          </cell>
          <cell r="G79" t="str">
            <v>021/PV-MAR/2026</v>
          </cell>
          <cell r="H79" t="str">
            <v>Pembayaran Listrik kantor periode 17/11/2025 s.d 02/01/2026</v>
          </cell>
          <cell r="I79">
            <v>11184083</v>
          </cell>
          <cell r="J79">
            <v>0</v>
          </cell>
          <cell r="K79">
            <v>0</v>
          </cell>
          <cell r="M79">
            <v>0</v>
          </cell>
          <cell r="N79">
            <v>2500</v>
          </cell>
          <cell r="O79">
            <v>0</v>
          </cell>
          <cell r="P79">
            <v>11186583</v>
          </cell>
          <cell r="Q79">
            <v>46051</v>
          </cell>
        </row>
        <row r="80">
          <cell r="B80" t="str">
            <v>070/K/I/26</v>
          </cell>
          <cell r="C80">
            <v>46048</v>
          </cell>
          <cell r="D80" t="str">
            <v>26001R3HT</v>
          </cell>
          <cell r="E80" t="str">
            <v>PT PALEO RENTO UTOMO</v>
          </cell>
          <cell r="F80" t="str">
            <v>PRU.INV.2601.001</v>
          </cell>
          <cell r="G80" t="str">
            <v>022/PV-MAR/2026</v>
          </cell>
          <cell r="H80" t="str">
            <v>Sewa 4 units laptop HP periode Desember 2025</v>
          </cell>
          <cell r="I80">
            <v>3800000</v>
          </cell>
          <cell r="J80">
            <v>418000</v>
          </cell>
          <cell r="K80">
            <v>0</v>
          </cell>
          <cell r="M80">
            <v>-76000</v>
          </cell>
          <cell r="N80">
            <v>2500</v>
          </cell>
          <cell r="O80">
            <v>0</v>
          </cell>
          <cell r="P80">
            <v>4144500</v>
          </cell>
          <cell r="Q80">
            <v>46051</v>
          </cell>
        </row>
        <row r="81">
          <cell r="B81" t="str">
            <v>071/K/I/26</v>
          </cell>
          <cell r="C81">
            <v>46049</v>
          </cell>
          <cell r="E81" t="str">
            <v>PT BENAYA AMB MANDIRI</v>
          </cell>
          <cell r="F81" t="str">
            <v>01/BAM-MAR/INV/I/2026</v>
          </cell>
          <cell r="G81" t="str">
            <v>609/OPS-I/2026</v>
          </cell>
          <cell r="H81" t="str">
            <v>Solar HSD TB Emperor 2 Voyage BFOL-005</v>
          </cell>
          <cell r="I81">
            <v>234234234</v>
          </cell>
          <cell r="J81">
            <v>25765766</v>
          </cell>
          <cell r="K81">
            <v>0</v>
          </cell>
          <cell r="M81">
            <v>0</v>
          </cell>
          <cell r="N81">
            <v>0</v>
          </cell>
          <cell r="O81">
            <v>0</v>
          </cell>
          <cell r="P81">
            <v>260000000</v>
          </cell>
          <cell r="Q81">
            <v>46051</v>
          </cell>
        </row>
        <row r="82">
          <cell r="B82" t="str">
            <v>072/K/I/26</v>
          </cell>
          <cell r="C82">
            <v>46048</v>
          </cell>
          <cell r="E82" t="str">
            <v>BPJS KESEHATAN staff</v>
          </cell>
          <cell r="G82" t="str">
            <v>020/PV-MAR/2026</v>
          </cell>
          <cell r="H82" t="str">
            <v>BPJS Kesehatan staff periode Januari 2026</v>
          </cell>
          <cell r="I82">
            <v>6943964</v>
          </cell>
          <cell r="J82">
            <v>0</v>
          </cell>
          <cell r="K82">
            <v>0</v>
          </cell>
          <cell r="M82">
            <v>0</v>
          </cell>
          <cell r="N82">
            <v>0</v>
          </cell>
          <cell r="O82">
            <v>0</v>
          </cell>
          <cell r="P82">
            <v>6943964</v>
          </cell>
          <cell r="Q82">
            <v>46051</v>
          </cell>
        </row>
        <row r="83">
          <cell r="B83" t="str">
            <v>073/K/I/26</v>
          </cell>
          <cell r="C83">
            <v>46049</v>
          </cell>
          <cell r="E83" t="str">
            <v>IRMA HARDIANTI</v>
          </cell>
          <cell r="G83" t="str">
            <v>625/OPS-I/2026</v>
          </cell>
          <cell r="H83" t="str">
            <v>Pembelian APD TB Michelle 219 08</v>
          </cell>
          <cell r="I83">
            <v>4020000</v>
          </cell>
          <cell r="J83">
            <v>0</v>
          </cell>
          <cell r="K83">
            <v>0</v>
          </cell>
          <cell r="M83">
            <v>0</v>
          </cell>
          <cell r="N83">
            <v>0</v>
          </cell>
          <cell r="O83">
            <v>0</v>
          </cell>
          <cell r="P83">
            <v>4020000</v>
          </cell>
          <cell r="Q83">
            <v>46051</v>
          </cell>
        </row>
        <row r="84">
          <cell r="B84" t="str">
            <v>074/K/I/26</v>
          </cell>
          <cell r="C84">
            <v>46050</v>
          </cell>
          <cell r="E84" t="str">
            <v>PT MAHAJAYA BUMI SENTOSA</v>
          </cell>
          <cell r="F84" t="str">
            <v>001/MBS/INV/I/2026/KPL</v>
          </cell>
          <cell r="G84" t="str">
            <v>023/PV-MAR/2026</v>
          </cell>
          <cell r="H84" t="str">
            <v>Pelunasan 90% Pembelian 1 unit Tug Boat - TB Ocean Power 21</v>
          </cell>
          <cell r="I84">
            <v>4500000000</v>
          </cell>
          <cell r="J84">
            <v>0</v>
          </cell>
          <cell r="K84">
            <v>0</v>
          </cell>
          <cell r="M84">
            <v>0</v>
          </cell>
          <cell r="N84">
            <v>0</v>
          </cell>
          <cell r="O84">
            <v>0</v>
          </cell>
          <cell r="P84">
            <v>4500000000</v>
          </cell>
          <cell r="Q84">
            <v>46051</v>
          </cell>
        </row>
        <row r="85">
          <cell r="B85" t="str">
            <v>075/K/I/26</v>
          </cell>
          <cell r="C85">
            <v>46050</v>
          </cell>
          <cell r="E85" t="str">
            <v>Zulfadhli Jusuf</v>
          </cell>
          <cell r="G85" t="str">
            <v>024/PV-MAR/2025</v>
          </cell>
          <cell r="H85" t="str">
            <v xml:space="preserve">Penggantian dana talangan Pak Zul dan realisasi penambahan petty cash </v>
          </cell>
          <cell r="I85">
            <v>295000000</v>
          </cell>
          <cell r="J85">
            <v>0</v>
          </cell>
          <cell r="K85">
            <v>0</v>
          </cell>
          <cell r="M85">
            <v>0</v>
          </cell>
          <cell r="N85">
            <v>0</v>
          </cell>
          <cell r="O85">
            <v>0</v>
          </cell>
          <cell r="P85">
            <v>295000000</v>
          </cell>
          <cell r="Q85">
            <v>46051</v>
          </cell>
        </row>
        <row r="86">
          <cell r="B86" t="str">
            <v>076/K/I/26</v>
          </cell>
          <cell r="C86">
            <v>46036</v>
          </cell>
          <cell r="D86" t="str">
            <v>26001R3HJ</v>
          </cell>
          <cell r="E86" t="str">
            <v>PT ELEANOR PRADANA SHIPPING</v>
          </cell>
          <cell r="F86" t="str">
            <v>0031/INV-ELPRAS/XI/2025, 004/EPS/MAR-XI/25</v>
          </cell>
          <cell r="H86" t="str">
            <v>Kelebihan Bayar 0031/INV-ELPRAS/XI/2025, 004/EPS/MAR-XI/25</v>
          </cell>
          <cell r="I86">
            <v>5925906</v>
          </cell>
          <cell r="J86">
            <v>0</v>
          </cell>
          <cell r="K86">
            <v>0</v>
          </cell>
          <cell r="M86">
            <v>0</v>
          </cell>
          <cell r="N86">
            <v>2900</v>
          </cell>
          <cell r="O86">
            <v>0</v>
          </cell>
          <cell r="P86">
            <v>5928806</v>
          </cell>
          <cell r="Q86">
            <v>46051</v>
          </cell>
        </row>
        <row r="87">
          <cell r="B87" t="str">
            <v>077/K/I/26</v>
          </cell>
          <cell r="C87">
            <v>46036</v>
          </cell>
          <cell r="E87" t="str">
            <v>PT ELEANOR PRADANA SHIPPING</v>
          </cell>
          <cell r="F87" t="str">
            <v>0031/INV-ELPRAS/XI/2025</v>
          </cell>
          <cell r="G87" t="str">
            <v>519/OPS-XI/2025</v>
          </cell>
          <cell r="H87" t="str">
            <v>Biaya Keagenan TB Titan 470 &amp; BG Titan 480 Voyage 102D</v>
          </cell>
          <cell r="I87">
            <v>17190049</v>
          </cell>
          <cell r="J87">
            <v>220000</v>
          </cell>
          <cell r="K87">
            <v>23</v>
          </cell>
          <cell r="M87">
            <v>-40000</v>
          </cell>
          <cell r="N87">
            <v>2900</v>
          </cell>
          <cell r="O87">
            <v>0</v>
          </cell>
          <cell r="P87">
            <v>17372949</v>
          </cell>
          <cell r="Q87">
            <v>46051</v>
          </cell>
        </row>
        <row r="88">
          <cell r="B88" t="str">
            <v>077/K/I/26</v>
          </cell>
          <cell r="C88">
            <v>46036</v>
          </cell>
          <cell r="E88" t="str">
            <v>PT ELEANOR PRADANA SHIPPING</v>
          </cell>
          <cell r="F88" t="str">
            <v>004/EPS/MAR-XI/25</v>
          </cell>
          <cell r="G88" t="str">
            <v>518/OPS-XI//2025</v>
          </cell>
          <cell r="H88" t="str">
            <v>Biaya Keagenan TB Michelle X / BG Benami X Voyage 113</v>
          </cell>
          <cell r="I88">
            <v>11855975</v>
          </cell>
          <cell r="J88">
            <v>275000</v>
          </cell>
          <cell r="K88">
            <v>23</v>
          </cell>
          <cell r="M88">
            <v>-50000</v>
          </cell>
          <cell r="N88">
            <v>0</v>
          </cell>
          <cell r="O88">
            <v>0</v>
          </cell>
          <cell r="P88">
            <v>12080975</v>
          </cell>
          <cell r="Q88">
            <v>46051</v>
          </cell>
        </row>
        <row r="89">
          <cell r="B89" t="str">
            <v>078/K/I/26</v>
          </cell>
          <cell r="C89">
            <v>46052</v>
          </cell>
          <cell r="D89" t="str">
            <v>26001ZGFC</v>
          </cell>
          <cell r="E89" t="str">
            <v>PT MAHAKARYA LINTAS SAMUDRA (OCBC)</v>
          </cell>
          <cell r="F89" t="str">
            <v>403/MKLS-INV/VII/2025</v>
          </cell>
          <cell r="G89" t="str">
            <v>026/PV-MAR/2026</v>
          </cell>
          <cell r="H89" t="str">
            <v xml:space="preserve">Biaya Freight Charter TB Olivia /  BG Brooklyn ( Patratani - Paiton ) DP </v>
          </cell>
          <cell r="I89">
            <v>686250000</v>
          </cell>
          <cell r="J89">
            <v>0</v>
          </cell>
          <cell r="K89">
            <v>0</v>
          </cell>
          <cell r="M89">
            <v>-8235000</v>
          </cell>
          <cell r="N89">
            <v>15000</v>
          </cell>
          <cell r="O89">
            <v>0</v>
          </cell>
          <cell r="P89">
            <v>678030000</v>
          </cell>
          <cell r="Q89">
            <v>46055</v>
          </cell>
        </row>
        <row r="90">
          <cell r="B90" t="str">
            <v>079/K/I/26</v>
          </cell>
          <cell r="C90">
            <v>46052</v>
          </cell>
          <cell r="D90" t="str">
            <v>26001ZGF6</v>
          </cell>
          <cell r="E90" t="str">
            <v>PT MAHAKARYA LINTAS SAMUDRA (OCBC)</v>
          </cell>
          <cell r="F90" t="str">
            <v>409/MKLS-INV/VIII/2025</v>
          </cell>
          <cell r="G90" t="str">
            <v>027/PV-MAR/2026</v>
          </cell>
          <cell r="H90" t="str">
            <v>Biaya Freight Charter TB Olivia /  BG Brooklyn ( Patratani - Paiton ) Pelunasan</v>
          </cell>
          <cell r="I90">
            <v>686616000</v>
          </cell>
          <cell r="J90">
            <v>0</v>
          </cell>
          <cell r="K90">
            <v>0</v>
          </cell>
          <cell r="M90">
            <v>-8239392</v>
          </cell>
          <cell r="N90">
            <v>15000</v>
          </cell>
          <cell r="O90">
            <v>0</v>
          </cell>
          <cell r="P90">
            <v>678391608</v>
          </cell>
          <cell r="Q90">
            <v>46055</v>
          </cell>
        </row>
        <row r="91">
          <cell r="B91" t="str">
            <v>080/K/I/26</v>
          </cell>
          <cell r="C91">
            <v>46052</v>
          </cell>
          <cell r="D91" t="str">
            <v>26001ZGFB</v>
          </cell>
          <cell r="E91" t="str">
            <v>PT ZONA ARMADA MAJU</v>
          </cell>
          <cell r="F91" t="str">
            <v>046/UM/ZAM/X/25</v>
          </cell>
          <cell r="G91" t="str">
            <v>028/PV-MAR/2026</v>
          </cell>
          <cell r="H91" t="str">
            <v xml:space="preserve">Biaya Freight Charter TB Momentum 06 / BG Momentum 3006 (Jetty SBL - MV Busan ) DP </v>
          </cell>
          <cell r="I91">
            <v>192400000</v>
          </cell>
          <cell r="J91">
            <v>0</v>
          </cell>
          <cell r="K91">
            <v>0</v>
          </cell>
          <cell r="M91">
            <v>-2308800</v>
          </cell>
          <cell r="N91">
            <v>0</v>
          </cell>
          <cell r="O91">
            <v>0</v>
          </cell>
          <cell r="P91">
            <v>190091200</v>
          </cell>
          <cell r="Q91">
            <v>46055</v>
          </cell>
        </row>
        <row r="92">
          <cell r="B92" t="str">
            <v>081/K/I/26</v>
          </cell>
          <cell r="C92">
            <v>46052</v>
          </cell>
          <cell r="D92" t="str">
            <v>26001ZGFD</v>
          </cell>
          <cell r="E92" t="str">
            <v>PT ZONA ARMADA MAJU</v>
          </cell>
          <cell r="F92" t="str">
            <v>131/ZAM/INV/X/2025</v>
          </cell>
          <cell r="G92" t="str">
            <v>029/PV-MAR/2026</v>
          </cell>
          <cell r="H92" t="str">
            <v>Biaya Freight Charter TB Momentum 06 / BG Momentum 3006 (Jetty SBL - MV Busan ) Pelunasan</v>
          </cell>
          <cell r="I92">
            <v>192521368</v>
          </cell>
          <cell r="J92">
            <v>0</v>
          </cell>
          <cell r="K92">
            <v>0</v>
          </cell>
          <cell r="M92">
            <v>-2310256</v>
          </cell>
          <cell r="N92">
            <v>0</v>
          </cell>
          <cell r="O92">
            <v>0</v>
          </cell>
          <cell r="P92">
            <v>190211112</v>
          </cell>
          <cell r="Q92">
            <v>46055</v>
          </cell>
        </row>
        <row r="93">
          <cell r="B93" t="str">
            <v>082/K/I/26</v>
          </cell>
          <cell r="C93">
            <v>46052</v>
          </cell>
          <cell r="D93" t="str">
            <v>26001ZGFF</v>
          </cell>
          <cell r="E93" t="str">
            <v>PT ANDALAN LANCAR NIAGA</v>
          </cell>
          <cell r="F93" t="str">
            <v>0000012/ALN-INV/I/2026</v>
          </cell>
          <cell r="G93" t="str">
            <v>030/PV-MAR/2026</v>
          </cell>
          <cell r="H93" t="str">
            <v>Biaya Time Charter TB Michelle XV / BG Benami XV periode 25 Januari - 24 Februari 2026</v>
          </cell>
          <cell r="I93">
            <v>950000000</v>
          </cell>
          <cell r="J93">
            <v>0</v>
          </cell>
          <cell r="K93">
            <v>0</v>
          </cell>
          <cell r="M93">
            <v>-11400000</v>
          </cell>
          <cell r="N93">
            <v>15000</v>
          </cell>
          <cell r="O93">
            <v>0</v>
          </cell>
          <cell r="P93">
            <v>938615000</v>
          </cell>
          <cell r="Q93">
            <v>46055</v>
          </cell>
        </row>
        <row r="94">
          <cell r="B94" t="str">
            <v>083/K/I/26</v>
          </cell>
          <cell r="C94">
            <v>46052</v>
          </cell>
          <cell r="D94" t="str">
            <v>26001ZGF9</v>
          </cell>
          <cell r="E94" t="str">
            <v>PT ALPHA PACIFIC LINE</v>
          </cell>
          <cell r="F94" t="str">
            <v>001/APL-F/I/2026</v>
          </cell>
          <cell r="G94" t="str">
            <v>032/PV-MAR/2026</v>
          </cell>
          <cell r="H94" t="str">
            <v>Biaya Time Charter TB APL 7 / BG Baiduri 70273 periode 11 Januari - 10 Februari 2026</v>
          </cell>
          <cell r="I94">
            <v>930442222</v>
          </cell>
          <cell r="J94">
            <v>0</v>
          </cell>
          <cell r="K94">
            <v>15</v>
          </cell>
          <cell r="M94">
            <v>-11165306.664000001</v>
          </cell>
          <cell r="N94">
            <v>0</v>
          </cell>
          <cell r="O94">
            <v>-80000000</v>
          </cell>
          <cell r="P94">
            <v>839276915.33599997</v>
          </cell>
          <cell r="Q94">
            <v>46055</v>
          </cell>
        </row>
        <row r="95">
          <cell r="B95" t="str">
            <v>084/K/I/26</v>
          </cell>
          <cell r="C95">
            <v>46053</v>
          </cell>
          <cell r="E95" t="str">
            <v>CREW ENTEBE STAR 31 / FINACIA 71</v>
          </cell>
          <cell r="G95" t="str">
            <v>033/PV-MAR/2026</v>
          </cell>
          <cell r="H95" t="str">
            <v>Gaji crew Entebe Star 30 / Finacia 71  periode Januari 2026</v>
          </cell>
          <cell r="I95">
            <v>68500000</v>
          </cell>
          <cell r="J95">
            <v>0</v>
          </cell>
          <cell r="K95">
            <v>0</v>
          </cell>
          <cell r="M95">
            <v>0</v>
          </cell>
          <cell r="N95">
            <v>32500</v>
          </cell>
          <cell r="O95">
            <v>0</v>
          </cell>
          <cell r="P95">
            <v>68532500</v>
          </cell>
          <cell r="Q95">
            <v>46055</v>
          </cell>
        </row>
        <row r="96">
          <cell r="B96" t="str">
            <v>085/K/I/26</v>
          </cell>
          <cell r="C96">
            <v>46053</v>
          </cell>
          <cell r="E96" t="str">
            <v>YUDIANTO</v>
          </cell>
          <cell r="G96" t="str">
            <v>034/PV-MAR/2026</v>
          </cell>
          <cell r="H96" t="str">
            <v>Uang Makan Crew Entebe Star 31 / Financia 71 Periode Februari 2026</v>
          </cell>
          <cell r="I96">
            <v>16500000</v>
          </cell>
          <cell r="J96">
            <v>0</v>
          </cell>
          <cell r="K96">
            <v>0</v>
          </cell>
          <cell r="M96">
            <v>0</v>
          </cell>
          <cell r="N96">
            <v>0</v>
          </cell>
          <cell r="O96">
            <v>0</v>
          </cell>
          <cell r="P96">
            <v>16500000</v>
          </cell>
          <cell r="Q96">
            <v>46055</v>
          </cell>
        </row>
        <row r="97">
          <cell r="B97" t="str">
            <v>086/K/I/26</v>
          </cell>
          <cell r="C97">
            <v>46053</v>
          </cell>
          <cell r="E97" t="str">
            <v>CREW SURYA SEGARA 3 / FINACIA 96</v>
          </cell>
          <cell r="G97" t="str">
            <v>035/PV-MAR/2026</v>
          </cell>
          <cell r="H97" t="str">
            <v>Gaji crew Surya Segara 3/ Finacia 96 periode Januari 2026</v>
          </cell>
          <cell r="I97">
            <v>68500000</v>
          </cell>
          <cell r="J97">
            <v>0</v>
          </cell>
          <cell r="K97">
            <v>0</v>
          </cell>
          <cell r="M97">
            <v>0</v>
          </cell>
          <cell r="N97">
            <v>19500</v>
          </cell>
          <cell r="O97">
            <v>0</v>
          </cell>
          <cell r="P97">
            <v>68519500</v>
          </cell>
          <cell r="Q97">
            <v>46055</v>
          </cell>
        </row>
        <row r="98">
          <cell r="B98" t="str">
            <v>087/K/I/26</v>
          </cell>
          <cell r="C98">
            <v>46053</v>
          </cell>
          <cell r="E98" t="str">
            <v>ANDI ARDI SAID</v>
          </cell>
          <cell r="G98" t="str">
            <v>036/PV-MAR/2026</v>
          </cell>
          <cell r="H98" t="str">
            <v>Uang Makan Crew Surya Segara 3 / Financia 96 Periode Februari 2026</v>
          </cell>
          <cell r="I98">
            <v>16500000</v>
          </cell>
          <cell r="J98">
            <v>0</v>
          </cell>
          <cell r="K98">
            <v>0</v>
          </cell>
          <cell r="M98">
            <v>0</v>
          </cell>
          <cell r="N98">
            <v>2500</v>
          </cell>
          <cell r="O98">
            <v>0</v>
          </cell>
          <cell r="P98">
            <v>16502500</v>
          </cell>
          <cell r="Q98">
            <v>46055</v>
          </cell>
        </row>
        <row r="99">
          <cell r="B99" t="str">
            <v>088/K/I/26</v>
          </cell>
          <cell r="C99">
            <v>46053</v>
          </cell>
          <cell r="E99" t="str">
            <v>CREW MICHELLE 219-08 / ANGELINE 219-08</v>
          </cell>
          <cell r="G99" t="str">
            <v>037/PV-MAR/2026</v>
          </cell>
          <cell r="H99" t="str">
            <v>Gaji crew Michelle 219-08 / Angeline 219-08 periode Januari 2026</v>
          </cell>
          <cell r="I99">
            <v>40716667</v>
          </cell>
          <cell r="J99">
            <v>0</v>
          </cell>
          <cell r="K99">
            <v>0</v>
          </cell>
          <cell r="M99">
            <v>0</v>
          </cell>
          <cell r="N99">
            <v>19500</v>
          </cell>
          <cell r="O99">
            <v>-1</v>
          </cell>
          <cell r="P99">
            <v>40736166</v>
          </cell>
          <cell r="Q99">
            <v>46055</v>
          </cell>
        </row>
        <row r="100">
          <cell r="B100" t="str">
            <v>089/K/I/26</v>
          </cell>
          <cell r="C100">
            <v>46053</v>
          </cell>
          <cell r="E100" t="str">
            <v>JUSNAEKA</v>
          </cell>
          <cell r="G100" t="str">
            <v>038/PV-MAR/2026</v>
          </cell>
          <cell r="H100" t="str">
            <v>Uang makan crew Michelle 219-08 / Angeline 219-08 periode Februari 2026</v>
          </cell>
          <cell r="I100">
            <v>16500000</v>
          </cell>
          <cell r="J100">
            <v>0</v>
          </cell>
          <cell r="K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16500000</v>
          </cell>
          <cell r="Q100">
            <v>46055</v>
          </cell>
        </row>
        <row r="101">
          <cell r="B101" t="str">
            <v>002/K/I/26 CAV</v>
          </cell>
          <cell r="C101">
            <v>46051</v>
          </cell>
          <cell r="E101" t="str">
            <v>PT MARITIM INDO RAYA</v>
          </cell>
          <cell r="F101" t="str">
            <v>011/PRO/MIR-MAR/I/2026</v>
          </cell>
          <cell r="G101" t="str">
            <v>626/OPS-I/2026</v>
          </cell>
          <cell r="H101" t="str">
            <v>Advance (DP) DP 70% TB Michelle 219-08 / V BG Angeline 219-08 Voyage 131L</v>
          </cell>
          <cell r="I101">
            <v>59458000</v>
          </cell>
          <cell r="J101">
            <v>0</v>
          </cell>
          <cell r="K101">
            <v>0</v>
          </cell>
          <cell r="M101">
            <v>0</v>
          </cell>
          <cell r="N101">
            <v>2500</v>
          </cell>
          <cell r="O101">
            <v>0</v>
          </cell>
          <cell r="P101">
            <v>59460500</v>
          </cell>
          <cell r="Q101">
            <v>46055</v>
          </cell>
        </row>
        <row r="102">
          <cell r="B102" t="str">
            <v>091/K/I/26</v>
          </cell>
          <cell r="C102">
            <v>46051</v>
          </cell>
          <cell r="E102" t="str">
            <v>PT ADHI GUNA PUTERA (PAITON)</v>
          </cell>
          <cell r="F102" t="str">
            <v>K0383A/INV-PTN/X/2025</v>
          </cell>
          <cell r="G102" t="str">
            <v>629/OPS-I/2026</v>
          </cell>
          <cell r="H102" t="str">
            <v>Biaya supply air tawar tanggal 21.10.2025 sebanyak 30 ton Voyage 090D</v>
          </cell>
          <cell r="I102">
            <v>1500000</v>
          </cell>
          <cell r="J102">
            <v>0</v>
          </cell>
          <cell r="K102">
            <v>0</v>
          </cell>
          <cell r="M102">
            <v>0</v>
          </cell>
          <cell r="N102">
            <v>2500</v>
          </cell>
          <cell r="O102">
            <v>0</v>
          </cell>
          <cell r="P102">
            <v>1502500</v>
          </cell>
          <cell r="Q102">
            <v>46055</v>
          </cell>
        </row>
        <row r="103">
          <cell r="B103" t="str">
            <v>092/K/I/26</v>
          </cell>
          <cell r="C103">
            <v>46051</v>
          </cell>
          <cell r="E103" t="str">
            <v>PT DINI RIYANTO BUANA MEKAR</v>
          </cell>
          <cell r="F103" t="str">
            <v>530/DRBM-MAR/INV/SGT/I/2026</v>
          </cell>
          <cell r="G103" t="str">
            <v>630/OPS-I/2026</v>
          </cell>
          <cell r="H103" t="str">
            <v>Kurang bayar PPN 530/DRBM-MAR/INV/SGT/XII/2025</v>
          </cell>
          <cell r="I103">
            <v>1650000</v>
          </cell>
          <cell r="J103">
            <v>0</v>
          </cell>
          <cell r="K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1650000</v>
          </cell>
          <cell r="Q103">
            <v>46055</v>
          </cell>
        </row>
        <row r="104">
          <cell r="B104" t="str">
            <v>094/K/I/26</v>
          </cell>
          <cell r="C104">
            <v>45658</v>
          </cell>
          <cell r="E104" t="str">
            <v>CREW ENTEBE STAR 30 / FINACIA 71</v>
          </cell>
          <cell r="G104" t="str">
            <v>703/PV-MAR/2025</v>
          </cell>
          <cell r="H104" t="str">
            <v>Gaji Crew Entebe Star 30 / Finacia 71 Periode Desember 2025</v>
          </cell>
          <cell r="I104">
            <v>68500000</v>
          </cell>
          <cell r="J104">
            <v>0</v>
          </cell>
          <cell r="K104">
            <v>0</v>
          </cell>
          <cell r="M104">
            <v>0</v>
          </cell>
          <cell r="N104">
            <v>32500</v>
          </cell>
          <cell r="O104">
            <v>0</v>
          </cell>
          <cell r="P104">
            <v>68532500</v>
          </cell>
          <cell r="Q104">
            <v>46059</v>
          </cell>
        </row>
        <row r="105">
          <cell r="B105" t="str">
            <v>095/K/I/26</v>
          </cell>
          <cell r="C105">
            <v>45658</v>
          </cell>
          <cell r="E105" t="str">
            <v>CREW SURYA SEGARA 3 / FINACIA 96</v>
          </cell>
          <cell r="G105" t="str">
            <v>705/PV-MAR/2025</v>
          </cell>
          <cell r="H105" t="str">
            <v>Gaji Crew Surya Segara 3 / Finacia 96 Periode Desember 2025</v>
          </cell>
          <cell r="I105">
            <v>68500000</v>
          </cell>
          <cell r="J105">
            <v>0</v>
          </cell>
          <cell r="K105">
            <v>0</v>
          </cell>
          <cell r="M105">
            <v>0</v>
          </cell>
          <cell r="N105">
            <v>32500</v>
          </cell>
          <cell r="O105">
            <v>0</v>
          </cell>
          <cell r="P105">
            <v>68532500</v>
          </cell>
          <cell r="Q105">
            <v>46059</v>
          </cell>
        </row>
        <row r="107">
          <cell r="B107" t="str">
            <v>001/K/II/26</v>
          </cell>
          <cell r="C107">
            <v>46055</v>
          </cell>
          <cell r="E107" t="str">
            <v>PT BENAYA AMB MANDIRI</v>
          </cell>
          <cell r="F107" t="str">
            <v>04/BAM-MAR/INV/I/2026</v>
          </cell>
          <cell r="G107" t="str">
            <v>623/OPS-I/2026</v>
          </cell>
          <cell r="H107" t="str">
            <v>First Payment Solar HSD TB APL 7 Voyage 127L</v>
          </cell>
          <cell r="I107">
            <v>800000000</v>
          </cell>
          <cell r="J107">
            <v>0</v>
          </cell>
          <cell r="K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800000000</v>
          </cell>
          <cell r="Q107">
            <v>46057</v>
          </cell>
        </row>
        <row r="108">
          <cell r="B108" t="str">
            <v>002/K/II/26</v>
          </cell>
          <cell r="C108">
            <v>46055</v>
          </cell>
          <cell r="D108" t="str">
            <v>26005U36X</v>
          </cell>
          <cell r="E108" t="str">
            <v>MAS NUROH YUSUF</v>
          </cell>
          <cell r="G108" t="str">
            <v>039/PV-MAR/2026</v>
          </cell>
          <cell r="H108" t="str">
            <v>First Payment komisi sewa kapal TB Entebe Star 30 / BG Finacia 71</v>
          </cell>
          <cell r="I108">
            <v>94987500</v>
          </cell>
          <cell r="J108">
            <v>0</v>
          </cell>
          <cell r="K108">
            <v>0</v>
          </cell>
          <cell r="M108">
            <v>-2374688</v>
          </cell>
          <cell r="N108">
            <v>5000</v>
          </cell>
          <cell r="O108">
            <v>0</v>
          </cell>
          <cell r="P108">
            <v>92617812</v>
          </cell>
          <cell r="Q108">
            <v>46057</v>
          </cell>
        </row>
        <row r="109">
          <cell r="B109" t="str">
            <v>002/K/II/26</v>
          </cell>
          <cell r="C109">
            <v>46055</v>
          </cell>
          <cell r="D109" t="str">
            <v>26005U36X</v>
          </cell>
          <cell r="E109" t="str">
            <v>MAS NUROH YUSUF</v>
          </cell>
          <cell r="G109" t="str">
            <v>039/PV-MAR/2026</v>
          </cell>
          <cell r="H109" t="str">
            <v>Second Payment komisi sewa kapal TB Entebe Star 30 / BG Finacia 71</v>
          </cell>
          <cell r="I109">
            <v>94987500</v>
          </cell>
          <cell r="J109">
            <v>0</v>
          </cell>
          <cell r="K109">
            <v>0</v>
          </cell>
          <cell r="M109">
            <v>-2374688</v>
          </cell>
          <cell r="N109">
            <v>0</v>
          </cell>
          <cell r="O109">
            <v>2</v>
          </cell>
          <cell r="P109">
            <v>92612814</v>
          </cell>
          <cell r="Q109">
            <v>46057</v>
          </cell>
        </row>
        <row r="110">
          <cell r="B110" t="str">
            <v>003/K/II/26</v>
          </cell>
          <cell r="C110">
            <v>46056</v>
          </cell>
          <cell r="E110" t="str">
            <v>HENDY KUSSUNAR ARYA</v>
          </cell>
          <cell r="G110" t="str">
            <v>042/PV-MAR/2026</v>
          </cell>
          <cell r="H110" t="str">
            <v>Reimburse operasional Pak Hendy periode Januari 2026</v>
          </cell>
          <cell r="I110">
            <v>7200000</v>
          </cell>
          <cell r="J110">
            <v>0</v>
          </cell>
          <cell r="K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7200000</v>
          </cell>
          <cell r="Q110">
            <v>46057</v>
          </cell>
        </row>
        <row r="111">
          <cell r="B111" t="str">
            <v>004/K/II/26</v>
          </cell>
          <cell r="C111">
            <v>46056</v>
          </cell>
          <cell r="E111" t="str">
            <v>CREW SURYA SEGARA 3 / FINACIA 96</v>
          </cell>
          <cell r="G111" t="str">
            <v>041/PV-MAR/2026</v>
          </cell>
          <cell r="H111" t="str">
            <v>Reimburse transport &amp; akomodasi crew TB Surya Segara 3 / BG Finacia 96 - Crew change</v>
          </cell>
          <cell r="I111">
            <v>1383701</v>
          </cell>
          <cell r="J111">
            <v>0</v>
          </cell>
          <cell r="K111">
            <v>0</v>
          </cell>
          <cell r="M111">
            <v>0</v>
          </cell>
          <cell r="N111">
            <v>2500</v>
          </cell>
          <cell r="O111">
            <v>0</v>
          </cell>
          <cell r="P111">
            <v>1386201</v>
          </cell>
          <cell r="Q111">
            <v>46057</v>
          </cell>
        </row>
        <row r="112">
          <cell r="B112" t="str">
            <v>004/K/II/26</v>
          </cell>
          <cell r="C112">
            <v>46056</v>
          </cell>
          <cell r="E112" t="str">
            <v>CREW SURYA SEGARA 3 / FINACIA 96</v>
          </cell>
          <cell r="G112" t="str">
            <v>041/PV-MAR/2026</v>
          </cell>
          <cell r="H112" t="str">
            <v>Reimburse transport &amp; akomodasi crew TB Surya Segara 3 / BG Finacia 96 - Crew change</v>
          </cell>
          <cell r="I112">
            <v>3173800</v>
          </cell>
          <cell r="J112">
            <v>0</v>
          </cell>
          <cell r="K112">
            <v>0</v>
          </cell>
          <cell r="M112">
            <v>0</v>
          </cell>
          <cell r="N112">
            <v>2500</v>
          </cell>
          <cell r="O112">
            <v>0</v>
          </cell>
          <cell r="P112">
            <v>3176300</v>
          </cell>
          <cell r="Q112">
            <v>46057</v>
          </cell>
        </row>
        <row r="113">
          <cell r="B113" t="str">
            <v>004/K/II/26</v>
          </cell>
          <cell r="C113">
            <v>46056</v>
          </cell>
          <cell r="E113" t="str">
            <v>CREW SURYA SEGARA 3 / FINACIA 96</v>
          </cell>
          <cell r="G113" t="str">
            <v>041/PV-MAR/2026</v>
          </cell>
          <cell r="H113" t="str">
            <v>Reimburse transport &amp; akomodasi crew TB Surya Segara 3 / BG Finacia 96 - Crew change</v>
          </cell>
          <cell r="I113">
            <v>530000</v>
          </cell>
          <cell r="J113">
            <v>0</v>
          </cell>
          <cell r="K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530000</v>
          </cell>
          <cell r="Q113">
            <v>46057</v>
          </cell>
        </row>
        <row r="114">
          <cell r="B114" t="str">
            <v>004/K/II/26</v>
          </cell>
          <cell r="C114">
            <v>46056</v>
          </cell>
          <cell r="E114" t="str">
            <v>CREW SURYA SEGARA 3 / FINACIA 96</v>
          </cell>
          <cell r="G114" t="str">
            <v>041/PV-MAR/2026</v>
          </cell>
          <cell r="H114" t="str">
            <v>Reimburse transport &amp; akomodasi crew TB Surya Segara 3 / BG Finacia 96 - Crew change</v>
          </cell>
          <cell r="I114">
            <v>2465500</v>
          </cell>
          <cell r="J114">
            <v>0</v>
          </cell>
          <cell r="K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2465500</v>
          </cell>
          <cell r="Q114">
            <v>46057</v>
          </cell>
        </row>
        <row r="115">
          <cell r="B115" t="str">
            <v>004/K/II/26</v>
          </cell>
          <cell r="C115">
            <v>46056</v>
          </cell>
          <cell r="E115" t="str">
            <v>CREW SURYA SEGARA 3 / FINACIA 96</v>
          </cell>
          <cell r="G115" t="str">
            <v>041/PV-MAR/2026</v>
          </cell>
          <cell r="H115" t="str">
            <v>Reimburse transport &amp; akomodasi crew TB Surya Segara 3 / BG Finacia 96 - Crew change</v>
          </cell>
          <cell r="I115">
            <v>450000</v>
          </cell>
          <cell r="J115">
            <v>0</v>
          </cell>
          <cell r="K115">
            <v>0</v>
          </cell>
          <cell r="M115">
            <v>0</v>
          </cell>
          <cell r="N115">
            <v>2500</v>
          </cell>
          <cell r="O115">
            <v>0</v>
          </cell>
          <cell r="P115">
            <v>452500</v>
          </cell>
          <cell r="Q115">
            <v>46057</v>
          </cell>
        </row>
        <row r="116">
          <cell r="B116" t="str">
            <v>004/K/II/26</v>
          </cell>
          <cell r="C116">
            <v>46056</v>
          </cell>
          <cell r="E116" t="str">
            <v>CREW SURYA SEGARA 3 / FINACIA 96</v>
          </cell>
          <cell r="G116" t="str">
            <v>041/PV-MAR/2026</v>
          </cell>
          <cell r="H116" t="str">
            <v>Reimburse transport &amp; akomodasi crew TB Surya Segara 3 / BG Finacia 96 - Crew change</v>
          </cell>
          <cell r="I116">
            <v>1326100</v>
          </cell>
          <cell r="J116">
            <v>0</v>
          </cell>
          <cell r="K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1326100</v>
          </cell>
          <cell r="Q116">
            <v>46057</v>
          </cell>
        </row>
        <row r="117">
          <cell r="B117" t="str">
            <v>004/K/II/26</v>
          </cell>
          <cell r="C117">
            <v>46056</v>
          </cell>
          <cell r="E117" t="str">
            <v>CREW SURYA SEGARA 3 / FINACIA 96</v>
          </cell>
          <cell r="G117" t="str">
            <v>041/PV-MAR/2026</v>
          </cell>
          <cell r="H117" t="str">
            <v>Reimburse transport &amp; akomodasi crew TB Surya Segara 3 / BG Finacia 96 - Crew change</v>
          </cell>
          <cell r="I117">
            <v>1585300</v>
          </cell>
          <cell r="J117">
            <v>0</v>
          </cell>
          <cell r="K117">
            <v>0</v>
          </cell>
          <cell r="M117">
            <v>0</v>
          </cell>
          <cell r="N117">
            <v>2500</v>
          </cell>
          <cell r="O117">
            <v>0</v>
          </cell>
          <cell r="P117">
            <v>1587800</v>
          </cell>
          <cell r="Q117">
            <v>46057</v>
          </cell>
        </row>
        <row r="118">
          <cell r="B118" t="str">
            <v>004/K/II/26</v>
          </cell>
          <cell r="C118">
            <v>46056</v>
          </cell>
          <cell r="E118" t="str">
            <v>CREW SURYA SEGARA 3 / FINACIA 96</v>
          </cell>
          <cell r="G118" t="str">
            <v>041/PV-MAR/2026</v>
          </cell>
          <cell r="H118" t="str">
            <v>Reimburse transport &amp; akomodasi crew TB Surya Segara 3 / BG Finacia 96 - Crew change</v>
          </cell>
          <cell r="I118">
            <v>2113600</v>
          </cell>
          <cell r="J118">
            <v>0</v>
          </cell>
          <cell r="K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2113600</v>
          </cell>
          <cell r="Q118">
            <v>46057</v>
          </cell>
        </row>
        <row r="119">
          <cell r="B119" t="str">
            <v>004/K/II/26</v>
          </cell>
          <cell r="C119">
            <v>46056</v>
          </cell>
          <cell r="E119" t="str">
            <v>CREW SURYA SEGARA 3 / FINACIA 96</v>
          </cell>
          <cell r="G119" t="str">
            <v>041/PV-MAR/2026</v>
          </cell>
          <cell r="H119" t="str">
            <v>Reimburse transport &amp; akomodasi crew TB Surya Segara 3 / BG Finacia 96 - Crew change</v>
          </cell>
          <cell r="I119">
            <v>1841600</v>
          </cell>
          <cell r="J119">
            <v>0</v>
          </cell>
          <cell r="K119">
            <v>0</v>
          </cell>
          <cell r="M119">
            <v>0</v>
          </cell>
          <cell r="N119">
            <v>2500</v>
          </cell>
          <cell r="O119">
            <v>0</v>
          </cell>
          <cell r="P119">
            <v>1844100</v>
          </cell>
          <cell r="Q119">
            <v>46057</v>
          </cell>
        </row>
        <row r="120">
          <cell r="B120" t="str">
            <v>004/K/II/26</v>
          </cell>
          <cell r="C120">
            <v>46056</v>
          </cell>
          <cell r="E120" t="str">
            <v>CREW SURYA SEGARA 3 / FINACIA 96</v>
          </cell>
          <cell r="G120" t="str">
            <v>041/PV-MAR/2026</v>
          </cell>
          <cell r="H120" t="str">
            <v>Reimburse transport &amp; akomodasi crew TB Surya Segara 3 / BG Finacia 96 - Crew change</v>
          </cell>
          <cell r="I120">
            <v>207600</v>
          </cell>
          <cell r="J120">
            <v>0</v>
          </cell>
          <cell r="K120">
            <v>0</v>
          </cell>
          <cell r="M120">
            <v>0</v>
          </cell>
          <cell r="N120">
            <v>2500</v>
          </cell>
          <cell r="O120">
            <v>0</v>
          </cell>
          <cell r="P120">
            <v>210100</v>
          </cell>
          <cell r="Q120">
            <v>46057</v>
          </cell>
        </row>
        <row r="121">
          <cell r="B121" t="str">
            <v>004/K/II/26</v>
          </cell>
          <cell r="C121">
            <v>46056</v>
          </cell>
          <cell r="E121" t="str">
            <v>CREW SURYA SEGARA 3 / FINACIA 96</v>
          </cell>
          <cell r="G121" t="str">
            <v>041/PV-MAR/2026</v>
          </cell>
          <cell r="H121" t="str">
            <v>Reimburse transport &amp; akomodasi crew TB Surya Segara 3 / BG Finacia 96 - Crew change</v>
          </cell>
          <cell r="I121">
            <v>1723800</v>
          </cell>
          <cell r="J121">
            <v>0</v>
          </cell>
          <cell r="K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1723800</v>
          </cell>
          <cell r="Q121">
            <v>46057</v>
          </cell>
        </row>
        <row r="122">
          <cell r="B122" t="str">
            <v>005/K/II/26</v>
          </cell>
          <cell r="C122">
            <v>46056</v>
          </cell>
          <cell r="E122" t="str">
            <v>BINA SARANA INFORMATIKA</v>
          </cell>
          <cell r="F122" t="str">
            <v>032.02/Y-BSI/I/2026</v>
          </cell>
          <cell r="G122" t="str">
            <v>043/PV-MAR/2026</v>
          </cell>
          <cell r="H122" t="str">
            <v>Parkir Member Mobil &amp; Parkir Member Motor 1 bulan periode 10 Februari 2026 - 09 Maret 2026</v>
          </cell>
          <cell r="I122">
            <v>3300000</v>
          </cell>
          <cell r="J122">
            <v>0</v>
          </cell>
          <cell r="K122">
            <v>0</v>
          </cell>
          <cell r="M122">
            <v>0</v>
          </cell>
          <cell r="N122">
            <v>2500</v>
          </cell>
          <cell r="P122">
            <v>3302500</v>
          </cell>
          <cell r="Q122">
            <v>46058</v>
          </cell>
        </row>
        <row r="123">
          <cell r="B123" t="str">
            <v>006/K/II/26</v>
          </cell>
          <cell r="C123">
            <v>46056</v>
          </cell>
          <cell r="E123" t="str">
            <v>PT LANCAR BAROKAH ENERGI (Mandiri)</v>
          </cell>
          <cell r="F123" t="str">
            <v>0036/LBE-Inv/TB/1/2026</v>
          </cell>
          <cell r="G123" t="str">
            <v>622/OPS-I/2026</v>
          </cell>
          <cell r="H123" t="str">
            <v>BBM Solar TB Michelle XV Voyage 129D</v>
          </cell>
          <cell r="I123">
            <v>193243243</v>
          </cell>
          <cell r="J123">
            <v>21256757</v>
          </cell>
          <cell r="K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214500000</v>
          </cell>
          <cell r="Q123">
            <v>46058</v>
          </cell>
        </row>
        <row r="124">
          <cell r="B124" t="str">
            <v>007/K/II/26</v>
          </cell>
          <cell r="C124">
            <v>46056</v>
          </cell>
          <cell r="E124" t="str">
            <v>PT BENAYA AMB MANDIRI</v>
          </cell>
          <cell r="F124" t="str">
            <v>04/BAM-MAR/INV/I/2026</v>
          </cell>
          <cell r="G124" t="str">
            <v>623/OPS-I/2026</v>
          </cell>
          <cell r="H124" t="str">
            <v>Second Payment Solar HSD TB APL 7 Voyage 127L</v>
          </cell>
          <cell r="I124">
            <v>288000000</v>
          </cell>
          <cell r="J124">
            <v>0</v>
          </cell>
          <cell r="K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288000000</v>
          </cell>
          <cell r="Q124">
            <v>46058</v>
          </cell>
        </row>
        <row r="125">
          <cell r="B125" t="str">
            <v>008/K/II/26</v>
          </cell>
          <cell r="C125">
            <v>46056</v>
          </cell>
          <cell r="D125" t="str">
            <v>26005U36R</v>
          </cell>
          <cell r="E125" t="str">
            <v>MAS NUROH YUSUF</v>
          </cell>
          <cell r="G125" t="str">
            <v>040/PV-MAR/2026</v>
          </cell>
          <cell r="H125" t="str">
            <v>First Payment komisi sewa kapal TB Surya Segara 3 / BG Finacia 96</v>
          </cell>
          <cell r="I125">
            <v>93412500</v>
          </cell>
          <cell r="J125">
            <v>0</v>
          </cell>
          <cell r="K125">
            <v>0</v>
          </cell>
          <cell r="M125">
            <v>-2335313</v>
          </cell>
          <cell r="N125">
            <v>5000</v>
          </cell>
          <cell r="O125">
            <v>-187</v>
          </cell>
          <cell r="P125">
            <v>91082000</v>
          </cell>
          <cell r="Q125">
            <v>46058</v>
          </cell>
        </row>
        <row r="126">
          <cell r="B126" t="str">
            <v>008/K/II/26</v>
          </cell>
          <cell r="C126">
            <v>46056</v>
          </cell>
          <cell r="D126" t="str">
            <v>26005U36R</v>
          </cell>
          <cell r="E126" t="str">
            <v>MAS NUROH YUSUF</v>
          </cell>
          <cell r="G126" t="str">
            <v>040/PV-MAR/2026</v>
          </cell>
          <cell r="H126" t="str">
            <v>Second Payment komisi sewa kapal TB Surya Segara 3 / BG Finacia 96</v>
          </cell>
          <cell r="I126">
            <v>93412500</v>
          </cell>
          <cell r="J126">
            <v>0</v>
          </cell>
          <cell r="M126">
            <v>-2335313</v>
          </cell>
          <cell r="N126">
            <v>0</v>
          </cell>
          <cell r="O126">
            <v>189</v>
          </cell>
          <cell r="P126">
            <v>91077376</v>
          </cell>
          <cell r="Q126">
            <v>46058</v>
          </cell>
        </row>
        <row r="127">
          <cell r="B127" t="str">
            <v>009/K/II/26</v>
          </cell>
          <cell r="C127">
            <v>46057</v>
          </cell>
          <cell r="E127" t="str">
            <v>PT TRANS LOGISTIC PERKASA</v>
          </cell>
          <cell r="F127" t="str">
            <v>008/DN/TLP-MAR/I/2026</v>
          </cell>
          <cell r="G127" t="str">
            <v>044/PV-MAR/2026</v>
          </cell>
          <cell r="H127" t="str">
            <v>Reimburse fuel TB Titan 470 3000 liter</v>
          </cell>
          <cell r="I127">
            <v>41891880</v>
          </cell>
          <cell r="J127">
            <v>0</v>
          </cell>
          <cell r="K127">
            <v>0</v>
          </cell>
          <cell r="M127">
            <v>0</v>
          </cell>
          <cell r="N127">
            <v>2500</v>
          </cell>
          <cell r="O127">
            <v>0</v>
          </cell>
          <cell r="P127">
            <v>41894380</v>
          </cell>
          <cell r="Q127">
            <v>46058</v>
          </cell>
        </row>
        <row r="128">
          <cell r="B128" t="str">
            <v>010/K/II/26</v>
          </cell>
          <cell r="C128">
            <v>46057</v>
          </cell>
          <cell r="D128" t="str">
            <v>26005TT5V</v>
          </cell>
          <cell r="E128" t="str">
            <v>PT TRANS LOGISTIC PERKASA</v>
          </cell>
          <cell r="F128" t="str">
            <v>063/INV/TLP-MAR/II/2026</v>
          </cell>
          <cell r="G128" t="str">
            <v>046/PV-MAR/2026</v>
          </cell>
          <cell r="H128" t="str">
            <v xml:space="preserve">Biaya Time Charter TB Titan 470 / BG Titan 480 periode 20 Januari - 06 Februari 2026 </v>
          </cell>
          <cell r="I128">
            <v>552165509</v>
          </cell>
          <cell r="J128">
            <v>0</v>
          </cell>
          <cell r="K128">
            <v>0</v>
          </cell>
          <cell r="M128">
            <v>-6625986</v>
          </cell>
          <cell r="N128">
            <v>15000</v>
          </cell>
          <cell r="O128">
            <v>0</v>
          </cell>
          <cell r="P128">
            <v>545554523</v>
          </cell>
          <cell r="Q128">
            <v>46058</v>
          </cell>
        </row>
        <row r="129">
          <cell r="B129" t="str">
            <v>011/K/II/26</v>
          </cell>
          <cell r="C129">
            <v>46057</v>
          </cell>
          <cell r="E129" t="str">
            <v>YONI FIRDAUS WIBOWO</v>
          </cell>
          <cell r="G129" t="str">
            <v>045/PV-MAR/2026</v>
          </cell>
          <cell r="H129" t="str">
            <v>Reimburse Pak Yoni Firdaus periode 30/01 s.d 03/02 2026</v>
          </cell>
          <cell r="I129">
            <v>3093500</v>
          </cell>
          <cell r="J129">
            <v>0</v>
          </cell>
          <cell r="K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3093500</v>
          </cell>
          <cell r="Q129">
            <v>46058</v>
          </cell>
        </row>
        <row r="130">
          <cell r="B130" t="str">
            <v>012/K/II/26</v>
          </cell>
          <cell r="C130">
            <v>46057</v>
          </cell>
          <cell r="D130" t="str">
            <v>26005TT6K</v>
          </cell>
          <cell r="E130" t="str">
            <v>PT TRANS LOGISTIC PERKASA</v>
          </cell>
          <cell r="F130" t="str">
            <v>770/INV/TLP-MAR/XII/2025</v>
          </cell>
          <cell r="G130" t="str">
            <v>031/PV-MAR/2026</v>
          </cell>
          <cell r="H130" t="str">
            <v>Biaya Time Charter TB Titan 470 /  BG Titan 480 periode 21 Desember 2025 -  20 Januari 2026</v>
          </cell>
          <cell r="I130">
            <v>950000000</v>
          </cell>
          <cell r="J130">
            <v>0</v>
          </cell>
          <cell r="K130">
            <v>0</v>
          </cell>
          <cell r="M130">
            <v>-11400000</v>
          </cell>
          <cell r="N130">
            <v>15000</v>
          </cell>
          <cell r="O130">
            <v>0</v>
          </cell>
          <cell r="P130">
            <v>938615000</v>
          </cell>
          <cell r="Q130">
            <v>46058</v>
          </cell>
        </row>
        <row r="131">
          <cell r="B131" t="str">
            <v>013/K/II/26</v>
          </cell>
          <cell r="C131">
            <v>46058</v>
          </cell>
          <cell r="E131" t="str">
            <v>PT DINASTI SAMUDERA ABADI</v>
          </cell>
          <cell r="F131" t="str">
            <v>39/INV-TK/MAR-DSA/II/26</v>
          </cell>
          <cell r="G131" t="str">
            <v>047/PV-MAR/2026</v>
          </cell>
          <cell r="H131" t="str">
            <v>Biaya Freight Charter TB Emperor 2 / BG Dinasti 3002 (Jetty RMK Palembang - PLTU Paiton)</v>
          </cell>
          <cell r="I131">
            <v>1304555603</v>
          </cell>
          <cell r="J131">
            <v>0</v>
          </cell>
          <cell r="K131">
            <v>0</v>
          </cell>
          <cell r="M131">
            <v>-15654667</v>
          </cell>
          <cell r="N131">
            <v>15000</v>
          </cell>
          <cell r="O131">
            <v>-180000000</v>
          </cell>
          <cell r="P131">
            <v>1108915936</v>
          </cell>
          <cell r="Q131">
            <v>46059</v>
          </cell>
        </row>
        <row r="132">
          <cell r="B132" t="str">
            <v>001/K/II/26 CAV</v>
          </cell>
          <cell r="C132">
            <v>46059</v>
          </cell>
          <cell r="E132" t="str">
            <v>MUHAMMAD ZAKI</v>
          </cell>
          <cell r="G132" t="str">
            <v>CAV 005/OPS-II/2026</v>
          </cell>
          <cell r="H132" t="str">
            <v>Advance Operational Februari 2026</v>
          </cell>
          <cell r="I132">
            <v>18367673</v>
          </cell>
          <cell r="J132">
            <v>0</v>
          </cell>
          <cell r="K132">
            <v>0</v>
          </cell>
          <cell r="M132">
            <v>0</v>
          </cell>
          <cell r="N132">
            <v>2500</v>
          </cell>
          <cell r="O132">
            <v>0</v>
          </cell>
          <cell r="P132">
            <v>18370173</v>
          </cell>
          <cell r="Q132">
            <v>46059</v>
          </cell>
        </row>
        <row r="133">
          <cell r="B133" t="str">
            <v>014/K/II/26</v>
          </cell>
          <cell r="C133">
            <v>46059</v>
          </cell>
          <cell r="E133" t="str">
            <v>PT BENAYA AMB MANDIRI</v>
          </cell>
          <cell r="F133" t="str">
            <v>05/BAM-MAR/INV/I/2026</v>
          </cell>
          <cell r="G133" t="str">
            <v>624/OPS-I/2026</v>
          </cell>
          <cell r="H133" t="str">
            <v>Solar HSD TB Entebe Star 30 Voyage 128L</v>
          </cell>
          <cell r="I133">
            <v>899459459</v>
          </cell>
          <cell r="J133">
            <v>98940541</v>
          </cell>
          <cell r="K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998400000</v>
          </cell>
          <cell r="Q133">
            <v>46059</v>
          </cell>
        </row>
        <row r="134">
          <cell r="B134" t="str">
            <v>015/K/II/26</v>
          </cell>
          <cell r="C134">
            <v>46059</v>
          </cell>
          <cell r="D134" t="str">
            <v>26005TT6S</v>
          </cell>
          <cell r="E134" t="str">
            <v>PT NAFV CATALYS LOGIC</v>
          </cell>
          <cell r="F134" t="str">
            <v>INV/024/NCL-MAR/II/26-00</v>
          </cell>
          <cell r="G134" t="str">
            <v>048/PV-MAR/2026</v>
          </cell>
          <cell r="H134" t="str">
            <v>Pembuatan Maritim Armada Raya Platform (MARP) DP</v>
          </cell>
          <cell r="I134">
            <v>400000000</v>
          </cell>
          <cell r="J134">
            <v>0</v>
          </cell>
          <cell r="K134">
            <v>23</v>
          </cell>
          <cell r="M134">
            <v>-8000000</v>
          </cell>
          <cell r="N134">
            <v>15000</v>
          </cell>
          <cell r="O134">
            <v>0</v>
          </cell>
          <cell r="P134">
            <v>392015000</v>
          </cell>
          <cell r="Q134">
            <v>46063</v>
          </cell>
        </row>
        <row r="135">
          <cell r="B135" t="str">
            <v>016/K/II/26</v>
          </cell>
          <cell r="C135">
            <v>46059</v>
          </cell>
          <cell r="D135" t="str">
            <v>26005TT6J</v>
          </cell>
          <cell r="E135" t="str">
            <v>PT MAHAKARYA LINTAS SAMUDRA (Mandiri)</v>
          </cell>
          <cell r="F135" t="str">
            <v>261/MKLS-INV/V/2025</v>
          </cell>
          <cell r="G135" t="str">
            <v>051/PV-MAR/2026</v>
          </cell>
          <cell r="H135" t="str">
            <v>Biaya Freight Floating Crane MV. Best Trader</v>
          </cell>
          <cell r="I135">
            <v>332582400</v>
          </cell>
          <cell r="J135">
            <v>36584064</v>
          </cell>
          <cell r="K135">
            <v>23</v>
          </cell>
          <cell r="M135">
            <v>-6651648</v>
          </cell>
          <cell r="N135">
            <v>0</v>
          </cell>
          <cell r="O135">
            <v>0</v>
          </cell>
          <cell r="P135">
            <v>362514816</v>
          </cell>
          <cell r="Q135">
            <v>46063</v>
          </cell>
        </row>
        <row r="136">
          <cell r="B136" t="str">
            <v>017/K/II/26</v>
          </cell>
          <cell r="C136">
            <v>46059</v>
          </cell>
          <cell r="D136" t="str">
            <v>26005TT66</v>
          </cell>
          <cell r="E136" t="str">
            <v>PT MAHAKARYA LINTAS SAMUDRA (Mandiri)</v>
          </cell>
          <cell r="F136" t="str">
            <v>112/MKLS-INV/II/2025</v>
          </cell>
          <cell r="G136" t="str">
            <v>049/PV-MAR/2026</v>
          </cell>
          <cell r="H136" t="str">
            <v>Biaya Freight Charter TB Entebe Star 30 / BG Finacia 89 ( Jetty Senyiur - Palu 3 ) Pelunasan</v>
          </cell>
          <cell r="I136">
            <v>435495320</v>
          </cell>
          <cell r="J136">
            <v>0</v>
          </cell>
          <cell r="K136">
            <v>15</v>
          </cell>
          <cell r="M136">
            <v>-5225944</v>
          </cell>
          <cell r="N136">
            <v>0</v>
          </cell>
          <cell r="O136">
            <v>1</v>
          </cell>
          <cell r="P136">
            <v>430269377</v>
          </cell>
          <cell r="Q136">
            <v>46063</v>
          </cell>
        </row>
        <row r="137">
          <cell r="B137" t="str">
            <v>018/K/II/26</v>
          </cell>
          <cell r="C137">
            <v>46059</v>
          </cell>
          <cell r="D137" t="str">
            <v>26005TT6B</v>
          </cell>
          <cell r="E137" t="str">
            <v>PT MAHAKARYA LINTAS SAMUDRA (Mandiri)</v>
          </cell>
          <cell r="F137" t="str">
            <v>163/MKLS-INV/III/2025</v>
          </cell>
          <cell r="G137" t="str">
            <v>050/PV-MAR/2026</v>
          </cell>
          <cell r="H137" t="str">
            <v>Biaya Freight Charter TB Mahakarya I - BG SBA 08 (Tarahan - Teluk Sirih) DP</v>
          </cell>
          <cell r="I137">
            <v>600000000</v>
          </cell>
          <cell r="J137">
            <v>0</v>
          </cell>
          <cell r="K137">
            <v>15</v>
          </cell>
          <cell r="M137">
            <v>-7200000</v>
          </cell>
          <cell r="N137">
            <v>0</v>
          </cell>
          <cell r="O137">
            <v>0</v>
          </cell>
          <cell r="P137">
            <v>592800000</v>
          </cell>
          <cell r="Q137">
            <v>46063</v>
          </cell>
        </row>
        <row r="138">
          <cell r="B138" t="str">
            <v>019/K/II/26</v>
          </cell>
          <cell r="C138">
            <v>46059</v>
          </cell>
          <cell r="D138" t="str">
            <v>26005WHT4</v>
          </cell>
          <cell r="E138" t="str">
            <v>KJPP Husni, Joediono &amp; Rekan</v>
          </cell>
          <cell r="F138" t="str">
            <v>KJPP/HJR-SMD/II-26</v>
          </cell>
          <cell r="G138" t="str">
            <v>052/PV-MAR/2026</v>
          </cell>
          <cell r="H138" t="str">
            <v>Biaya Penilaian aset TB Ocean Power 21 - BG Angeline 219-05 di Banjarmasin</v>
          </cell>
          <cell r="I138">
            <v>18513514</v>
          </cell>
          <cell r="J138">
            <v>1486486</v>
          </cell>
          <cell r="K138">
            <v>23</v>
          </cell>
          <cell r="M138">
            <v>-270270</v>
          </cell>
          <cell r="N138">
            <v>0</v>
          </cell>
          <cell r="O138">
            <v>0</v>
          </cell>
          <cell r="P138">
            <v>19729730</v>
          </cell>
          <cell r="Q138">
            <v>46063</v>
          </cell>
        </row>
        <row r="139">
          <cell r="B139" t="str">
            <v>020/K/II/26</v>
          </cell>
          <cell r="C139">
            <v>46061</v>
          </cell>
          <cell r="E139" t="str">
            <v>ZULFADHLI JUSUF</v>
          </cell>
          <cell r="G139" t="str">
            <v>053/PV-MAR/2026</v>
          </cell>
          <cell r="H139" t="str">
            <v>Biaya Operasional - Penggantian dana talangan</v>
          </cell>
          <cell r="I139">
            <v>500000000</v>
          </cell>
          <cell r="J139">
            <v>0</v>
          </cell>
          <cell r="K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500000000</v>
          </cell>
          <cell r="Q139">
            <v>46063</v>
          </cell>
        </row>
        <row r="140">
          <cell r="B140" t="str">
            <v>021/K/II/26</v>
          </cell>
          <cell r="C140">
            <v>46062</v>
          </cell>
          <cell r="D140" t="str">
            <v>26007BHBB</v>
          </cell>
          <cell r="E140" t="str">
            <v>PT MAHAKARYA LINTAS SAMUDRA (Mandiri)</v>
          </cell>
          <cell r="F140" t="str">
            <v>446/MKLS-INV/VIII/2025</v>
          </cell>
          <cell r="G140" t="str">
            <v>056/PV-MAR/2026</v>
          </cell>
          <cell r="H140" t="str">
            <v>Biaya Freight Charter TB Harlina 168 / BG Marine Power 3035 ( Jetty SBL - MV.Hong Yu ) DP</v>
          </cell>
          <cell r="I140">
            <v>205000000</v>
          </cell>
          <cell r="J140">
            <v>0</v>
          </cell>
          <cell r="K140">
            <v>15</v>
          </cell>
          <cell r="M140">
            <v>-2460000</v>
          </cell>
          <cell r="N140">
            <v>0</v>
          </cell>
          <cell r="O140">
            <v>0</v>
          </cell>
          <cell r="P140">
            <v>202540000</v>
          </cell>
          <cell r="Q140">
            <v>46064</v>
          </cell>
        </row>
        <row r="141">
          <cell r="B141" t="str">
            <v>022/K/II/26</v>
          </cell>
          <cell r="C141">
            <v>46062</v>
          </cell>
          <cell r="D141" t="str">
            <v>26007BHAZ</v>
          </cell>
          <cell r="E141" t="str">
            <v>PT SHP PASIFIK ABADI</v>
          </cell>
          <cell r="F141" t="str">
            <v>SHP/INV/2025/00046</v>
          </cell>
          <cell r="G141" t="str">
            <v>055/PV-MAR/2026</v>
          </cell>
          <cell r="H141" t="str">
            <v>Barge Freight TB Jane 01 / BG DGM 3002</v>
          </cell>
          <cell r="I141">
            <v>373382373</v>
          </cell>
          <cell r="J141">
            <v>0</v>
          </cell>
          <cell r="K141">
            <v>15</v>
          </cell>
          <cell r="M141">
            <v>-4480588.4759999998</v>
          </cell>
          <cell r="N141">
            <v>15000</v>
          </cell>
          <cell r="O141">
            <v>-456488605</v>
          </cell>
          <cell r="P141">
            <v>-87571820.476000011</v>
          </cell>
          <cell r="Q141">
            <v>46064</v>
          </cell>
        </row>
        <row r="142">
          <cell r="B142" t="str">
            <v>022/K/II/26</v>
          </cell>
          <cell r="C142">
            <v>46062</v>
          </cell>
          <cell r="D142" t="str">
            <v>26007BHAZ</v>
          </cell>
          <cell r="E142" t="str">
            <v>PT SHP PASIFIK ABADI</v>
          </cell>
          <cell r="F142" t="str">
            <v>SHP/INV/2025/00047</v>
          </cell>
          <cell r="G142" t="str">
            <v>055/PV-MAR/2026</v>
          </cell>
          <cell r="H142" t="str">
            <v>Barge Freight TB Prime 11 / BG TGH 2519</v>
          </cell>
          <cell r="I142">
            <v>255988431</v>
          </cell>
          <cell r="J142">
            <v>0</v>
          </cell>
          <cell r="K142">
            <v>15</v>
          </cell>
          <cell r="M142">
            <v>-3071861.1720000003</v>
          </cell>
          <cell r="N142">
            <v>0</v>
          </cell>
          <cell r="O142">
            <v>0</v>
          </cell>
          <cell r="P142">
            <v>252916569.82800001</v>
          </cell>
          <cell r="Q142">
            <v>46064</v>
          </cell>
        </row>
        <row r="143">
          <cell r="B143" t="str">
            <v>023/K/II/26</v>
          </cell>
          <cell r="C143">
            <v>46062</v>
          </cell>
          <cell r="D143" t="str">
            <v>26007BHBB</v>
          </cell>
          <cell r="E143" t="str">
            <v>PT MAHAKARYA LINTAS SAMUDRA (Mandiri)</v>
          </cell>
          <cell r="F143" t="str">
            <v>447/MKLS-INV/VIII/2025</v>
          </cell>
          <cell r="G143" t="str">
            <v>057/PV-MAR/2026</v>
          </cell>
          <cell r="H143" t="str">
            <v>Biaya Freight Charter TB Harlina 168 / BG Marine Power 3035 ( Jetty SBL - MV.Hong Yu ) Pelunasan</v>
          </cell>
          <cell r="I143">
            <v>210260850</v>
          </cell>
          <cell r="J143">
            <v>0</v>
          </cell>
          <cell r="K143">
            <v>15</v>
          </cell>
          <cell r="M143">
            <v>-2523130.2000000002</v>
          </cell>
          <cell r="N143">
            <v>0</v>
          </cell>
          <cell r="O143">
            <v>0</v>
          </cell>
          <cell r="P143">
            <v>207737719.80000001</v>
          </cell>
          <cell r="Q143">
            <v>46064</v>
          </cell>
        </row>
        <row r="144">
          <cell r="B144" t="str">
            <v>024/K/II/26</v>
          </cell>
          <cell r="C144">
            <v>46062</v>
          </cell>
          <cell r="D144" t="str">
            <v>26007BHBE</v>
          </cell>
          <cell r="E144" t="str">
            <v>PT MAHAKARYA LINTAS SAMUDRA (Mandiri)</v>
          </cell>
          <cell r="F144" t="str">
            <v>452/MKLS-INV/IX/2025</v>
          </cell>
          <cell r="G144" t="str">
            <v>058/PV-MAR/2026</v>
          </cell>
          <cell r="H144" t="str">
            <v>Biaya Freight Charter TB Harlina 168 / BG Marine Power 3035 ( Jetty Patratani - Paiton ) DP</v>
          </cell>
          <cell r="I144">
            <v>726250000</v>
          </cell>
          <cell r="J144">
            <v>0</v>
          </cell>
          <cell r="K144">
            <v>15</v>
          </cell>
          <cell r="M144">
            <v>-8715000</v>
          </cell>
          <cell r="N144">
            <v>0</v>
          </cell>
          <cell r="O144">
            <v>0</v>
          </cell>
          <cell r="P144">
            <v>717535000</v>
          </cell>
          <cell r="Q144">
            <v>46064</v>
          </cell>
        </row>
        <row r="145">
          <cell r="B145" t="str">
            <v>025/K/II/26</v>
          </cell>
          <cell r="C145">
            <v>46062</v>
          </cell>
          <cell r="E145" t="str">
            <v>PT BENAYA AMB MANDIRI</v>
          </cell>
          <cell r="F145" t="str">
            <v>06/BAM-MAR/INV/I/2026</v>
          </cell>
          <cell r="G145" t="str">
            <v>627/OPS-I/2026</v>
          </cell>
          <cell r="H145" t="str">
            <v>Solar HSD TB Emperor 3 Voyage BFOL-006</v>
          </cell>
          <cell r="I145">
            <v>230630631</v>
          </cell>
          <cell r="J145">
            <v>25369369</v>
          </cell>
          <cell r="K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256000000</v>
          </cell>
          <cell r="Q145">
            <v>46064</v>
          </cell>
        </row>
        <row r="146">
          <cell r="B146" t="str">
            <v>026/K/II/26</v>
          </cell>
          <cell r="C146">
            <v>46062</v>
          </cell>
          <cell r="D146" t="str">
            <v>26007BHAW</v>
          </cell>
          <cell r="E146" t="str">
            <v>PT MARITIM INDO RAYA</v>
          </cell>
          <cell r="F146" t="str">
            <v>007/INV/MIR-MAR/I/2026, 007/DN/MIR-MAR/I/2026</v>
          </cell>
          <cell r="G146" t="str">
            <v>643/OPS-I/2026</v>
          </cell>
          <cell r="H146" t="str">
            <v>Agency Fee TB APL 7 - BG Baiduri 70273 Voyage 127L</v>
          </cell>
          <cell r="I146">
            <v>74244518</v>
          </cell>
          <cell r="J146">
            <v>3477375</v>
          </cell>
          <cell r="K146">
            <v>0</v>
          </cell>
          <cell r="M146">
            <v>-20000</v>
          </cell>
          <cell r="N146">
            <v>2500</v>
          </cell>
          <cell r="O146">
            <v>-59676063</v>
          </cell>
          <cell r="P146">
            <v>18028330</v>
          </cell>
          <cell r="Q146">
            <v>46064</v>
          </cell>
        </row>
        <row r="147">
          <cell r="B147" t="str">
            <v>027/K/II/26</v>
          </cell>
          <cell r="C147">
            <v>46062</v>
          </cell>
          <cell r="D147" t="str">
            <v>26007BHB7</v>
          </cell>
          <cell r="E147" t="str">
            <v>PT MARITIM INDO RAYA</v>
          </cell>
          <cell r="F147" t="str">
            <v>008/INV/MIR-MAR/I/2026, 008/DN/MIR-MAR/I/2026</v>
          </cell>
          <cell r="G147" t="str">
            <v>644/OPS-I/2026</v>
          </cell>
          <cell r="H147" t="str">
            <v>Agency Fee TB Entebe Star 30 - BG Finacia 71 Voyage 128L</v>
          </cell>
          <cell r="I147">
            <v>116661298</v>
          </cell>
          <cell r="J147">
            <v>7338556</v>
          </cell>
          <cell r="K147">
            <v>0</v>
          </cell>
          <cell r="M147">
            <v>-20000</v>
          </cell>
          <cell r="N147">
            <v>2500</v>
          </cell>
          <cell r="O147">
            <v>-59851571</v>
          </cell>
          <cell r="P147">
            <v>64130783</v>
          </cell>
          <cell r="Q147">
            <v>46064</v>
          </cell>
        </row>
        <row r="148">
          <cell r="B148" t="str">
            <v>028/K/II/26</v>
          </cell>
          <cell r="C148">
            <v>46062</v>
          </cell>
          <cell r="D148" t="str">
            <v>26007BHB2</v>
          </cell>
          <cell r="E148" t="str">
            <v>PT MARITIM INDO RAYA</v>
          </cell>
          <cell r="F148" t="str">
            <v>009/INV/MIR-MAR/I/2026, 009/DN/MIR-MAR/I/2026</v>
          </cell>
          <cell r="G148" t="str">
            <v>645/OPS-I/2026</v>
          </cell>
          <cell r="H148" t="str">
            <v>Agency Fee TB Surya Segara 3 - BG Finacia 96 Voyage 130L</v>
          </cell>
          <cell r="I148">
            <v>107144592</v>
          </cell>
          <cell r="J148">
            <v>7338556</v>
          </cell>
          <cell r="K148">
            <v>0</v>
          </cell>
          <cell r="M148">
            <v>-20000</v>
          </cell>
          <cell r="N148">
            <v>2500</v>
          </cell>
          <cell r="O148">
            <v>-59931571</v>
          </cell>
          <cell r="P148">
            <v>54534077</v>
          </cell>
          <cell r="Q148">
            <v>46064</v>
          </cell>
        </row>
        <row r="149">
          <cell r="B149" t="str">
            <v>029/K/II/26</v>
          </cell>
          <cell r="C149">
            <v>46063</v>
          </cell>
          <cell r="E149" t="str">
            <v>DIRJEN PAJAK</v>
          </cell>
          <cell r="G149" t="str">
            <v>059/PV-MAR/2026</v>
          </cell>
          <cell r="H149" t="str">
            <v>Pembayaran PPh 21 Desember 2025  &amp; 15,23, 4 November 2025</v>
          </cell>
          <cell r="I149">
            <v>48143319</v>
          </cell>
          <cell r="J149">
            <v>0</v>
          </cell>
          <cell r="K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48143319</v>
          </cell>
          <cell r="Q149">
            <v>46064</v>
          </cell>
        </row>
        <row r="150">
          <cell r="B150" t="str">
            <v>030/K/II/26</v>
          </cell>
          <cell r="C150">
            <v>46063</v>
          </cell>
          <cell r="E150" t="str">
            <v>ZULFADHLI JUSUF</v>
          </cell>
          <cell r="G150" t="str">
            <v>060/PV-MAR/2026</v>
          </cell>
          <cell r="H150" t="str">
            <v>Balance penarikan tunai 700jt tanggal 04/03/2025 - Mandiri Karadenan</v>
          </cell>
          <cell r="I150">
            <v>34162835</v>
          </cell>
          <cell r="J150">
            <v>0</v>
          </cell>
          <cell r="K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34162835</v>
          </cell>
          <cell r="Q150">
            <v>46064</v>
          </cell>
        </row>
        <row r="151">
          <cell r="B151" t="str">
            <v>031/K/II/26</v>
          </cell>
          <cell r="C151">
            <v>46063</v>
          </cell>
          <cell r="E151" t="str">
            <v>PT BENAYA AMB MANDIRI</v>
          </cell>
          <cell r="F151" t="str">
            <v>07/BAM-MAR/INV/I/2026</v>
          </cell>
          <cell r="G151" t="str">
            <v>628/OPS-I/2026</v>
          </cell>
          <cell r="H151" t="str">
            <v>Solar HSD TB Surya Segara 3 Voyage 130L</v>
          </cell>
          <cell r="I151">
            <v>668828829</v>
          </cell>
          <cell r="J151">
            <v>73571171</v>
          </cell>
          <cell r="K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742400000</v>
          </cell>
          <cell r="Q151">
            <v>46064</v>
          </cell>
        </row>
        <row r="152">
          <cell r="B152" t="str">
            <v>032/K/II/26</v>
          </cell>
          <cell r="C152">
            <v>46062</v>
          </cell>
          <cell r="D152" t="str">
            <v>26007BHAY</v>
          </cell>
          <cell r="E152" t="str">
            <v>PT PAN ORIENT PACIFIC</v>
          </cell>
          <cell r="F152" t="str">
            <v>005/POP-INV/I/2026</v>
          </cell>
          <cell r="G152" t="str">
            <v>054/PV-MAR/2026</v>
          </cell>
          <cell r="H152" t="str">
            <v>Biaya Freight Charter TB Sindo Perkasa 9 / BG SOM 69 ( Jetty MP Kintap -  Indramayu ) Pelunasan</v>
          </cell>
          <cell r="I152">
            <v>634402675</v>
          </cell>
          <cell r="J152">
            <v>0</v>
          </cell>
          <cell r="K152">
            <v>15</v>
          </cell>
          <cell r="M152">
            <v>-7612832</v>
          </cell>
          <cell r="N152">
            <v>15000</v>
          </cell>
          <cell r="O152">
            <v>-1</v>
          </cell>
          <cell r="P152">
            <v>626804842</v>
          </cell>
          <cell r="Q152">
            <v>46064</v>
          </cell>
        </row>
        <row r="153">
          <cell r="B153" t="str">
            <v>033/K/II/26</v>
          </cell>
          <cell r="C153">
            <v>46063</v>
          </cell>
          <cell r="E153" t="str">
            <v>CREW ENTEBE STAR 30 / FINACIA 71</v>
          </cell>
          <cell r="G153" t="str">
            <v>061/PV-MAR/2026</v>
          </cell>
          <cell r="H153" t="str">
            <v>Leave pay crew Entebe Star 30/Finacia 71 periode Desember 2024 - Mei 2025</v>
          </cell>
          <cell r="I153">
            <v>45000000</v>
          </cell>
          <cell r="J153">
            <v>0</v>
          </cell>
          <cell r="K153">
            <v>0</v>
          </cell>
          <cell r="M153">
            <v>0</v>
          </cell>
          <cell r="N153">
            <v>26000</v>
          </cell>
          <cell r="O153">
            <v>0</v>
          </cell>
          <cell r="P153">
            <v>45026000</v>
          </cell>
          <cell r="Q153">
            <v>46072</v>
          </cell>
        </row>
        <row r="154">
          <cell r="B154" t="str">
            <v>034/K/II/26</v>
          </cell>
          <cell r="C154">
            <v>46063</v>
          </cell>
          <cell r="E154" t="str">
            <v>ZULFADHLI JUSUF</v>
          </cell>
          <cell r="H154" t="str">
            <v xml:space="preserve">Tarik Tunai Operasional </v>
          </cell>
          <cell r="I154">
            <v>450000000</v>
          </cell>
          <cell r="J154">
            <v>0</v>
          </cell>
          <cell r="K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450000000</v>
          </cell>
          <cell r="Q154">
            <v>46072</v>
          </cell>
        </row>
        <row r="155">
          <cell r="B155" t="str">
            <v>035/K/II/26</v>
          </cell>
          <cell r="C155">
            <v>46063</v>
          </cell>
          <cell r="E155" t="str">
            <v>PT CAHAYA SAMODERA BERSAUDARA</v>
          </cell>
          <cell r="F155" t="str">
            <v>CSB/INV/MRDCS/25/04486</v>
          </cell>
          <cell r="G155" t="str">
            <v>547/OPS-XII/2025</v>
          </cell>
          <cell r="H155" t="str">
            <v>Rimula R2 10W 1*20L TB Surya Segara 3</v>
          </cell>
          <cell r="I155">
            <v>3200000</v>
          </cell>
          <cell r="J155">
            <v>0</v>
          </cell>
          <cell r="K155">
            <v>0</v>
          </cell>
          <cell r="M155">
            <v>0</v>
          </cell>
          <cell r="N155">
            <v>6500</v>
          </cell>
          <cell r="O155">
            <v>0</v>
          </cell>
          <cell r="P155">
            <v>3206500</v>
          </cell>
          <cell r="Q155">
            <v>46072</v>
          </cell>
        </row>
        <row r="156">
          <cell r="B156" t="str">
            <v>035/K/II/26</v>
          </cell>
          <cell r="C156">
            <v>46063</v>
          </cell>
          <cell r="E156" t="str">
            <v>PT CAHAYA SAMODERA BERSAUDARA</v>
          </cell>
          <cell r="F156" t="str">
            <v>CSB/INV/CLGCS/25/03334, CSB/INV/CLGCS/25/03335</v>
          </cell>
          <cell r="G156" t="str">
            <v>621/OPS-I/2026</v>
          </cell>
          <cell r="H156" t="str">
            <v>Shipcool  Coolant 1*20L TB Entebe Star 30</v>
          </cell>
          <cell r="I156">
            <v>1675000</v>
          </cell>
          <cell r="J156">
            <v>27500</v>
          </cell>
          <cell r="K156">
            <v>0</v>
          </cell>
          <cell r="M156">
            <v>-5000</v>
          </cell>
          <cell r="N156">
            <v>0</v>
          </cell>
          <cell r="O156">
            <v>0</v>
          </cell>
          <cell r="P156">
            <v>1697500</v>
          </cell>
          <cell r="Q156">
            <v>46072</v>
          </cell>
        </row>
        <row r="157">
          <cell r="B157" t="str">
            <v>036/K/II/26</v>
          </cell>
          <cell r="C157">
            <v>46064</v>
          </cell>
          <cell r="D157" t="str">
            <v>2600HANFV</v>
          </cell>
          <cell r="E157" t="str">
            <v>PT ANDALAN LANCAR NIAGA</v>
          </cell>
          <cell r="F157" t="str">
            <v>00289/ALN-INV/XII/2025</v>
          </cell>
          <cell r="G157" t="str">
            <v>062/PV-MAR/2026</v>
          </cell>
          <cell r="H157" t="str">
            <v>Biaya Freight Charter TB Michelle VII / BG Benami VII ( Jetty Patratani - Paiton )</v>
          </cell>
          <cell r="I157">
            <v>1279770000</v>
          </cell>
          <cell r="J157">
            <v>0</v>
          </cell>
          <cell r="K157">
            <v>15</v>
          </cell>
          <cell r="M157">
            <v>-15357240</v>
          </cell>
          <cell r="N157">
            <v>15000</v>
          </cell>
          <cell r="O157">
            <v>0</v>
          </cell>
          <cell r="P157">
            <v>1264427760</v>
          </cell>
          <cell r="Q157">
            <v>46072</v>
          </cell>
        </row>
        <row r="158">
          <cell r="B158" t="str">
            <v>037/K/II/26</v>
          </cell>
          <cell r="C158">
            <v>46063</v>
          </cell>
          <cell r="D158" t="str">
            <v>2600HANG3</v>
          </cell>
          <cell r="E158" t="str">
            <v>PT ADHI GUNA PUTERA (Jakarta)</v>
          </cell>
          <cell r="F158" t="str">
            <v>417/DNP/XI/TN/2025</v>
          </cell>
          <cell r="G158" t="str">
            <v>592/OPS-XII/2025</v>
          </cell>
          <cell r="H158" t="str">
            <v>Jasa Pilotage &amp; Assist Tug TB Michelle X  / BG Benami X &amp; TB Entebe Star 30 / BG Finacia 71 Voyage 113D &amp; 112D</v>
          </cell>
          <cell r="I158">
            <v>41498760</v>
          </cell>
          <cell r="J158">
            <v>0</v>
          </cell>
          <cell r="K158">
            <v>23</v>
          </cell>
          <cell r="M158">
            <v>-829975</v>
          </cell>
          <cell r="N158">
            <v>2500</v>
          </cell>
          <cell r="O158">
            <v>-2</v>
          </cell>
          <cell r="P158">
            <v>40671283</v>
          </cell>
          <cell r="Q158">
            <v>46072</v>
          </cell>
        </row>
        <row r="159">
          <cell r="B159" t="str">
            <v>037/K/II/26</v>
          </cell>
          <cell r="C159">
            <v>46063</v>
          </cell>
          <cell r="D159" t="str">
            <v>2600HANG3</v>
          </cell>
          <cell r="E159" t="str">
            <v>PT ADHI GUNA PUTERA (Jakarta)</v>
          </cell>
          <cell r="F159" t="str">
            <v>284/DNP/XI/IM/2025</v>
          </cell>
          <cell r="G159" t="str">
            <v>593/OPS-XII/2025</v>
          </cell>
          <cell r="H159" t="str">
            <v>Jasa Pilotage &amp; Assist Tug TB Entebe Star 30 / BG Finacia 71 Voyage 106D</v>
          </cell>
          <cell r="I159">
            <v>21206994</v>
          </cell>
          <cell r="J159">
            <v>0</v>
          </cell>
          <cell r="K159">
            <v>23</v>
          </cell>
          <cell r="M159">
            <v>-424139</v>
          </cell>
          <cell r="N159">
            <v>0</v>
          </cell>
          <cell r="O159">
            <v>0</v>
          </cell>
          <cell r="P159">
            <v>20782855</v>
          </cell>
          <cell r="Q159">
            <v>46072</v>
          </cell>
        </row>
        <row r="160">
          <cell r="B160" t="str">
            <v>038/K/II/26</v>
          </cell>
          <cell r="C160">
            <v>46063</v>
          </cell>
          <cell r="D160" t="str">
            <v>2600HANFX</v>
          </cell>
          <cell r="E160" t="str">
            <v>PT PELAYARAN BARITO DUTA SARANA</v>
          </cell>
          <cell r="F160" t="str">
            <v>250/BDS-S/BJM/INV/XI/2025, 250/BDS-S/BJM/DEBIT NOTE/XI/2025</v>
          </cell>
          <cell r="G160" t="str">
            <v>562/OPS-XII/2025</v>
          </cell>
          <cell r="H160" t="str">
            <v>Keagenan TB Titan 470 / BG Titan 480 Voyage 114D</v>
          </cell>
          <cell r="I160">
            <v>19395450</v>
          </cell>
          <cell r="J160">
            <v>275000</v>
          </cell>
          <cell r="K160">
            <v>23</v>
          </cell>
          <cell r="M160">
            <v>-50000</v>
          </cell>
          <cell r="N160">
            <v>0</v>
          </cell>
          <cell r="O160">
            <v>0</v>
          </cell>
          <cell r="P160">
            <v>19620450</v>
          </cell>
          <cell r="Q160">
            <v>46072</v>
          </cell>
        </row>
        <row r="161">
          <cell r="B161" t="str">
            <v>038/K/II/26</v>
          </cell>
          <cell r="C161">
            <v>46063</v>
          </cell>
          <cell r="D161" t="str">
            <v>2600HANFX</v>
          </cell>
          <cell r="E161" t="str">
            <v>PT PELAYARAN BARITO DUTA SARANA</v>
          </cell>
          <cell r="F161" t="str">
            <v>248/BDS-S/BJM/INV/XI/2025, 248/BDS-S/BJM/DEBIT NOTE/XI/2025</v>
          </cell>
          <cell r="G161" t="str">
            <v>558/OPS-XII/2025</v>
          </cell>
          <cell r="H161" t="str">
            <v>Keagenan TB Entebe Star 30 / BG Finacia 71 Voyage 112L</v>
          </cell>
          <cell r="I161">
            <v>64258624</v>
          </cell>
          <cell r="J161">
            <v>275000</v>
          </cell>
          <cell r="K161">
            <v>23</v>
          </cell>
          <cell r="M161">
            <v>-50000</v>
          </cell>
          <cell r="N161">
            <v>0</v>
          </cell>
          <cell r="O161">
            <v>0</v>
          </cell>
          <cell r="P161">
            <v>64483624</v>
          </cell>
          <cell r="Q161">
            <v>46072</v>
          </cell>
        </row>
        <row r="162">
          <cell r="B162" t="str">
            <v>039/K/II/26</v>
          </cell>
          <cell r="C162">
            <v>46063</v>
          </cell>
          <cell r="D162" t="str">
            <v>2600HANFR</v>
          </cell>
          <cell r="E162" t="str">
            <v>PT PELAYARAN PESONA BANYUBIRU</v>
          </cell>
          <cell r="F162" t="str">
            <v>1202/INV/XII/2025</v>
          </cell>
          <cell r="G162" t="str">
            <v>576/OPS-XII/2025</v>
          </cell>
          <cell r="H162" t="str">
            <v>Keagenan TB Entebe Star 30 / BG Finacia 71 Voyage 112D</v>
          </cell>
          <cell r="I162">
            <v>21960000</v>
          </cell>
          <cell r="J162">
            <v>1650000</v>
          </cell>
          <cell r="K162">
            <v>23</v>
          </cell>
          <cell r="M162">
            <v>-300000</v>
          </cell>
          <cell r="N162">
            <v>2500</v>
          </cell>
          <cell r="O162">
            <v>0</v>
          </cell>
          <cell r="P162">
            <v>23312500</v>
          </cell>
          <cell r="Q162">
            <v>46072</v>
          </cell>
        </row>
        <row r="163">
          <cell r="B163" t="str">
            <v>040/K/II/26</v>
          </cell>
          <cell r="C163">
            <v>46063</v>
          </cell>
          <cell r="D163" t="str">
            <v>2600HANFW</v>
          </cell>
          <cell r="E163" t="str">
            <v>PT SINARMAS LDA USAHA PELABUHAN</v>
          </cell>
          <cell r="F163" t="str">
            <v>CI26-00160</v>
          </cell>
          <cell r="G163" t="str">
            <v>618/OPS-I/2026</v>
          </cell>
          <cell r="H163" t="str">
            <v>Assist Tug &amp; Pilotage Service TB Michelle XV /  BG Benami XV Voyage 125D</v>
          </cell>
          <cell r="I163">
            <v>21490308</v>
          </cell>
          <cell r="J163">
            <v>0</v>
          </cell>
          <cell r="K163">
            <v>23</v>
          </cell>
          <cell r="M163">
            <v>-429807</v>
          </cell>
          <cell r="N163">
            <v>2500</v>
          </cell>
          <cell r="O163">
            <v>-429674</v>
          </cell>
          <cell r="P163">
            <v>20633327</v>
          </cell>
          <cell r="Q163">
            <v>46072</v>
          </cell>
        </row>
        <row r="164">
          <cell r="B164" t="str">
            <v>041/K/II/26</v>
          </cell>
          <cell r="C164">
            <v>46063</v>
          </cell>
          <cell r="E164" t="str">
            <v>PT GENTA MARITIM PRATAMA</v>
          </cell>
          <cell r="F164" t="str">
            <v>INV/2025/10081</v>
          </cell>
          <cell r="G164" t="str">
            <v>612/OPS-I/2026</v>
          </cell>
          <cell r="H164" t="str">
            <v>Pembelian Buku PASUT 5 Set</v>
          </cell>
          <cell r="I164">
            <v>13250000</v>
          </cell>
          <cell r="J164">
            <v>0</v>
          </cell>
          <cell r="K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13250000</v>
          </cell>
          <cell r="Q164">
            <v>46072</v>
          </cell>
        </row>
        <row r="165">
          <cell r="B165" t="str">
            <v>042/K/II/26</v>
          </cell>
          <cell r="C165">
            <v>46063</v>
          </cell>
          <cell r="E165" t="str">
            <v>PT HANANIA SAMUDERA JAYA</v>
          </cell>
          <cell r="F165" t="str">
            <v>004/INV/HSJ/I/26</v>
          </cell>
          <cell r="G165" t="str">
            <v>634/OPS-II/2026</v>
          </cell>
          <cell r="H165" t="str">
            <v>Pembelian Thermo Gun Infrared TB Surya Segara 3 &amp; BG Finacia 96</v>
          </cell>
          <cell r="I165">
            <v>1359000</v>
          </cell>
          <cell r="J165">
            <v>0</v>
          </cell>
          <cell r="K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1359000</v>
          </cell>
          <cell r="Q165">
            <v>46072</v>
          </cell>
        </row>
        <row r="166">
          <cell r="B166" t="str">
            <v>042/K/II/26</v>
          </cell>
          <cell r="C166">
            <v>46063</v>
          </cell>
          <cell r="E166" t="str">
            <v>PT HANANIA SAMUDERA JAYA</v>
          </cell>
          <cell r="F166" t="str">
            <v>005/INV/HSJ/I/26</v>
          </cell>
          <cell r="G166" t="str">
            <v>635/OPS-II/2026</v>
          </cell>
          <cell r="H166" t="str">
            <v>Pembelian Bearing 6309-2Z SKF TB Surya Segara 3 &amp; BG Finacia 96</v>
          </cell>
          <cell r="I166">
            <v>684000</v>
          </cell>
          <cell r="J166">
            <v>0</v>
          </cell>
          <cell r="K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684000</v>
          </cell>
          <cell r="Q166">
            <v>46072</v>
          </cell>
        </row>
        <row r="167">
          <cell r="B167" t="str">
            <v>042/K/II/26</v>
          </cell>
          <cell r="C167">
            <v>46063</v>
          </cell>
          <cell r="E167" t="str">
            <v>PT HANANIA SAMUDERA JAYA</v>
          </cell>
          <cell r="F167" t="str">
            <v>003/INV/HSJ/I/26</v>
          </cell>
          <cell r="G167" t="str">
            <v>636/OPS-II/2026</v>
          </cell>
          <cell r="H167" t="str">
            <v>Pembelian Sarung Tangan Kerja TB Surya Segara 3 &amp; BG Finacia 96</v>
          </cell>
          <cell r="I167">
            <v>1298000</v>
          </cell>
          <cell r="J167">
            <v>0</v>
          </cell>
          <cell r="K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1298000</v>
          </cell>
          <cell r="Q167">
            <v>46072</v>
          </cell>
        </row>
        <row r="168">
          <cell r="B168" t="str">
            <v>042/K/II/26</v>
          </cell>
          <cell r="C168">
            <v>46063</v>
          </cell>
          <cell r="E168" t="str">
            <v>PT HANANIA SAMUDERA JAYA</v>
          </cell>
          <cell r="F168" t="str">
            <v>001/INV/HSJ/I/26</v>
          </cell>
          <cell r="G168" t="str">
            <v>637/OPS-II/2026</v>
          </cell>
          <cell r="H168" t="str">
            <v>Pembelian Kunci L Tekiro TB Surya Segara 3 &amp; BG Finacia 96</v>
          </cell>
          <cell r="I168">
            <v>10612400</v>
          </cell>
          <cell r="J168">
            <v>0</v>
          </cell>
          <cell r="K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10612400</v>
          </cell>
          <cell r="Q168">
            <v>46072</v>
          </cell>
        </row>
        <row r="169">
          <cell r="B169" t="str">
            <v>042/K/II/26</v>
          </cell>
          <cell r="C169">
            <v>46063</v>
          </cell>
          <cell r="E169" t="str">
            <v>PT HANANIA SAMUDERA JAYA</v>
          </cell>
          <cell r="F169" t="str">
            <v>006/INV/HSJ/I/26</v>
          </cell>
          <cell r="G169" t="str">
            <v>638/OPS-II/2026</v>
          </cell>
          <cell r="H169" t="str">
            <v>Pembelian Plat ukuran 3 mili TB Surya Segara 3 &amp; BG Finacia 96</v>
          </cell>
          <cell r="I169">
            <v>5000000</v>
          </cell>
          <cell r="J169">
            <v>0</v>
          </cell>
          <cell r="K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5000000</v>
          </cell>
          <cell r="Q169">
            <v>46072</v>
          </cell>
        </row>
        <row r="170">
          <cell r="B170" t="str">
            <v>042/K/II/26</v>
          </cell>
          <cell r="C170">
            <v>46063</v>
          </cell>
          <cell r="E170" t="str">
            <v>PT HANANIA SAMUDERA JAYA</v>
          </cell>
          <cell r="F170" t="str">
            <v>006/INV/HSJ/XII/25</v>
          </cell>
          <cell r="G170" t="str">
            <v>639/OPS-II/2026</v>
          </cell>
          <cell r="H170" t="str">
            <v>Perlengkapan kapal TB Entebe Star 30 - BG Finacia 71</v>
          </cell>
          <cell r="I170">
            <v>1915000</v>
          </cell>
          <cell r="J170">
            <v>0</v>
          </cell>
          <cell r="K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1915000</v>
          </cell>
          <cell r="Q170">
            <v>46072</v>
          </cell>
        </row>
        <row r="171">
          <cell r="B171" t="str">
            <v>042/K/II/26</v>
          </cell>
          <cell r="C171">
            <v>46063</v>
          </cell>
          <cell r="E171" t="str">
            <v>PT HANANIA SAMUDERA JAYA</v>
          </cell>
          <cell r="F171" t="str">
            <v>002/INV/HSJ/I/26</v>
          </cell>
          <cell r="G171" t="str">
            <v>640/OPS-II/2026</v>
          </cell>
          <cell r="H171" t="str">
            <v>Pembelian Baut dan Mur TB Surya Segara 3 &amp; BG Finacia 96</v>
          </cell>
          <cell r="I171">
            <v>2284000</v>
          </cell>
          <cell r="J171">
            <v>0</v>
          </cell>
          <cell r="K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2284000</v>
          </cell>
          <cell r="Q171">
            <v>46072</v>
          </cell>
        </row>
        <row r="172">
          <cell r="B172" t="str">
            <v>043/K/II/26</v>
          </cell>
          <cell r="C172">
            <v>46063</v>
          </cell>
          <cell r="D172" t="str">
            <v>2600HANG2</v>
          </cell>
          <cell r="E172" t="str">
            <v>PT MARITIM BATUBARA PERTAMA</v>
          </cell>
          <cell r="F172" t="str">
            <v>MBP/I-26/0004</v>
          </cell>
          <cell r="G172" t="str">
            <v>619/OPS-I/2026</v>
          </cell>
          <cell r="H172" t="str">
            <v>Mooring &amp; Unmooring Services TB Michelle XV / BG Benami XV Voyage 125D</v>
          </cell>
          <cell r="I172">
            <v>2000000</v>
          </cell>
          <cell r="J172">
            <v>0</v>
          </cell>
          <cell r="K172">
            <v>0</v>
          </cell>
          <cell r="M172">
            <v>-40000</v>
          </cell>
          <cell r="N172">
            <v>2500</v>
          </cell>
          <cell r="O172">
            <v>0</v>
          </cell>
          <cell r="P172">
            <v>1962500</v>
          </cell>
          <cell r="Q172">
            <v>46072</v>
          </cell>
        </row>
        <row r="173">
          <cell r="B173" t="str">
            <v>044/K/II/26</v>
          </cell>
          <cell r="C173">
            <v>46066</v>
          </cell>
          <cell r="D173" t="str">
            <v xml:space="preserve"> </v>
          </cell>
          <cell r="E173" t="str">
            <v>PT MAHAKARYA LINTAS SAMUDRA (Mandiri)</v>
          </cell>
          <cell r="F173" t="str">
            <v>453/MKLS-INV/IX/2025</v>
          </cell>
          <cell r="G173" t="str">
            <v>063/PV-MAR/2026</v>
          </cell>
          <cell r="H173" t="str">
            <v>Biaya Freight Charter TB Harlina 168 / BG Marine Power 3035 ( Jetty Patratani - Paiton ) Pelunasan</v>
          </cell>
          <cell r="I173">
            <v>727125000</v>
          </cell>
          <cell r="J173">
            <v>0</v>
          </cell>
          <cell r="K173">
            <v>15</v>
          </cell>
          <cell r="M173">
            <v>-8725500</v>
          </cell>
          <cell r="N173">
            <v>0</v>
          </cell>
          <cell r="O173">
            <v>0</v>
          </cell>
          <cell r="P173">
            <v>718399500</v>
          </cell>
          <cell r="Q173">
            <v>46072</v>
          </cell>
        </row>
        <row r="174">
          <cell r="B174" t="str">
            <v>045/K/II/26</v>
          </cell>
          <cell r="C174">
            <v>46066</v>
          </cell>
          <cell r="E174" t="str">
            <v>PT BENAYA AMB MANDIRI</v>
          </cell>
          <cell r="F174" t="str">
            <v>08/BAM-MAR/INV/I/2026</v>
          </cell>
          <cell r="G174" t="str">
            <v>631/OPS-I/2026</v>
          </cell>
          <cell r="H174" t="str">
            <v>Solar HSD TB Michelle 219-08 Voyage 131L</v>
          </cell>
          <cell r="I174">
            <v>726486486</v>
          </cell>
          <cell r="J174">
            <v>79913514</v>
          </cell>
          <cell r="K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806400000</v>
          </cell>
          <cell r="Q174">
            <v>46072</v>
          </cell>
        </row>
        <row r="175">
          <cell r="B175" t="str">
            <v>046/K/II/26</v>
          </cell>
          <cell r="C175">
            <v>46066</v>
          </cell>
          <cell r="D175" t="str">
            <v>2600HANIP</v>
          </cell>
          <cell r="E175" t="str">
            <v>PT MARITIM INDO RAYA</v>
          </cell>
          <cell r="F175" t="str">
            <v>010/INV/MIR-MAR/II/2026, 010/DN/MIR-MAR/II/2026</v>
          </cell>
          <cell r="G175" t="str">
            <v>651/OPS-II/2026</v>
          </cell>
          <cell r="H175" t="str">
            <v>Agency Fee TB Michelle 219-08 - BG Angeline 219-08 Voyage 131L</v>
          </cell>
          <cell r="I175">
            <v>133694483</v>
          </cell>
          <cell r="J175">
            <v>7338556</v>
          </cell>
          <cell r="K175">
            <v>0</v>
          </cell>
          <cell r="M175">
            <v>-20000</v>
          </cell>
          <cell r="N175">
            <v>2500</v>
          </cell>
          <cell r="O175">
            <v>-58372795</v>
          </cell>
          <cell r="P175">
            <v>82642744</v>
          </cell>
          <cell r="Q175">
            <v>46072</v>
          </cell>
        </row>
        <row r="176">
          <cell r="B176" t="str">
            <v>047/K/II/26</v>
          </cell>
          <cell r="C176">
            <v>46066</v>
          </cell>
          <cell r="D176" t="str">
            <v>2600HANIF</v>
          </cell>
          <cell r="E176" t="str">
            <v>PT DINASTI SAMUDERA ABADI</v>
          </cell>
          <cell r="F176" t="str">
            <v>13/INV-TK/MAR-DSA/II/26</v>
          </cell>
          <cell r="G176" t="str">
            <v>064/PV-MAR/2026</v>
          </cell>
          <cell r="H176" t="str">
            <v>Biaya Freight Charter TB Emperor 3 / BG Dinasti 3003 ( Jetty RMK Palembang - PLTU Paiton )</v>
          </cell>
          <cell r="I176">
            <v>1297782480</v>
          </cell>
          <cell r="J176">
            <v>0</v>
          </cell>
          <cell r="K176">
            <v>15</v>
          </cell>
          <cell r="M176">
            <v>-15573390</v>
          </cell>
          <cell r="N176">
            <v>15000</v>
          </cell>
          <cell r="O176">
            <v>0</v>
          </cell>
          <cell r="P176">
            <v>1282224090</v>
          </cell>
          <cell r="Q176">
            <v>46072</v>
          </cell>
        </row>
        <row r="177">
          <cell r="B177" t="str">
            <v>047/K/II/26</v>
          </cell>
          <cell r="C177">
            <v>46066</v>
          </cell>
          <cell r="D177" t="str">
            <v>2600HANIF</v>
          </cell>
          <cell r="E177" t="str">
            <v>PT DINASTI SAMUDERA ABADI</v>
          </cell>
          <cell r="F177" t="str">
            <v>DN 013/MAR-DSA/I/2026</v>
          </cell>
          <cell r="G177" t="str">
            <v>064/PV-MAR/2026</v>
          </cell>
          <cell r="H177" t="str">
            <v>Debit note 013/MAR-DSA/I/2026 - Bunker</v>
          </cell>
          <cell r="I177">
            <v>-180000000</v>
          </cell>
          <cell r="J177">
            <v>0</v>
          </cell>
          <cell r="K177">
            <v>0</v>
          </cell>
          <cell r="N177">
            <v>0</v>
          </cell>
          <cell r="O177">
            <v>0</v>
          </cell>
          <cell r="P177">
            <v>-180000000</v>
          </cell>
          <cell r="Q177">
            <v>46072</v>
          </cell>
        </row>
        <row r="178">
          <cell r="B178" t="str">
            <v>048/K/II/26</v>
          </cell>
          <cell r="C178">
            <v>46066</v>
          </cell>
          <cell r="E178" t="str">
            <v>PT HOKARI LINEX PRATAMA</v>
          </cell>
          <cell r="F178" t="str">
            <v>012/INV/HLP-SMG/I/2026</v>
          </cell>
          <cell r="G178" t="str">
            <v>646/OPS-II/2026</v>
          </cell>
          <cell r="H178" t="str">
            <v>Bio Solar TB Titan 470 Voyage 126</v>
          </cell>
          <cell r="I178">
            <v>292792798</v>
          </cell>
          <cell r="J178">
            <v>32207202</v>
          </cell>
          <cell r="K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325000000</v>
          </cell>
          <cell r="Q178">
            <v>46072</v>
          </cell>
        </row>
        <row r="179">
          <cell r="B179" t="str">
            <v>049/K/II/26</v>
          </cell>
          <cell r="C179">
            <v>46068</v>
          </cell>
          <cell r="E179" t="str">
            <v>ZULFADHLI JUSUF</v>
          </cell>
          <cell r="G179" t="str">
            <v>065/PV-MAR/2026</v>
          </cell>
          <cell r="H179" t="str">
            <v>Biaya Operasional - Penggantian dana talangan</v>
          </cell>
          <cell r="I179">
            <v>500000000</v>
          </cell>
          <cell r="J179">
            <v>0</v>
          </cell>
          <cell r="K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500000000</v>
          </cell>
          <cell r="Q179">
            <v>46072</v>
          </cell>
        </row>
        <row r="180">
          <cell r="B180" t="str">
            <v>050/K/II/26</v>
          </cell>
          <cell r="C180">
            <v>46068</v>
          </cell>
          <cell r="E180" t="str">
            <v>MANDIRI KARADENAN</v>
          </cell>
          <cell r="H180" t="str">
            <v>Angsuran Pinjaman ke-21 Limit 7.800.000.000</v>
          </cell>
          <cell r="I180">
            <v>359412246.00999999</v>
          </cell>
          <cell r="J180">
            <v>0</v>
          </cell>
          <cell r="K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359412246.00999999</v>
          </cell>
          <cell r="Q180">
            <v>46072</v>
          </cell>
        </row>
        <row r="181">
          <cell r="B181" t="str">
            <v>051/K/II/26</v>
          </cell>
          <cell r="C181">
            <v>46068</v>
          </cell>
          <cell r="E181" t="str">
            <v>MANDIRI KARADENAN</v>
          </cell>
          <cell r="H181" t="str">
            <v>Angsuran Pinjaman ke-4 Limit 11.500.000.000</v>
          </cell>
          <cell r="I181">
            <v>405731133.82999998</v>
          </cell>
          <cell r="J181">
            <v>0</v>
          </cell>
          <cell r="K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405731133.82999998</v>
          </cell>
          <cell r="Q181">
            <v>46072</v>
          </cell>
        </row>
        <row r="182">
          <cell r="B182" t="str">
            <v>052/K/II/26</v>
          </cell>
          <cell r="C182">
            <v>46070</v>
          </cell>
          <cell r="E182" t="str">
            <v>PT BENAYA AMB MANDIRI</v>
          </cell>
          <cell r="F182" t="str">
            <v>09/BAM-MAR/INV/I/2026</v>
          </cell>
          <cell r="G182" t="str">
            <v>641/OPS-II/2026</v>
          </cell>
          <cell r="H182" t="str">
            <v>Solar HSD TB Emperor 2 Voyage BFOL-007</v>
          </cell>
          <cell r="I182">
            <v>230630631</v>
          </cell>
          <cell r="J182">
            <v>25369369</v>
          </cell>
          <cell r="K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256000000</v>
          </cell>
          <cell r="Q182">
            <v>46072</v>
          </cell>
        </row>
        <row r="183">
          <cell r="B183" t="str">
            <v>053/K/II/26</v>
          </cell>
          <cell r="C183">
            <v>46071</v>
          </cell>
          <cell r="E183" t="str">
            <v>MUHAMMAD ZAKI</v>
          </cell>
          <cell r="G183" t="str">
            <v>068/PV-MAR/2026</v>
          </cell>
          <cell r="H183" t="str">
            <v>Business trip M. Zaki ke Palembang periode 12-13/02/2026 - Peletakan Batu Pertama Fly Over Dizamatra</v>
          </cell>
          <cell r="I183">
            <v>7200644</v>
          </cell>
          <cell r="J183">
            <v>0</v>
          </cell>
          <cell r="K183">
            <v>0</v>
          </cell>
          <cell r="M183">
            <v>0</v>
          </cell>
          <cell r="N183">
            <v>2500</v>
          </cell>
          <cell r="O183">
            <v>0</v>
          </cell>
          <cell r="P183">
            <v>7203144</v>
          </cell>
          <cell r="Q183">
            <v>46072</v>
          </cell>
        </row>
        <row r="184">
          <cell r="B184" t="str">
            <v>054/K/II/26</v>
          </cell>
          <cell r="C184">
            <v>46071</v>
          </cell>
          <cell r="E184" t="str">
            <v>DIRJEN PAJAK</v>
          </cell>
          <cell r="G184" t="str">
            <v>066/PV-MAR/2026</v>
          </cell>
          <cell r="H184" t="str">
            <v>Pembayaran PPh 21, 15, 23 periode Januari 2026</v>
          </cell>
          <cell r="I184">
            <v>164768616</v>
          </cell>
          <cell r="J184">
            <v>0</v>
          </cell>
          <cell r="K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164768616</v>
          </cell>
          <cell r="Q184">
            <v>46072</v>
          </cell>
        </row>
        <row r="185">
          <cell r="B185" t="str">
            <v>055/K/II/26</v>
          </cell>
          <cell r="C185">
            <v>46072</v>
          </cell>
          <cell r="D185" t="str">
            <v>2600KGI2K</v>
          </cell>
          <cell r="E185" t="str">
            <v>PT ADHI GUNA PUTERA (Jakarta)</v>
          </cell>
          <cell r="F185" t="str">
            <v>444/DNP/XII/TN/2025</v>
          </cell>
          <cell r="G185" t="str">
            <v>617/OPS-I/2026</v>
          </cell>
          <cell r="H185" t="str">
            <v>Jasa  Pilotage &amp; Assist Tug TB Entebe Star 30 / BG Finacia 71 Voyage 123D &amp; 124D</v>
          </cell>
          <cell r="I185">
            <v>41343890</v>
          </cell>
          <cell r="J185">
            <v>0</v>
          </cell>
          <cell r="K185">
            <v>23</v>
          </cell>
          <cell r="M185">
            <v>-826877</v>
          </cell>
          <cell r="N185">
            <v>2500</v>
          </cell>
          <cell r="O185">
            <v>-1</v>
          </cell>
          <cell r="P185">
            <v>40519512</v>
          </cell>
          <cell r="Q185">
            <v>46076</v>
          </cell>
        </row>
        <row r="186">
          <cell r="B186" t="str">
            <v>056/K/II/26</v>
          </cell>
          <cell r="C186">
            <v>46072</v>
          </cell>
          <cell r="E186" t="str">
            <v>MASUDI</v>
          </cell>
          <cell r="G186" t="str">
            <v>067/PV-MAR/2026</v>
          </cell>
          <cell r="H186" t="str">
            <v>Monitoring ship building di Batam periode 06/01 s.d 05/02 2026</v>
          </cell>
          <cell r="I186">
            <v>1993608</v>
          </cell>
          <cell r="J186">
            <v>0</v>
          </cell>
          <cell r="K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1993608</v>
          </cell>
          <cell r="Q186">
            <v>46076</v>
          </cell>
        </row>
        <row r="187">
          <cell r="B187" t="str">
            <v>057/K/II/26</v>
          </cell>
          <cell r="C187">
            <v>46072</v>
          </cell>
          <cell r="E187" t="str">
            <v>ACHMAD TOHA</v>
          </cell>
          <cell r="G187" t="str">
            <v>069/PV-MAR/2026</v>
          </cell>
          <cell r="H187" t="str">
            <v>25 pack nasi berbuka puasa &amp; 50 pck takjil periode 19/02 s.d 05/03 2026 (15 hari)</v>
          </cell>
          <cell r="I187">
            <v>15000000</v>
          </cell>
          <cell r="J187">
            <v>0</v>
          </cell>
          <cell r="K187">
            <v>0</v>
          </cell>
          <cell r="M187">
            <v>0</v>
          </cell>
          <cell r="N187">
            <v>2500</v>
          </cell>
          <cell r="O187">
            <v>0</v>
          </cell>
          <cell r="P187">
            <v>15002500</v>
          </cell>
          <cell r="Q187">
            <v>46076</v>
          </cell>
        </row>
        <row r="188">
          <cell r="B188" t="str">
            <v>058/K/II/26</v>
          </cell>
          <cell r="C188">
            <v>46072</v>
          </cell>
          <cell r="D188" t="str">
            <v>2600KGI2P</v>
          </cell>
          <cell r="E188" t="str">
            <v>PT FIXPRINT</v>
          </cell>
          <cell r="F188" t="str">
            <v>SC2600477</v>
          </cell>
          <cell r="G188" t="str">
            <v>657/OPS-II/2026</v>
          </cell>
          <cell r="H188" t="str">
            <v>Service printer canon G3010</v>
          </cell>
          <cell r="I188">
            <v>1084470</v>
          </cell>
          <cell r="J188">
            <v>0</v>
          </cell>
          <cell r="K188">
            <v>23</v>
          </cell>
          <cell r="M188">
            <v>-9546</v>
          </cell>
          <cell r="N188">
            <v>2500</v>
          </cell>
          <cell r="O188">
            <v>0</v>
          </cell>
          <cell r="P188">
            <v>1077424</v>
          </cell>
          <cell r="Q188">
            <v>46076</v>
          </cell>
        </row>
        <row r="189">
          <cell r="B189" t="str">
            <v>058/K/II/26</v>
          </cell>
          <cell r="C189">
            <v>46072</v>
          </cell>
          <cell r="D189" t="str">
            <v>2600KGI2P</v>
          </cell>
          <cell r="E189" t="str">
            <v>PT FIXPRINT</v>
          </cell>
          <cell r="F189" t="str">
            <v>SC2600475</v>
          </cell>
          <cell r="G189" t="str">
            <v>657/OPS-II/2026</v>
          </cell>
          <cell r="H189" t="str">
            <v>Printer Ink 100ml Black canon G3010</v>
          </cell>
          <cell r="I189">
            <v>261960</v>
          </cell>
          <cell r="J189">
            <v>0</v>
          </cell>
          <cell r="K189">
            <v>23</v>
          </cell>
          <cell r="M189">
            <v>0</v>
          </cell>
          <cell r="N189">
            <v>0</v>
          </cell>
          <cell r="O189">
            <v>0</v>
          </cell>
          <cell r="P189">
            <v>261960</v>
          </cell>
          <cell r="Q189">
            <v>46076</v>
          </cell>
        </row>
        <row r="190">
          <cell r="B190" t="str">
            <v>059/K/II/26</v>
          </cell>
          <cell r="C190">
            <v>46072</v>
          </cell>
          <cell r="D190" t="str">
            <v>2600KGI2E</v>
          </cell>
          <cell r="E190" t="str">
            <v>PT ADHI GUNA PUTERA (PAITON)</v>
          </cell>
          <cell r="F190" t="str">
            <v>K0436/INV-PTN/XII/2025</v>
          </cell>
          <cell r="G190" t="str">
            <v>583/OPS-XII/2025</v>
          </cell>
          <cell r="H190" t="str">
            <v>Keagenan TB Surya Segara 3 / BG Finacia 96 Voyage 117D</v>
          </cell>
          <cell r="I190">
            <v>8761034</v>
          </cell>
          <cell r="J190">
            <v>220000</v>
          </cell>
          <cell r="K190">
            <v>23</v>
          </cell>
          <cell r="M190">
            <v>-40000</v>
          </cell>
          <cell r="N190">
            <v>2500</v>
          </cell>
          <cell r="O190">
            <v>0</v>
          </cell>
          <cell r="P190">
            <v>8943534</v>
          </cell>
          <cell r="Q190">
            <v>46076</v>
          </cell>
        </row>
        <row r="191">
          <cell r="B191" t="str">
            <v>059/K/II/26</v>
          </cell>
          <cell r="C191">
            <v>46072</v>
          </cell>
          <cell r="D191" t="str">
            <v>2600KGI2E</v>
          </cell>
          <cell r="E191" t="str">
            <v>PT ADHI GUNA PUTERA (PAITON)</v>
          </cell>
          <cell r="F191" t="str">
            <v>K0427/INV-PTN/XI/2025</v>
          </cell>
          <cell r="G191" t="str">
            <v>577/OPS-XII/2025</v>
          </cell>
          <cell r="H191" t="str">
            <v>Keagenan TB APL 7 / BG Baiduri 70273 Voyage 115D</v>
          </cell>
          <cell r="I191">
            <v>8981093</v>
          </cell>
          <cell r="J191">
            <v>220000</v>
          </cell>
          <cell r="K191">
            <v>23</v>
          </cell>
          <cell r="M191">
            <v>-40000</v>
          </cell>
          <cell r="N191">
            <v>0</v>
          </cell>
          <cell r="O191">
            <v>0</v>
          </cell>
          <cell r="P191">
            <v>9161093</v>
          </cell>
          <cell r="Q191">
            <v>46076</v>
          </cell>
        </row>
        <row r="192">
          <cell r="B192" t="str">
            <v>060/K/II/26</v>
          </cell>
          <cell r="C192">
            <v>46072</v>
          </cell>
          <cell r="E192" t="str">
            <v>PT CAHAYA SAMODERA BERSAUDARA</v>
          </cell>
          <cell r="F192" t="str">
            <v>CSB/INV/MRDCS/26/02931</v>
          </cell>
          <cell r="G192" t="str">
            <v>632/OPS-I/2026</v>
          </cell>
          <cell r="H192" t="str">
            <v>Sirius S4 15W-40 1*209L TB Michelle 219-08</v>
          </cell>
          <cell r="I192">
            <v>18750000</v>
          </cell>
          <cell r="J192">
            <v>0</v>
          </cell>
          <cell r="K192">
            <v>0</v>
          </cell>
          <cell r="M192">
            <v>0</v>
          </cell>
          <cell r="N192">
            <v>6500</v>
          </cell>
          <cell r="O192">
            <v>0</v>
          </cell>
          <cell r="P192">
            <v>18756500</v>
          </cell>
          <cell r="Q192">
            <v>46077</v>
          </cell>
        </row>
        <row r="193">
          <cell r="B193" t="str">
            <v>061/K/II/26</v>
          </cell>
          <cell r="C193">
            <v>46072</v>
          </cell>
          <cell r="D193" t="str">
            <v>2600KGI2G</v>
          </cell>
          <cell r="E193" t="str">
            <v>PT SINARMAS LDA USAHA PELABUHAN</v>
          </cell>
          <cell r="F193" t="str">
            <v>CI26-00594</v>
          </cell>
          <cell r="G193" t="str">
            <v>647/OPS-II/2026</v>
          </cell>
          <cell r="H193" t="str">
            <v>Assist Tug &amp; Pilotage Service TB APL 7 / BG Baiduri 70273 Voyage 127D</v>
          </cell>
          <cell r="I193">
            <v>21499789.5</v>
          </cell>
          <cell r="J193">
            <v>0</v>
          </cell>
          <cell r="K193">
            <v>23</v>
          </cell>
          <cell r="M193">
            <v>-429995</v>
          </cell>
          <cell r="N193">
            <v>2500</v>
          </cell>
          <cell r="O193">
            <v>-1.5</v>
          </cell>
          <cell r="P193">
            <v>21072293</v>
          </cell>
          <cell r="Q193">
            <v>46077</v>
          </cell>
        </row>
        <row r="194">
          <cell r="B194" t="str">
            <v>062/K/II/26</v>
          </cell>
          <cell r="C194">
            <v>46072</v>
          </cell>
          <cell r="D194" t="str">
            <v>2600KGI2Q</v>
          </cell>
          <cell r="E194" t="str">
            <v>PT MARITIM BATUBARA PERTAMA</v>
          </cell>
          <cell r="F194" t="str">
            <v>MBP/I-26/0030</v>
          </cell>
          <cell r="G194" t="str">
            <v>648/OPS-II/2026</v>
          </cell>
          <cell r="H194" t="str">
            <v>Mooring &amp; Unmooring Services TB APL 7 - BG Baiduri 70273 Voyage 127D</v>
          </cell>
          <cell r="I194">
            <v>2000000</v>
          </cell>
          <cell r="J194">
            <v>0</v>
          </cell>
          <cell r="K194">
            <v>23</v>
          </cell>
          <cell r="M194">
            <v>-40000</v>
          </cell>
          <cell r="N194">
            <v>2500</v>
          </cell>
          <cell r="O194">
            <v>0</v>
          </cell>
          <cell r="P194">
            <v>1962500</v>
          </cell>
          <cell r="Q194">
            <v>46077</v>
          </cell>
        </row>
        <row r="195">
          <cell r="B195" t="str">
            <v>063/K/II/26</v>
          </cell>
          <cell r="C195">
            <v>46072</v>
          </cell>
          <cell r="E195" t="str">
            <v>PT NOBEL RIGGINDO SAMUDRA</v>
          </cell>
          <cell r="F195" t="str">
            <v>INV-25 25125688</v>
          </cell>
          <cell r="G195" t="str">
            <v>613/OPS-I/2026</v>
          </cell>
          <cell r="H195" t="str">
            <v>Pembelian PP Rope Monofilament 8 Strand 1 Roll</v>
          </cell>
          <cell r="I195">
            <v>22320000</v>
          </cell>
          <cell r="J195">
            <v>2455200</v>
          </cell>
          <cell r="K195">
            <v>0</v>
          </cell>
          <cell r="M195">
            <v>0</v>
          </cell>
          <cell r="N195">
            <v>2500</v>
          </cell>
          <cell r="O195">
            <v>0</v>
          </cell>
          <cell r="P195">
            <v>24777700</v>
          </cell>
          <cell r="Q195">
            <v>46077</v>
          </cell>
        </row>
        <row r="196">
          <cell r="B196" t="str">
            <v>064/K/II/26</v>
          </cell>
          <cell r="C196">
            <v>46072</v>
          </cell>
          <cell r="D196" t="str">
            <v>2600KGI2Z</v>
          </cell>
          <cell r="E196" t="str">
            <v>PT PELAYARAN BARITO DUTA SARANA</v>
          </cell>
          <cell r="F196" t="str">
            <v>254/BDS-S/BJM/INV/XI/2025, 254/BDS-S/BJM/DEBIT NOTE/XI/2025</v>
          </cell>
          <cell r="G196" t="str">
            <v>559/OPS-XII/2025</v>
          </cell>
          <cell r="H196" t="str">
            <v>Keagenan TB Titan 470 / BG Titan 480 Voyage 118L</v>
          </cell>
          <cell r="I196">
            <v>49672005</v>
          </cell>
          <cell r="J196">
            <v>275000</v>
          </cell>
          <cell r="K196">
            <v>23</v>
          </cell>
          <cell r="M196">
            <v>-50000</v>
          </cell>
          <cell r="N196">
            <v>0</v>
          </cell>
          <cell r="O196">
            <v>0</v>
          </cell>
          <cell r="P196">
            <v>49897005</v>
          </cell>
          <cell r="Q196">
            <v>46077</v>
          </cell>
        </row>
        <row r="197">
          <cell r="B197" t="str">
            <v>064/K/II/26</v>
          </cell>
          <cell r="C197">
            <v>46072</v>
          </cell>
          <cell r="D197" t="str">
            <v>2600KGI2Z</v>
          </cell>
          <cell r="E197" t="str">
            <v>PT PELAYARAN BARITO DUTA SARANA</v>
          </cell>
          <cell r="F197" t="str">
            <v>263/BDS-S/BJM/INV/XII/2025, 263/BDS-S/BJM/DEBIT NOTE/XII/2025</v>
          </cell>
          <cell r="G197" t="str">
            <v>580/OPS-XII/2025</v>
          </cell>
          <cell r="H197" t="str">
            <v>Keagenan TB Michelle XV / BG Benami XV Voyage 116D</v>
          </cell>
          <cell r="I197">
            <v>19835792</v>
          </cell>
          <cell r="J197">
            <v>275000</v>
          </cell>
          <cell r="K197">
            <v>23</v>
          </cell>
          <cell r="M197">
            <v>-50000</v>
          </cell>
          <cell r="N197">
            <v>0</v>
          </cell>
          <cell r="O197">
            <v>0</v>
          </cell>
          <cell r="P197">
            <v>20060792</v>
          </cell>
          <cell r="Q197">
            <v>46077</v>
          </cell>
        </row>
        <row r="198">
          <cell r="B198" t="str">
            <v>065/K/II/26</v>
          </cell>
          <cell r="C198">
            <v>46076</v>
          </cell>
          <cell r="D198" t="str">
            <v>2600KSOIG</v>
          </cell>
          <cell r="E198" t="str">
            <v>PT ALPHA PACIFIC LINE</v>
          </cell>
          <cell r="F198" t="str">
            <v>003/APL-F/II/2026</v>
          </cell>
          <cell r="G198" t="str">
            <v>072/PV-MAR/2026</v>
          </cell>
          <cell r="H198" t="str">
            <v>Biaya Time Charter TB APL 7 / BG Baiduri 70273 periode 11 Februari - 10 Maret 2026</v>
          </cell>
          <cell r="I198">
            <v>875000000</v>
          </cell>
          <cell r="J198">
            <v>0</v>
          </cell>
          <cell r="K198">
            <v>15</v>
          </cell>
          <cell r="M198">
            <v>-10500000</v>
          </cell>
          <cell r="N198">
            <v>0</v>
          </cell>
          <cell r="O198">
            <v>0</v>
          </cell>
          <cell r="P198">
            <v>864500000</v>
          </cell>
          <cell r="Q198">
            <v>46077</v>
          </cell>
        </row>
        <row r="199">
          <cell r="B199" t="str">
            <v>066/K/II/26</v>
          </cell>
          <cell r="C199">
            <v>46076</v>
          </cell>
          <cell r="D199" t="str">
            <v>2600KSOII</v>
          </cell>
          <cell r="E199" t="str">
            <v>PT DINASTI SAMUDERA ABADI</v>
          </cell>
          <cell r="F199" t="str">
            <v>40/INV-TK/MAR-DSA/II/26</v>
          </cell>
          <cell r="G199" t="str">
            <v>071/PV-MAR/2026</v>
          </cell>
          <cell r="H199" t="str">
            <v>Biaya Freight Charter TB Emperor 2 / BG Dinasti 3002 ( Jetty RMK Palembang - PLTU Paiton )</v>
          </cell>
          <cell r="I199">
            <v>1294944888</v>
          </cell>
          <cell r="J199">
            <v>0</v>
          </cell>
          <cell r="K199">
            <v>15</v>
          </cell>
          <cell r="M199">
            <v>-15539338.655999999</v>
          </cell>
          <cell r="N199">
            <v>15000</v>
          </cell>
          <cell r="O199">
            <v>-180000000</v>
          </cell>
          <cell r="P199">
            <v>1099420549.3440001</v>
          </cell>
          <cell r="Q199">
            <v>46077</v>
          </cell>
        </row>
        <row r="200">
          <cell r="B200" t="str">
            <v>067/K/II/26</v>
          </cell>
          <cell r="C200">
            <v>46076</v>
          </cell>
          <cell r="D200" t="str">
            <v>2600KSOIK</v>
          </cell>
          <cell r="E200" t="str">
            <v>PT PELITA SAMUDERA SREEYA</v>
          </cell>
          <cell r="F200" t="str">
            <v>PSSR/TNBF2602/001</v>
          </cell>
          <cell r="G200" t="str">
            <v>073/PV-MAR/2026</v>
          </cell>
          <cell r="H200" t="str">
            <v>Biaya Freight Charter TB Intah Megah 7 / BG Intan Kelana 2 ( Jetty SBA - MV Nefeli )</v>
          </cell>
          <cell r="I200">
            <v>361047500</v>
          </cell>
          <cell r="J200">
            <v>0</v>
          </cell>
          <cell r="K200">
            <v>15</v>
          </cell>
          <cell r="M200">
            <v>-4332570</v>
          </cell>
          <cell r="N200">
            <v>15000</v>
          </cell>
          <cell r="O200">
            <v>0</v>
          </cell>
          <cell r="P200">
            <v>356729930</v>
          </cell>
          <cell r="Q200">
            <v>46077</v>
          </cell>
        </row>
        <row r="201">
          <cell r="B201" t="str">
            <v>068/K/II/26</v>
          </cell>
          <cell r="C201">
            <v>46076</v>
          </cell>
          <cell r="D201" t="str">
            <v>2600KSOIJ</v>
          </cell>
          <cell r="E201" t="str">
            <v>PT PELAYARAN PESONA BANYUBIRU</v>
          </cell>
          <cell r="F201" t="str">
            <v>0101/INV/I/2026</v>
          </cell>
          <cell r="G201" t="str">
            <v>620/OPS-I/2026</v>
          </cell>
          <cell r="H201" t="str">
            <v>Biaya Handling  Keagenan TB Entebe Star 30 / BG Finacia 71Voyage 123D</v>
          </cell>
          <cell r="I201">
            <v>19550000</v>
          </cell>
          <cell r="J201">
            <v>1650000</v>
          </cell>
          <cell r="K201">
            <v>23</v>
          </cell>
          <cell r="M201">
            <v>-300000</v>
          </cell>
          <cell r="N201">
            <v>2500</v>
          </cell>
          <cell r="O201">
            <v>0</v>
          </cell>
          <cell r="P201">
            <v>20902500</v>
          </cell>
          <cell r="Q201">
            <v>46077</v>
          </cell>
        </row>
        <row r="202">
          <cell r="B202" t="str">
            <v>069/K/II/26</v>
          </cell>
          <cell r="C202">
            <v>46076</v>
          </cell>
          <cell r="D202" t="str">
            <v>2600LIILQ</v>
          </cell>
          <cell r="E202" t="str">
            <v>PT ANDALAN LANCAR NIAGA</v>
          </cell>
          <cell r="F202" t="str">
            <v>00001/ALN-INV/I/2026</v>
          </cell>
          <cell r="G202" t="str">
            <v>070/PV-MAR/2026</v>
          </cell>
          <cell r="H202" t="str">
            <v>Biaya Freight Charter TB Michelle III / BG Benami III ( Jetty Patratani - Paiton )</v>
          </cell>
          <cell r="I202">
            <v>1280292000</v>
          </cell>
          <cell r="K202">
            <v>15</v>
          </cell>
          <cell r="M202">
            <v>-15363504</v>
          </cell>
          <cell r="N202">
            <v>15000</v>
          </cell>
          <cell r="O202">
            <v>0</v>
          </cell>
          <cell r="P202">
            <v>1264943496</v>
          </cell>
          <cell r="Q202">
            <v>46079</v>
          </cell>
        </row>
        <row r="203">
          <cell r="B203" t="str">
            <v>070/K/II/26</v>
          </cell>
          <cell r="C203">
            <v>46078</v>
          </cell>
          <cell r="E203" t="str">
            <v>DIREKSI DAN STAFF</v>
          </cell>
          <cell r="F203" t="str">
            <v>Terlampir</v>
          </cell>
          <cell r="G203" t="str">
            <v>074/PV-MAR/2026</v>
          </cell>
          <cell r="H203" t="str">
            <v xml:space="preserve">Gaji Direksi dan staff periode Februari 2026 </v>
          </cell>
          <cell r="I203">
            <v>126656843</v>
          </cell>
          <cell r="J203">
            <v>0</v>
          </cell>
          <cell r="K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126656843</v>
          </cell>
          <cell r="Q203">
            <v>46079</v>
          </cell>
        </row>
        <row r="204">
          <cell r="B204" t="str">
            <v>071/K/II/26</v>
          </cell>
          <cell r="C204">
            <v>46078</v>
          </cell>
          <cell r="E204" t="str">
            <v>BPJS KETENAGAKERJAAN staff</v>
          </cell>
          <cell r="G204" t="str">
            <v>075/PV-MAR/2026</v>
          </cell>
          <cell r="H204" t="str">
            <v>BPJS Ketenagakerjaan staff periode Februari 2026</v>
          </cell>
          <cell r="I204">
            <v>10811736</v>
          </cell>
          <cell r="J204">
            <v>0</v>
          </cell>
          <cell r="K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10811736</v>
          </cell>
          <cell r="Q204">
            <v>46079</v>
          </cell>
        </row>
        <row r="205">
          <cell r="B205" t="str">
            <v>072/K/II/26</v>
          </cell>
          <cell r="C205">
            <v>46078</v>
          </cell>
          <cell r="E205" t="str">
            <v>BPJS KESEHATAN staff</v>
          </cell>
          <cell r="G205" t="str">
            <v>076/PV-MAR/2026</v>
          </cell>
          <cell r="H205" t="str">
            <v>BPJS Kesehatan crew dan staff periode Februari 2026</v>
          </cell>
          <cell r="I205">
            <v>6943964</v>
          </cell>
          <cell r="J205">
            <v>0</v>
          </cell>
          <cell r="K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6943964</v>
          </cell>
          <cell r="Q205">
            <v>46079</v>
          </cell>
        </row>
        <row r="206">
          <cell r="B206" t="str">
            <v>073/K/II/26</v>
          </cell>
          <cell r="C206">
            <v>46078</v>
          </cell>
          <cell r="E206" t="str">
            <v>BINA SARANA INFORMATIKA</v>
          </cell>
          <cell r="F206" t="str">
            <v>012.02/Y-BSI/I/2026</v>
          </cell>
          <cell r="G206" t="str">
            <v>077/PV-MAR/2026</v>
          </cell>
          <cell r="H206" t="str">
            <v>Pembayaran Listrik kantor periode 02-15/01/2026</v>
          </cell>
          <cell r="I206">
            <v>2855650</v>
          </cell>
          <cell r="J206">
            <v>0</v>
          </cell>
          <cell r="K206">
            <v>0</v>
          </cell>
          <cell r="M206">
            <v>0</v>
          </cell>
          <cell r="N206">
            <v>2500</v>
          </cell>
          <cell r="O206">
            <v>0</v>
          </cell>
          <cell r="P206">
            <v>2858150</v>
          </cell>
          <cell r="Q206">
            <v>46079</v>
          </cell>
        </row>
        <row r="207">
          <cell r="B207" t="str">
            <v>074/K/II/26</v>
          </cell>
          <cell r="C207">
            <v>46078</v>
          </cell>
          <cell r="D207" t="str">
            <v>2600LIFUX</v>
          </cell>
          <cell r="E207" t="str">
            <v>NOTARIS EWIN ENY SUNDARI S.H</v>
          </cell>
          <cell r="G207" t="str">
            <v>078/PV-MAR/2026</v>
          </cell>
          <cell r="H207" t="str">
            <v>Notaris AJB TB Ocean Power 21, PNBP &amp; BBN kapal tsb di Surabaya 05 &amp; 06/02/2026</v>
          </cell>
          <cell r="I207">
            <v>21750000</v>
          </cell>
          <cell r="J207">
            <v>0</v>
          </cell>
          <cell r="K207">
            <v>21</v>
          </cell>
          <cell r="M207">
            <v>-531250</v>
          </cell>
          <cell r="N207">
            <v>2500</v>
          </cell>
          <cell r="O207">
            <v>531250</v>
          </cell>
          <cell r="P207">
            <v>21752500</v>
          </cell>
          <cell r="Q207">
            <v>46079</v>
          </cell>
        </row>
        <row r="208">
          <cell r="B208" t="str">
            <v>075/K/II/26</v>
          </cell>
          <cell r="C208">
            <v>46078</v>
          </cell>
          <cell r="E208" t="str">
            <v>TRI HANDOYO</v>
          </cell>
          <cell r="G208" t="str">
            <v>079/PV-MAR/2026</v>
          </cell>
          <cell r="H208" t="str">
            <v>DP booking buka puasa bersama PT TCP di Sentosa seafood Senayan</v>
          </cell>
          <cell r="I208">
            <v>2000000</v>
          </cell>
          <cell r="J208">
            <v>0</v>
          </cell>
          <cell r="K208">
            <v>0</v>
          </cell>
          <cell r="M208">
            <v>0</v>
          </cell>
          <cell r="N208">
            <v>2500</v>
          </cell>
          <cell r="O208">
            <v>0</v>
          </cell>
          <cell r="P208">
            <v>2002500</v>
          </cell>
          <cell r="Q208">
            <v>46079</v>
          </cell>
        </row>
        <row r="209">
          <cell r="B209" t="str">
            <v>076/K/II/26</v>
          </cell>
          <cell r="C209">
            <v>46078</v>
          </cell>
          <cell r="E209" t="str">
            <v>HENDY KUSSUNAR ARYA</v>
          </cell>
          <cell r="G209" t="str">
            <v>080/PV-MAR/2026</v>
          </cell>
          <cell r="H209" t="str">
            <v>Travelling claim annual survey class Finacia 96 di Paiton &amp; reimburse surat laut 4 kapal ( SS3, Fin96, M219-08, Angeline 219-08 )</v>
          </cell>
          <cell r="I209">
            <v>9660500</v>
          </cell>
          <cell r="J209">
            <v>0</v>
          </cell>
          <cell r="K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9660500</v>
          </cell>
          <cell r="Q209">
            <v>46079</v>
          </cell>
        </row>
        <row r="210">
          <cell r="B210" t="str">
            <v>077/K/II/26</v>
          </cell>
          <cell r="C210">
            <v>46079</v>
          </cell>
          <cell r="D210" t="str">
            <v>2600LN2TF</v>
          </cell>
          <cell r="E210" t="str">
            <v>PT KRAKATAU SAMUDRA SOLUSI</v>
          </cell>
          <cell r="F210" t="str">
            <v>KSS.SI.250608</v>
          </cell>
          <cell r="G210" t="str">
            <v>082/PV-MAR/2026</v>
          </cell>
          <cell r="H210" t="str">
            <v>Biaya Freight Charter TB Grace 201  / BG Abby 310 (Jetty Kintap - PLTU Pacitan)</v>
          </cell>
          <cell r="I210">
            <v>1805830740</v>
          </cell>
          <cell r="J210">
            <v>0</v>
          </cell>
          <cell r="K210">
            <v>15</v>
          </cell>
          <cell r="M210">
            <v>-21669968</v>
          </cell>
          <cell r="N210">
            <v>0</v>
          </cell>
          <cell r="O210">
            <v>-1</v>
          </cell>
          <cell r="P210">
            <v>1784160771</v>
          </cell>
          <cell r="Q210">
            <v>46083</v>
          </cell>
        </row>
        <row r="211">
          <cell r="B211" t="str">
            <v>078/K/II/26</v>
          </cell>
          <cell r="C211">
            <v>46079</v>
          </cell>
          <cell r="E211" t="str">
            <v>LASTE FERI KUSUMA</v>
          </cell>
          <cell r="G211" t="str">
            <v>115/OPS-Premi/2025</v>
          </cell>
          <cell r="H211" t="str">
            <v>Premi Crew TB APL 7 / Baiduri 70273 Voyage 115</v>
          </cell>
          <cell r="I211">
            <v>9568154</v>
          </cell>
          <cell r="J211">
            <v>0</v>
          </cell>
          <cell r="K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9568154</v>
          </cell>
          <cell r="Q211">
            <v>46083</v>
          </cell>
        </row>
        <row r="212">
          <cell r="B212" t="str">
            <v>079/K/II/26</v>
          </cell>
          <cell r="C212">
            <v>46079</v>
          </cell>
          <cell r="E212" t="str">
            <v>LASTE FERI KUSUMA</v>
          </cell>
          <cell r="G212" t="str">
            <v>119/OPS-Premi/2026</v>
          </cell>
          <cell r="H212" t="str">
            <v>Premi Crew TB APL 7 / Baiduri 70273 Voyage 119</v>
          </cell>
          <cell r="I212">
            <v>17725254</v>
          </cell>
          <cell r="J212">
            <v>0</v>
          </cell>
          <cell r="K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17725254</v>
          </cell>
          <cell r="Q212">
            <v>46083</v>
          </cell>
        </row>
        <row r="213">
          <cell r="B213" t="str">
            <v>080/K/II/26</v>
          </cell>
          <cell r="C213">
            <v>46079</v>
          </cell>
          <cell r="E213" t="str">
            <v>LASTE FERI KUSUMA</v>
          </cell>
          <cell r="G213" t="str">
            <v>127/OPS-Premi/2026</v>
          </cell>
          <cell r="H213" t="str">
            <v>Premi Crew TB APL 7 / Baiduri 70273 Voyage 127</v>
          </cell>
          <cell r="I213">
            <v>22733860</v>
          </cell>
          <cell r="J213">
            <v>0</v>
          </cell>
          <cell r="K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22733860</v>
          </cell>
          <cell r="Q213">
            <v>46083</v>
          </cell>
        </row>
        <row r="214">
          <cell r="B214" t="str">
            <v>081/K/II/26</v>
          </cell>
          <cell r="C214">
            <v>46079</v>
          </cell>
          <cell r="E214" t="str">
            <v>YUDIANTO</v>
          </cell>
          <cell r="G214" t="str">
            <v>112/OPS-Premi/2025</v>
          </cell>
          <cell r="H214" t="str">
            <v>Premi Crew TB Entebe Star 30 / BG Finacia 71 Voyage 112</v>
          </cell>
          <cell r="I214">
            <v>21382426</v>
          </cell>
          <cell r="J214">
            <v>0</v>
          </cell>
          <cell r="K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21382426</v>
          </cell>
          <cell r="Q214">
            <v>46083</v>
          </cell>
        </row>
        <row r="215">
          <cell r="B215" t="str">
            <v>082/K/II/26</v>
          </cell>
          <cell r="C215">
            <v>46079</v>
          </cell>
          <cell r="E215" t="str">
            <v>YUDIANTO</v>
          </cell>
          <cell r="G215" t="str">
            <v>128/OPS-Premi/2026</v>
          </cell>
          <cell r="H215" t="str">
            <v>Premi Crew TB Entebe Star 30 / BG Finacia 71 Voyage 128</v>
          </cell>
          <cell r="I215">
            <v>22455697</v>
          </cell>
          <cell r="J215">
            <v>0</v>
          </cell>
          <cell r="K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22455697</v>
          </cell>
          <cell r="Q215">
            <v>46083</v>
          </cell>
        </row>
        <row r="216">
          <cell r="B216" t="str">
            <v>083/K/II/26</v>
          </cell>
          <cell r="C216">
            <v>46079</v>
          </cell>
          <cell r="E216" t="str">
            <v>BERTON SIMAMORA</v>
          </cell>
          <cell r="G216" t="str">
            <v>120/OPS-Premi/2025</v>
          </cell>
          <cell r="H216" t="str">
            <v>Premi Crew TB Michelle 219-08 / BG Angeline 219-08 Voyage 120</v>
          </cell>
          <cell r="I216">
            <v>3677351</v>
          </cell>
          <cell r="J216">
            <v>0</v>
          </cell>
          <cell r="K216">
            <v>0</v>
          </cell>
          <cell r="M216">
            <v>0</v>
          </cell>
          <cell r="N216">
            <v>2500</v>
          </cell>
          <cell r="O216">
            <v>0</v>
          </cell>
          <cell r="P216">
            <v>3679851</v>
          </cell>
          <cell r="Q216">
            <v>46083</v>
          </cell>
        </row>
        <row r="217">
          <cell r="B217" t="str">
            <v>084/K/II/26</v>
          </cell>
          <cell r="C217">
            <v>46079</v>
          </cell>
          <cell r="E217" t="str">
            <v>ANDI AHMAD</v>
          </cell>
          <cell r="G217" t="str">
            <v>122/OPS-Premi/2025</v>
          </cell>
          <cell r="H217" t="str">
            <v>Premi Crew TB Michelle 219-08 / BG Angeline 219-08 Voyage 122</v>
          </cell>
          <cell r="I217">
            <v>14137833</v>
          </cell>
          <cell r="J217">
            <v>0</v>
          </cell>
          <cell r="K217">
            <v>0</v>
          </cell>
          <cell r="M217">
            <v>0</v>
          </cell>
          <cell r="N217">
            <v>2500</v>
          </cell>
          <cell r="O217">
            <v>0</v>
          </cell>
          <cell r="P217">
            <v>14140333</v>
          </cell>
          <cell r="Q217">
            <v>46083</v>
          </cell>
        </row>
        <row r="218">
          <cell r="B218" t="str">
            <v>085/K/II/26</v>
          </cell>
          <cell r="C218">
            <v>46079</v>
          </cell>
          <cell r="E218" t="str">
            <v>NURSANDI</v>
          </cell>
          <cell r="G218" t="str">
            <v>116/OPS-Premi/2025</v>
          </cell>
          <cell r="H218" t="str">
            <v>Premi Crew TB Michelle XV / BG Benami XV Voyage 116</v>
          </cell>
          <cell r="I218">
            <v>5000000</v>
          </cell>
          <cell r="J218">
            <v>0</v>
          </cell>
          <cell r="K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5000000</v>
          </cell>
          <cell r="Q218">
            <v>46083</v>
          </cell>
        </row>
        <row r="219">
          <cell r="B219" t="str">
            <v>086/K/II/26</v>
          </cell>
          <cell r="C219">
            <v>46079</v>
          </cell>
          <cell r="E219" t="str">
            <v>NURSANDI</v>
          </cell>
          <cell r="G219" t="str">
            <v>121/OPS-Premi/2026</v>
          </cell>
          <cell r="H219" t="str">
            <v>Premi Crew TB Michelle XV / BG Benami XV Voyage 121</v>
          </cell>
          <cell r="I219">
            <v>16276203</v>
          </cell>
          <cell r="J219">
            <v>0</v>
          </cell>
          <cell r="K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16276203</v>
          </cell>
          <cell r="Q219">
            <v>46083</v>
          </cell>
        </row>
        <row r="220">
          <cell r="B220" t="str">
            <v>087/K/II/26</v>
          </cell>
          <cell r="C220">
            <v>46079</v>
          </cell>
          <cell r="E220" t="str">
            <v>NURSANDI</v>
          </cell>
          <cell r="G220" t="str">
            <v>125/OPS-Premi/2026</v>
          </cell>
          <cell r="H220" t="str">
            <v>Premi Crew TB Michelle XV / BG Benami XV Voyage 125</v>
          </cell>
          <cell r="I220">
            <v>22925333</v>
          </cell>
          <cell r="J220">
            <v>0</v>
          </cell>
          <cell r="K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22925333</v>
          </cell>
          <cell r="Q220">
            <v>46083</v>
          </cell>
        </row>
        <row r="221">
          <cell r="B221" t="str">
            <v>088/K/II/26</v>
          </cell>
          <cell r="C221">
            <v>46079</v>
          </cell>
          <cell r="E221" t="str">
            <v>NURSANDI</v>
          </cell>
          <cell r="G221" t="str">
            <v>129/OPS-Premi/2026</v>
          </cell>
          <cell r="H221" t="str">
            <v>Premi Crew TB Michelle XV / BG Benami XV Voyage 129</v>
          </cell>
          <cell r="I221">
            <v>9162926</v>
          </cell>
          <cell r="J221">
            <v>0</v>
          </cell>
          <cell r="K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9162926</v>
          </cell>
          <cell r="Q221">
            <v>46083</v>
          </cell>
        </row>
        <row r="222">
          <cell r="B222" t="str">
            <v>089/K/II/26</v>
          </cell>
          <cell r="C222">
            <v>46079</v>
          </cell>
          <cell r="E222" t="str">
            <v>ANDI ARDI SAID</v>
          </cell>
          <cell r="G222" t="str">
            <v>124/OPS-Premi/2026</v>
          </cell>
          <cell r="H222" t="str">
            <v>Premi Crew TB Surya Segara 3 / BG Finacia 96 Voyage 124</v>
          </cell>
          <cell r="I222">
            <v>15383047</v>
          </cell>
          <cell r="J222">
            <v>0</v>
          </cell>
          <cell r="K222">
            <v>0</v>
          </cell>
          <cell r="M222">
            <v>0</v>
          </cell>
          <cell r="N222">
            <v>2500</v>
          </cell>
          <cell r="O222">
            <v>0</v>
          </cell>
          <cell r="P222">
            <v>15385547</v>
          </cell>
          <cell r="Q222">
            <v>46083</v>
          </cell>
        </row>
        <row r="223">
          <cell r="B223" t="str">
            <v>090/K/II/26</v>
          </cell>
          <cell r="C223">
            <v>46079</v>
          </cell>
          <cell r="E223" t="str">
            <v>ANDI ARDI SAID</v>
          </cell>
          <cell r="G223" t="str">
            <v>130/OPS-Premi/2026</v>
          </cell>
          <cell r="H223" t="str">
            <v>Premi Crew TB Surya Segara 3 / BG Finacia 96 Voyage 130</v>
          </cell>
          <cell r="I223">
            <v>21746958</v>
          </cell>
          <cell r="J223">
            <v>0</v>
          </cell>
          <cell r="K223">
            <v>0</v>
          </cell>
          <cell r="M223">
            <v>0</v>
          </cell>
          <cell r="N223">
            <v>2500</v>
          </cell>
          <cell r="O223">
            <v>0</v>
          </cell>
          <cell r="P223">
            <v>21749458</v>
          </cell>
          <cell r="Q223">
            <v>46083</v>
          </cell>
        </row>
        <row r="224">
          <cell r="B224" t="str">
            <v>091/K/II/26</v>
          </cell>
          <cell r="C224">
            <v>46079</v>
          </cell>
          <cell r="E224" t="str">
            <v>RIKHARDO ARTHUR PHIL</v>
          </cell>
          <cell r="G224" t="str">
            <v>108#2/OPS-Premi/2025</v>
          </cell>
          <cell r="H224" t="str">
            <v>Premi Crew TB Titan 470 / BG Titan 480 Voyage 108#2</v>
          </cell>
          <cell r="I224">
            <v>25417029</v>
          </cell>
          <cell r="J224">
            <v>0</v>
          </cell>
          <cell r="K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25417029</v>
          </cell>
          <cell r="Q224">
            <v>46083</v>
          </cell>
        </row>
        <row r="225">
          <cell r="B225" t="str">
            <v>092/K/II/26</v>
          </cell>
          <cell r="C225">
            <v>46079</v>
          </cell>
          <cell r="E225" t="str">
            <v>RIKHARDO ARTHUR PHIL</v>
          </cell>
          <cell r="G225" t="str">
            <v>126/OPS-Premi/2026</v>
          </cell>
          <cell r="H225" t="str">
            <v>Premi Crew TB Titan 470 / BG Titan 480 Voyage 126</v>
          </cell>
          <cell r="I225">
            <v>11875000</v>
          </cell>
          <cell r="J225">
            <v>0</v>
          </cell>
          <cell r="K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11875000</v>
          </cell>
          <cell r="Q225">
            <v>46083</v>
          </cell>
        </row>
        <row r="226">
          <cell r="B226" t="str">
            <v>093/K/II/26</v>
          </cell>
          <cell r="C226">
            <v>46079</v>
          </cell>
          <cell r="E226" t="str">
            <v>BPJS KETENAGAKERJAAN CREW</v>
          </cell>
          <cell r="G226" t="str">
            <v>081/PV-MAR/2026</v>
          </cell>
          <cell r="H226" t="str">
            <v>BPJS Ketenagakerjaan crew kapal Entebe Star 30 periode Februari 2026</v>
          </cell>
          <cell r="I226">
            <v>2138000</v>
          </cell>
          <cell r="J226">
            <v>0</v>
          </cell>
          <cell r="K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2138000</v>
          </cell>
          <cell r="Q226">
            <v>46083</v>
          </cell>
        </row>
        <row r="227">
          <cell r="B227" t="str">
            <v>094/K/II/26</v>
          </cell>
          <cell r="C227">
            <v>46079</v>
          </cell>
          <cell r="E227" t="str">
            <v>BPJS KETENAGAKERJAAN CREW</v>
          </cell>
          <cell r="G227" t="str">
            <v>019/PV-MAR/2026</v>
          </cell>
          <cell r="H227" t="str">
            <v>BPJS Ketenagakerjaan crew kapal Entebe Star 30 periode Januari 2026</v>
          </cell>
          <cell r="I227">
            <v>2099850</v>
          </cell>
          <cell r="J227">
            <v>0</v>
          </cell>
          <cell r="K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2099850</v>
          </cell>
          <cell r="Q227">
            <v>46083</v>
          </cell>
        </row>
        <row r="228">
          <cell r="B228" t="str">
            <v>095/K/II/26</v>
          </cell>
          <cell r="C228">
            <v>46080</v>
          </cell>
          <cell r="E228" t="str">
            <v>PT MARITIM INDO RAYA</v>
          </cell>
          <cell r="F228" t="str">
            <v>017/INV/MIR-MAR/II/2026, 017/DN/MIR-MAR/II/2026</v>
          </cell>
          <cell r="G228" t="str">
            <v>083/PV-MAR/2026</v>
          </cell>
          <cell r="H228" t="str">
            <v>Keagenan TB Michelle XV / BG Benami XV Voyage 134L</v>
          </cell>
          <cell r="I228">
            <v>103040237</v>
          </cell>
          <cell r="J228">
            <v>440000</v>
          </cell>
          <cell r="K228">
            <v>23</v>
          </cell>
          <cell r="M228">
            <v>-20000</v>
          </cell>
          <cell r="N228">
            <v>2500</v>
          </cell>
          <cell r="O228">
            <v>0</v>
          </cell>
          <cell r="P228">
            <v>103462737</v>
          </cell>
          <cell r="Q228">
            <v>46083</v>
          </cell>
        </row>
        <row r="229">
          <cell r="B229" t="str">
            <v>096/K/II/26</v>
          </cell>
          <cell r="C229">
            <v>46080</v>
          </cell>
          <cell r="E229" t="str">
            <v>PT MARITIM INDO RAYA</v>
          </cell>
          <cell r="F229" t="str">
            <v>025/PRO/MIR-MAR/II/2026 DP</v>
          </cell>
          <cell r="G229" t="str">
            <v>084/PV-MAR/2026</v>
          </cell>
          <cell r="H229" t="str">
            <v>DP Keagenan TB APL 7 / BG Baiduri 70273 Voyage 139L</v>
          </cell>
          <cell r="I229">
            <v>59458000</v>
          </cell>
          <cell r="J229">
            <v>0</v>
          </cell>
          <cell r="K229">
            <v>0</v>
          </cell>
          <cell r="M229">
            <v>0</v>
          </cell>
          <cell r="N229">
            <v>2500</v>
          </cell>
          <cell r="O229">
            <v>0</v>
          </cell>
          <cell r="P229">
            <v>59460500</v>
          </cell>
          <cell r="Q229">
            <v>46083</v>
          </cell>
        </row>
        <row r="230">
          <cell r="B230" t="str">
            <v>097/K/II/26</v>
          </cell>
          <cell r="C230">
            <v>46080</v>
          </cell>
          <cell r="E230" t="str">
            <v>PT MARITIM INDO RAYA</v>
          </cell>
          <cell r="F230" t="str">
            <v>026/PRO/MIR-MAR/II/2026 DP</v>
          </cell>
          <cell r="G230" t="str">
            <v>085/PV-MAR/2026</v>
          </cell>
          <cell r="H230" t="str">
            <v>DP Keagenan TB Entebe Star 30 / BG Finacia 71 Voyage 138L</v>
          </cell>
          <cell r="I230">
            <v>66458000</v>
          </cell>
          <cell r="J230">
            <v>0</v>
          </cell>
          <cell r="K230">
            <v>0</v>
          </cell>
          <cell r="M230">
            <v>0</v>
          </cell>
          <cell r="N230">
            <v>2500</v>
          </cell>
          <cell r="O230">
            <v>0</v>
          </cell>
          <cell r="P230">
            <v>66460500</v>
          </cell>
          <cell r="Q230">
            <v>46083</v>
          </cell>
        </row>
        <row r="231">
          <cell r="B231" t="str">
            <v>098/K/II/26</v>
          </cell>
          <cell r="C231">
            <v>46081</v>
          </cell>
          <cell r="E231" t="str">
            <v>DIRJEN PAJAK</v>
          </cell>
          <cell r="G231" t="str">
            <v>025/PV-MAR/2026</v>
          </cell>
          <cell r="H231" t="str">
            <v>Pembayaran PPN periode Desember 2025</v>
          </cell>
          <cell r="I231">
            <v>1236897368</v>
          </cell>
          <cell r="J231">
            <v>0</v>
          </cell>
          <cell r="K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1236897368</v>
          </cell>
          <cell r="Q231">
            <v>46083</v>
          </cell>
        </row>
        <row r="232">
          <cell r="B232" t="str">
            <v>099/K/II/26</v>
          </cell>
          <cell r="C232">
            <v>46081</v>
          </cell>
          <cell r="E232" t="str">
            <v>CREW ENTEBE STAR 30 / FINACIA 71</v>
          </cell>
          <cell r="G232" t="str">
            <v>086/PV-MAR/2026</v>
          </cell>
          <cell r="H232" t="str">
            <v>Gaji crew Entebe Star 30 / Finacia 71 periode Februari 2026</v>
          </cell>
          <cell r="I232">
            <v>68500000</v>
          </cell>
          <cell r="J232">
            <v>0</v>
          </cell>
          <cell r="K232">
            <v>0</v>
          </cell>
          <cell r="M232">
            <v>0</v>
          </cell>
          <cell r="N232">
            <v>26000</v>
          </cell>
          <cell r="O232">
            <v>0</v>
          </cell>
          <cell r="P232">
            <v>68526000</v>
          </cell>
          <cell r="Q232">
            <v>46083</v>
          </cell>
        </row>
        <row r="233">
          <cell r="B233" t="str">
            <v>100/K/II/26</v>
          </cell>
          <cell r="C233">
            <v>46081</v>
          </cell>
          <cell r="E233" t="str">
            <v>JAYA KESUMA</v>
          </cell>
          <cell r="G233" t="str">
            <v>087/PV-MAR/2026</v>
          </cell>
          <cell r="H233" t="str">
            <v>Uang makan crew Entebe Star 30 / BG Finacia 71 periode Maret 2026</v>
          </cell>
          <cell r="I233">
            <v>16500000</v>
          </cell>
          <cell r="J233">
            <v>0</v>
          </cell>
          <cell r="K233">
            <v>0</v>
          </cell>
          <cell r="M233">
            <v>0</v>
          </cell>
          <cell r="N233">
            <v>2500</v>
          </cell>
          <cell r="O233">
            <v>0</v>
          </cell>
          <cell r="P233">
            <v>16502500</v>
          </cell>
          <cell r="Q233">
            <v>46083</v>
          </cell>
        </row>
        <row r="234">
          <cell r="B234" t="str">
            <v>101/K/II/26</v>
          </cell>
          <cell r="C234">
            <v>46081</v>
          </cell>
          <cell r="E234" t="str">
            <v>CREW SURYA SEGARA 3 / FINACIA 96</v>
          </cell>
          <cell r="G234" t="str">
            <v>088/PV-MAR/2026</v>
          </cell>
          <cell r="H234" t="str">
            <v>Gaji Crew Surya Segara 3 / Finacia 96 Periode Februari 2025</v>
          </cell>
          <cell r="I234">
            <v>68500000</v>
          </cell>
          <cell r="J234">
            <v>0</v>
          </cell>
          <cell r="K234">
            <v>0</v>
          </cell>
          <cell r="M234">
            <v>0</v>
          </cell>
          <cell r="N234">
            <v>32500</v>
          </cell>
          <cell r="O234">
            <v>0</v>
          </cell>
          <cell r="P234">
            <v>68532500</v>
          </cell>
          <cell r="Q234">
            <v>46083</v>
          </cell>
        </row>
        <row r="235">
          <cell r="B235" t="str">
            <v>102/K/II/26</v>
          </cell>
          <cell r="C235">
            <v>46081</v>
          </cell>
          <cell r="E235" t="str">
            <v>ANDI ARDI SAID</v>
          </cell>
          <cell r="G235" t="str">
            <v>089/PV-MAR/2026</v>
          </cell>
          <cell r="H235" t="str">
            <v>Uang makan crew Surya Segara 3 / Finacia 96 periode Maret 2026</v>
          </cell>
          <cell r="I235">
            <v>16500000</v>
          </cell>
          <cell r="J235">
            <v>0</v>
          </cell>
          <cell r="K235">
            <v>0</v>
          </cell>
          <cell r="M235">
            <v>0</v>
          </cell>
          <cell r="N235">
            <v>2500</v>
          </cell>
          <cell r="O235">
            <v>0</v>
          </cell>
          <cell r="P235">
            <v>16502500</v>
          </cell>
          <cell r="Q235">
            <v>46083</v>
          </cell>
        </row>
        <row r="236">
          <cell r="B236" t="str">
            <v>103/K/II/26</v>
          </cell>
          <cell r="C236">
            <v>46081</v>
          </cell>
          <cell r="E236" t="str">
            <v>CREW MICHELLE 219-08 / ANGELINE 219-08</v>
          </cell>
          <cell r="G236" t="str">
            <v>090/PV-MAR/2026</v>
          </cell>
          <cell r="H236" t="str">
            <v>Gaji crew Michelle 219-08 / Angeline 219-08 periode Februari 2026</v>
          </cell>
          <cell r="I236">
            <v>68500000</v>
          </cell>
          <cell r="J236">
            <v>0</v>
          </cell>
          <cell r="K236">
            <v>0</v>
          </cell>
          <cell r="M236">
            <v>0</v>
          </cell>
          <cell r="N236">
            <v>19500</v>
          </cell>
          <cell r="O236">
            <v>0</v>
          </cell>
          <cell r="P236">
            <v>68519500</v>
          </cell>
          <cell r="Q236">
            <v>46083</v>
          </cell>
        </row>
        <row r="237">
          <cell r="B237" t="str">
            <v>104/K/II/26</v>
          </cell>
          <cell r="C237">
            <v>46081</v>
          </cell>
          <cell r="E237" t="str">
            <v>JUSNAEKA</v>
          </cell>
          <cell r="G237" t="str">
            <v>091/PV-MAR/2026</v>
          </cell>
          <cell r="H237" t="str">
            <v>Uang makan crew Michelle 219-08 / Angeline 219-08 periode Maret 2026</v>
          </cell>
          <cell r="I237">
            <v>16500000</v>
          </cell>
          <cell r="J237">
            <v>0</v>
          </cell>
          <cell r="K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16500000</v>
          </cell>
          <cell r="Q237">
            <v>46083</v>
          </cell>
        </row>
        <row r="238">
          <cell r="B238" t="str">
            <v>105/K/II/26</v>
          </cell>
          <cell r="C238">
            <v>46081</v>
          </cell>
          <cell r="E238" t="str">
            <v>JUNINGSIH SUTJIONO</v>
          </cell>
          <cell r="G238" t="str">
            <v>092/PV-MAR/2026</v>
          </cell>
          <cell r="H238" t="str">
            <v>Refund freight batu split TB Titan 470 500MT</v>
          </cell>
          <cell r="I238">
            <v>65286486</v>
          </cell>
          <cell r="J238">
            <v>0</v>
          </cell>
          <cell r="K238">
            <v>0</v>
          </cell>
          <cell r="M238">
            <v>0</v>
          </cell>
          <cell r="N238">
            <v>2500</v>
          </cell>
          <cell r="O238">
            <v>0</v>
          </cell>
          <cell r="P238">
            <v>65288986</v>
          </cell>
          <cell r="Q238">
            <v>46083</v>
          </cell>
        </row>
        <row r="239">
          <cell r="B239" t="str">
            <v>106/K/II/26</v>
          </cell>
          <cell r="C239">
            <v>46081</v>
          </cell>
          <cell r="E239" t="str">
            <v>TRI HANDOYO</v>
          </cell>
          <cell r="G239" t="str">
            <v>093/PV-MAR/2026</v>
          </cell>
          <cell r="H239" t="str">
            <v>Booking buka puasa bersama PT BAS di Signature Restaurant 13/03/2026</v>
          </cell>
          <cell r="I239">
            <v>12684672</v>
          </cell>
          <cell r="J239">
            <v>0</v>
          </cell>
          <cell r="K239">
            <v>0</v>
          </cell>
          <cell r="M239">
            <v>0</v>
          </cell>
          <cell r="N239">
            <v>6500</v>
          </cell>
          <cell r="O239">
            <v>0</v>
          </cell>
          <cell r="P239">
            <v>12691172</v>
          </cell>
          <cell r="Q239">
            <v>46083</v>
          </cell>
        </row>
        <row r="240">
          <cell r="B240" t="str">
            <v>107/K/II/26</v>
          </cell>
          <cell r="C240">
            <v>46081</v>
          </cell>
          <cell r="E240" t="str">
            <v>ZULFADHLI JUSUF</v>
          </cell>
          <cell r="G240" t="str">
            <v>094/PV-MAR/2026</v>
          </cell>
          <cell r="H240" t="str">
            <v>Biaya Operasional - Penggantian dana talangan</v>
          </cell>
          <cell r="I240">
            <v>500000000</v>
          </cell>
          <cell r="J240">
            <v>0</v>
          </cell>
          <cell r="K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500000000</v>
          </cell>
          <cell r="Q240">
            <v>46083</v>
          </cell>
        </row>
        <row r="241">
          <cell r="B241" t="str">
            <v>108/K/II/26</v>
          </cell>
          <cell r="C241">
            <v>46080</v>
          </cell>
          <cell r="E241" t="str">
            <v>PT BENAYA AMB MANDIRI</v>
          </cell>
          <cell r="F241" t="str">
            <v>11/BAM-MAR/INV/II/2026</v>
          </cell>
          <cell r="G241" t="str">
            <v>660/OPS-II/2026</v>
          </cell>
          <cell r="H241" t="str">
            <v>Solar HSD TB Emperor 1 Voyage BFOL-008</v>
          </cell>
          <cell r="I241">
            <v>237837838</v>
          </cell>
          <cell r="J241">
            <v>26162162</v>
          </cell>
          <cell r="K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264000000</v>
          </cell>
          <cell r="Q241">
            <v>46083</v>
          </cell>
        </row>
        <row r="242">
          <cell r="B242" t="str">
            <v>109/K/II/26</v>
          </cell>
          <cell r="C242">
            <v>46078</v>
          </cell>
          <cell r="E242" t="str">
            <v>ZULFADHLI JUSUF</v>
          </cell>
          <cell r="H242" t="str">
            <v>Buka puasa bersama dengan Pak Deo ( PT Dizamatra Powerindo )</v>
          </cell>
          <cell r="I242">
            <v>910800</v>
          </cell>
          <cell r="J242">
            <v>0</v>
          </cell>
          <cell r="K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910800</v>
          </cell>
          <cell r="Q242">
            <v>46087</v>
          </cell>
        </row>
        <row r="243">
          <cell r="B243" t="str">
            <v>110/K/II/26</v>
          </cell>
          <cell r="C243">
            <v>46055</v>
          </cell>
          <cell r="E243" t="str">
            <v>CREW MICHELLE 219-08 / ANGELINE 219-08</v>
          </cell>
          <cell r="G243" t="str">
            <v>037/PV-MAR/2026</v>
          </cell>
          <cell r="H243" t="str">
            <v>Pembayaran kembali ( Gaji crew a.n Zulkarnaen )</v>
          </cell>
          <cell r="I243">
            <v>4533333</v>
          </cell>
          <cell r="J243">
            <v>0</v>
          </cell>
          <cell r="K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4533333</v>
          </cell>
          <cell r="Q243">
            <v>46087</v>
          </cell>
        </row>
        <row r="244">
          <cell r="P244">
            <v>0</v>
          </cell>
        </row>
        <row r="245">
          <cell r="B245" t="str">
            <v>001/K/III/26</v>
          </cell>
          <cell r="C245">
            <v>46083</v>
          </cell>
          <cell r="E245" t="str">
            <v>DIRJEN PAJAK</v>
          </cell>
          <cell r="G245" t="str">
            <v>095/PV-MAR/2026</v>
          </cell>
          <cell r="H245" t="str">
            <v>Pembayaran PPN periode Januari 2026</v>
          </cell>
          <cell r="I245">
            <v>1136537241</v>
          </cell>
          <cell r="J245">
            <v>0</v>
          </cell>
          <cell r="K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1136537241</v>
          </cell>
          <cell r="Q245">
            <v>46084</v>
          </cell>
        </row>
        <row r="246">
          <cell r="B246" t="str">
            <v>002/K/III/26</v>
          </cell>
          <cell r="C246">
            <v>46084</v>
          </cell>
          <cell r="E246" t="str">
            <v>PT BENAYA AMB MANDIRI</v>
          </cell>
          <cell r="F246" t="str">
            <v>14/BAM-MAR/INV/II/2026</v>
          </cell>
          <cell r="G246" t="str">
            <v>658/OPS-II/2026</v>
          </cell>
          <cell r="H246" t="str">
            <v>Solar HSD TB Michelle XV Voyage 134L</v>
          </cell>
          <cell r="I246">
            <v>713513514</v>
          </cell>
          <cell r="J246">
            <v>78486486</v>
          </cell>
          <cell r="K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792000000</v>
          </cell>
          <cell r="Q246">
            <v>46084</v>
          </cell>
        </row>
        <row r="247">
          <cell r="B247" t="str">
            <v>003/K/III/26</v>
          </cell>
          <cell r="C247">
            <v>46084</v>
          </cell>
          <cell r="E247" t="str">
            <v>ARLAN</v>
          </cell>
          <cell r="G247" t="str">
            <v>096/PV-MAR/2026</v>
          </cell>
          <cell r="H247" t="str">
            <v>Biaya operasional di PLTU Jetty Asam-asam s.d Maret 2025</v>
          </cell>
          <cell r="I247">
            <v>277330787</v>
          </cell>
          <cell r="J247">
            <v>0</v>
          </cell>
          <cell r="K247">
            <v>0</v>
          </cell>
          <cell r="M247">
            <v>0</v>
          </cell>
          <cell r="N247">
            <v>15000</v>
          </cell>
          <cell r="O247">
            <v>0</v>
          </cell>
          <cell r="P247">
            <v>277345787</v>
          </cell>
          <cell r="Q247">
            <v>46084</v>
          </cell>
        </row>
        <row r="248">
          <cell r="B248" t="str">
            <v>004/K/III/26</v>
          </cell>
          <cell r="C248">
            <v>46084</v>
          </cell>
          <cell r="E248" t="str">
            <v>FIKI</v>
          </cell>
          <cell r="G248" t="str">
            <v>097/PV-MAR/2026</v>
          </cell>
          <cell r="H248" t="str">
            <v>Biaya operasional di PLTU Jetty Kintap s.d Mei 2025</v>
          </cell>
          <cell r="I248">
            <v>115182054</v>
          </cell>
          <cell r="J248">
            <v>0</v>
          </cell>
          <cell r="K248">
            <v>0</v>
          </cell>
          <cell r="M248">
            <v>0</v>
          </cell>
          <cell r="N248">
            <v>2500</v>
          </cell>
          <cell r="O248">
            <v>0</v>
          </cell>
          <cell r="P248">
            <v>115184554</v>
          </cell>
          <cell r="Q248">
            <v>46084</v>
          </cell>
        </row>
        <row r="249">
          <cell r="B249" t="str">
            <v>005/K/III/26</v>
          </cell>
          <cell r="C249">
            <v>46084</v>
          </cell>
          <cell r="E249" t="str">
            <v>PT BENAYA AMB MANDIRI</v>
          </cell>
          <cell r="F249" t="str">
            <v>15/BAM-MAR/INV/II/2026</v>
          </cell>
          <cell r="G249" t="str">
            <v>659/OPS-II/2026</v>
          </cell>
          <cell r="H249" t="str">
            <v>Solar HSD TB Emperor 2 Voyage BFOL-009</v>
          </cell>
          <cell r="I249">
            <v>237837838</v>
          </cell>
          <cell r="J249">
            <v>26162162</v>
          </cell>
          <cell r="K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264000000</v>
          </cell>
          <cell r="Q249">
            <v>46084</v>
          </cell>
        </row>
        <row r="250">
          <cell r="B250" t="str">
            <v>006/K/III/26</v>
          </cell>
          <cell r="C250">
            <v>46084</v>
          </cell>
          <cell r="E250" t="str">
            <v>PUJIONO</v>
          </cell>
          <cell r="G250" t="str">
            <v>098/PV-MAR/2026</v>
          </cell>
          <cell r="H250" t="str">
            <v>DP BBN Motor Kawasaki B 4659 TYG a.n Zulfadli Yusuf menjadi a.n PT MAR</v>
          </cell>
          <cell r="I250">
            <v>3871600</v>
          </cell>
          <cell r="J250">
            <v>0</v>
          </cell>
          <cell r="K250">
            <v>0</v>
          </cell>
          <cell r="M250">
            <v>0</v>
          </cell>
          <cell r="N250">
            <v>2500</v>
          </cell>
          <cell r="O250">
            <v>0</v>
          </cell>
          <cell r="P250">
            <v>3874100</v>
          </cell>
          <cell r="Q250">
            <v>46084</v>
          </cell>
        </row>
        <row r="251">
          <cell r="B251" t="str">
            <v>007/K/III/26</v>
          </cell>
          <cell r="C251">
            <v>46084</v>
          </cell>
          <cell r="E251" t="str">
            <v>PUJIONO</v>
          </cell>
          <cell r="G251" t="str">
            <v>099/PV-MAR/2026</v>
          </cell>
          <cell r="H251" t="str">
            <v>DP Perpanjang pajak mobil Alphard B 2677 SMC</v>
          </cell>
          <cell r="I251">
            <v>17550420</v>
          </cell>
          <cell r="J251">
            <v>0</v>
          </cell>
          <cell r="K251">
            <v>0</v>
          </cell>
          <cell r="M251">
            <v>0</v>
          </cell>
          <cell r="N251">
            <v>2500</v>
          </cell>
          <cell r="O251">
            <v>0</v>
          </cell>
          <cell r="P251">
            <v>17552920</v>
          </cell>
          <cell r="Q251">
            <v>46084</v>
          </cell>
        </row>
        <row r="252">
          <cell r="B252" t="str">
            <v>008/K/III/26</v>
          </cell>
          <cell r="C252">
            <v>46084</v>
          </cell>
          <cell r="E252" t="str">
            <v>DIMSUM INC FESTIVAL</v>
          </cell>
          <cell r="H252" t="str">
            <v>Entertainment PT Mitrabahtera Segara Sejati</v>
          </cell>
          <cell r="I252">
            <v>3047860</v>
          </cell>
          <cell r="J252">
            <v>0</v>
          </cell>
          <cell r="K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3047860</v>
          </cell>
          <cell r="Q252">
            <v>46086</v>
          </cell>
        </row>
        <row r="253">
          <cell r="B253" t="str">
            <v>009/K/III/26</v>
          </cell>
          <cell r="C253">
            <v>46085</v>
          </cell>
          <cell r="E253" t="str">
            <v>SENTOSA SEAFOOD</v>
          </cell>
          <cell r="H253" t="str">
            <v>Buka bersama PT Transcoal Pacific Tbk</v>
          </cell>
          <cell r="I253">
            <v>5619100</v>
          </cell>
          <cell r="J253">
            <v>0</v>
          </cell>
          <cell r="K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5619100</v>
          </cell>
          <cell r="Q253">
            <v>46087</v>
          </cell>
        </row>
        <row r="254">
          <cell r="B254" t="str">
            <v>010/K/III/26</v>
          </cell>
          <cell r="C254">
            <v>46086</v>
          </cell>
          <cell r="E254" t="str">
            <v>INDOMARET</v>
          </cell>
          <cell r="H254" t="str">
            <v>Pembelian Voucher Belanja di Indomaret</v>
          </cell>
          <cell r="I254">
            <v>5000000</v>
          </cell>
          <cell r="J254">
            <v>0</v>
          </cell>
          <cell r="K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5000000</v>
          </cell>
          <cell r="Q254">
            <v>46087</v>
          </cell>
        </row>
        <row r="255">
          <cell r="B255" t="str">
            <v>011/K/III/26</v>
          </cell>
          <cell r="C255">
            <v>46085</v>
          </cell>
          <cell r="D255" t="str">
            <v>2600SCXAJ</v>
          </cell>
          <cell r="E255" t="str">
            <v>PT ANDALAN LANCAR NIAGA</v>
          </cell>
          <cell r="F255" t="str">
            <v>00029/ALN-INV/II/2026</v>
          </cell>
          <cell r="G255" t="str">
            <v>102/PV-MAR/2026</v>
          </cell>
          <cell r="H255" t="str">
            <v xml:space="preserve">Biaya Time Charter TB Michelle XV / BG Benami XV Periode 25 Februari - 24 Maret 2026 </v>
          </cell>
          <cell r="I255">
            <v>950000000</v>
          </cell>
          <cell r="J255">
            <v>0</v>
          </cell>
          <cell r="K255">
            <v>15</v>
          </cell>
          <cell r="M255">
            <v>-11400000</v>
          </cell>
          <cell r="N255">
            <v>15000</v>
          </cell>
          <cell r="O255">
            <v>0</v>
          </cell>
          <cell r="P255">
            <v>938615000</v>
          </cell>
          <cell r="Q255">
            <v>46087</v>
          </cell>
        </row>
        <row r="256">
          <cell r="B256" t="str">
            <v>012/K/III/26</v>
          </cell>
          <cell r="C256">
            <v>46085</v>
          </cell>
          <cell r="D256" t="str">
            <v>2600SCX86</v>
          </cell>
          <cell r="E256" t="str">
            <v>PT KRAKATAU SAMUDRA SOLUSI</v>
          </cell>
          <cell r="F256" t="str">
            <v>KSS.SI.260083</v>
          </cell>
          <cell r="G256" t="str">
            <v>103/PV-MAR/2026</v>
          </cell>
          <cell r="H256" t="str">
            <v>Biaya Freight Charter TB Grace 05 / BG BU 307 ( Jetty SBA - MV. Nefeli )</v>
          </cell>
          <cell r="I256">
            <v>360259296</v>
          </cell>
          <cell r="J256">
            <v>0</v>
          </cell>
          <cell r="K256">
            <v>15</v>
          </cell>
          <cell r="M256">
            <v>-4323111</v>
          </cell>
          <cell r="N256">
            <v>0</v>
          </cell>
          <cell r="O256">
            <v>-1</v>
          </cell>
          <cell r="P256">
            <v>355936184</v>
          </cell>
          <cell r="Q256">
            <v>46087</v>
          </cell>
        </row>
        <row r="257">
          <cell r="B257" t="str">
            <v>013/K/III/26</v>
          </cell>
          <cell r="C257">
            <v>46085</v>
          </cell>
          <cell r="D257" t="str">
            <v>2600SCXAG</v>
          </cell>
          <cell r="E257" t="str">
            <v>PT KRAKATAU SAMUDRA SOLUSI</v>
          </cell>
          <cell r="F257" t="str">
            <v>KSS.SI.260108</v>
          </cell>
          <cell r="G257" t="str">
            <v>104/PV-MAR/2026</v>
          </cell>
          <cell r="H257" t="str">
            <v>Biaya Freight Charter TB Cahaya Raja Anugrah / BG CRA ( Jetty SBA - MV Nefeli )</v>
          </cell>
          <cell r="I257">
            <v>365040000</v>
          </cell>
          <cell r="J257">
            <v>0</v>
          </cell>
          <cell r="K257">
            <v>15</v>
          </cell>
          <cell r="M257">
            <v>-4380480</v>
          </cell>
          <cell r="N257">
            <v>0</v>
          </cell>
          <cell r="O257">
            <v>0</v>
          </cell>
          <cell r="P257">
            <v>360659520</v>
          </cell>
          <cell r="Q257">
            <v>46090</v>
          </cell>
        </row>
        <row r="258">
          <cell r="B258" t="str">
            <v>014/K/III/26</v>
          </cell>
          <cell r="C258">
            <v>46085</v>
          </cell>
          <cell r="D258" t="str">
            <v>2600SCX9Y</v>
          </cell>
          <cell r="E258" t="str">
            <v>PT ALPHA PACIFIC LINE</v>
          </cell>
          <cell r="F258" t="str">
            <v>002/APL-F/II/2026</v>
          </cell>
          <cell r="G258" t="str">
            <v>105/PV-MAR/2026</v>
          </cell>
          <cell r="H258" t="str">
            <v>Biaya Freight Charter TB APL 5 / BG Amethyst ( Jetty SBA - MV Nefeli )</v>
          </cell>
          <cell r="I258">
            <v>364896000</v>
          </cell>
          <cell r="J258">
            <v>0</v>
          </cell>
          <cell r="K258">
            <v>15</v>
          </cell>
          <cell r="M258">
            <v>-4378752</v>
          </cell>
          <cell r="N258">
            <v>0</v>
          </cell>
          <cell r="O258">
            <v>0</v>
          </cell>
          <cell r="P258">
            <v>360517248</v>
          </cell>
          <cell r="Q258">
            <v>46090</v>
          </cell>
        </row>
        <row r="259">
          <cell r="B259" t="str">
            <v>015/K/III/26</v>
          </cell>
          <cell r="C259">
            <v>46085</v>
          </cell>
          <cell r="D259" t="str">
            <v>2600SCVHL</v>
          </cell>
          <cell r="E259" t="str">
            <v>PT IMC PELITA LOGISTIK TBK</v>
          </cell>
          <cell r="F259" t="str">
            <v>PLOG/TNBF2602/004</v>
          </cell>
          <cell r="G259" t="str">
            <v>106/PV-MAR/2026</v>
          </cell>
          <cell r="H259" t="str">
            <v>Biaya Freight Charter TB Intan Megah 2 / Dewi Fatmawati ( Jettu SBA - MV Nefeli )</v>
          </cell>
          <cell r="I259">
            <v>356440000</v>
          </cell>
          <cell r="J259">
            <v>0</v>
          </cell>
          <cell r="K259">
            <v>15</v>
          </cell>
          <cell r="M259">
            <v>-4277280</v>
          </cell>
          <cell r="N259">
            <v>15000</v>
          </cell>
          <cell r="O259">
            <v>0</v>
          </cell>
          <cell r="P259">
            <v>352177720</v>
          </cell>
          <cell r="Q259">
            <v>46090</v>
          </cell>
        </row>
        <row r="260">
          <cell r="B260" t="str">
            <v>016/K/III/26</v>
          </cell>
          <cell r="C260">
            <v>46085</v>
          </cell>
          <cell r="E260" t="str">
            <v>WEEZY COOKIES</v>
          </cell>
          <cell r="F260" t="str">
            <v>03</v>
          </cell>
          <cell r="G260" t="str">
            <v>107/PV-MAR/2026</v>
          </cell>
          <cell r="H260" t="str">
            <v>90pcs cookies (Kue Nastar, Choco Stick, Castangel, &amp; Putri Salju )</v>
          </cell>
          <cell r="I260">
            <v>8475000</v>
          </cell>
          <cell r="J260">
            <v>0</v>
          </cell>
          <cell r="K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8475000</v>
          </cell>
          <cell r="Q260">
            <v>46091</v>
          </cell>
        </row>
        <row r="261">
          <cell r="B261" t="str">
            <v>017/K/III/26</v>
          </cell>
          <cell r="C261">
            <v>46085</v>
          </cell>
          <cell r="E261" t="str">
            <v>YONI FIRDAUS WIBOWO</v>
          </cell>
          <cell r="G261" t="str">
            <v>108/PV-MAR/2026</v>
          </cell>
          <cell r="H261" t="str">
            <v>Reimbursement Pak Yoni Firdaus service motor kantor, Pembelian minyak goreng untuk santunan, dll</v>
          </cell>
          <cell r="I261">
            <v>2855250</v>
          </cell>
          <cell r="J261">
            <v>0</v>
          </cell>
          <cell r="K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2855250</v>
          </cell>
          <cell r="Q261">
            <v>46091</v>
          </cell>
        </row>
        <row r="262">
          <cell r="B262" t="str">
            <v>018/K/III/26</v>
          </cell>
          <cell r="C262">
            <v>46085</v>
          </cell>
          <cell r="E262" t="str">
            <v>YUDIANTO</v>
          </cell>
          <cell r="G262" t="str">
            <v>109/PV-MAR/2026</v>
          </cell>
          <cell r="H262" t="str">
            <v>Transport sign on / sign off master kapal Entebe Star 30 (Capt. Yudianto to Capt. Jaya Kesuma)</v>
          </cell>
          <cell r="I262">
            <v>1454400</v>
          </cell>
          <cell r="J262">
            <v>0</v>
          </cell>
          <cell r="K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1454400</v>
          </cell>
          <cell r="Q262">
            <v>46091</v>
          </cell>
        </row>
        <row r="263">
          <cell r="B263" t="str">
            <v>019/K/III/26</v>
          </cell>
          <cell r="C263">
            <v>46085</v>
          </cell>
          <cell r="E263" t="str">
            <v>HENDY KUSSUNAR ARYA</v>
          </cell>
          <cell r="G263" t="str">
            <v>110/PV-MAR/2026</v>
          </cell>
          <cell r="H263" t="str">
            <v>Travelling claim survey appraisal TB Ocean Power 21 / BG Angeline 219-05 di Kintap tanggal 27-28/02/2026</v>
          </cell>
          <cell r="I263">
            <v>5290507</v>
          </cell>
          <cell r="J263">
            <v>0</v>
          </cell>
          <cell r="K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5290507</v>
          </cell>
          <cell r="Q263">
            <v>46091</v>
          </cell>
        </row>
        <row r="264">
          <cell r="B264" t="str">
            <v>020/K/III/26</v>
          </cell>
          <cell r="C264">
            <v>46086</v>
          </cell>
          <cell r="E264" t="str">
            <v>PT PRIMA ISMAYA SEJAHTERA</v>
          </cell>
          <cell r="G264" t="str">
            <v>111/PV-MAR/2026</v>
          </cell>
          <cell r="H264" t="str">
            <v>Booking buka puasa bersama PT GPU di Semaja tanggal 11/03/2026</v>
          </cell>
          <cell r="I264">
            <v>10145850</v>
          </cell>
          <cell r="J264">
            <v>0</v>
          </cell>
          <cell r="K264">
            <v>0</v>
          </cell>
          <cell r="M264">
            <v>0</v>
          </cell>
          <cell r="N264">
            <v>2500</v>
          </cell>
          <cell r="O264">
            <v>0</v>
          </cell>
          <cell r="P264">
            <v>10148350</v>
          </cell>
          <cell r="Q264">
            <v>46091</v>
          </cell>
        </row>
        <row r="265">
          <cell r="B265" t="str">
            <v>021/K/III/26</v>
          </cell>
          <cell r="C265">
            <v>46086</v>
          </cell>
          <cell r="E265" t="str">
            <v>DIREKSI DAN STAFF</v>
          </cell>
          <cell r="G265" t="str">
            <v>112/PV-MAR/2026</v>
          </cell>
          <cell r="H265" t="str">
            <v>THR Direksi dan staff periode Maret 2026 sesuai lampiran</v>
          </cell>
          <cell r="I265">
            <v>119348333</v>
          </cell>
          <cell r="J265">
            <v>0</v>
          </cell>
          <cell r="K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119348333</v>
          </cell>
          <cell r="Q265">
            <v>46091</v>
          </cell>
        </row>
        <row r="266">
          <cell r="B266" t="str">
            <v>022/K/III/26</v>
          </cell>
          <cell r="C266">
            <v>46086</v>
          </cell>
          <cell r="D266" t="str">
            <v>2600SCVFN</v>
          </cell>
          <cell r="E266" t="str">
            <v>PT DINASTI SAMUDERA ABADI</v>
          </cell>
          <cell r="F266" t="str">
            <v>81/INV-TK/MAR-DSA/II/26</v>
          </cell>
          <cell r="G266" t="str">
            <v>113/PV-MAR/2026</v>
          </cell>
          <cell r="H266" t="str">
            <v>Biaya Freight Charter TB Emperor 1 / BG Dinasti 3001 ( Jetty RMK, Palembang - PLTU Paiton )</v>
          </cell>
          <cell r="I266">
            <v>1285436668</v>
          </cell>
          <cell r="J266">
            <v>0</v>
          </cell>
          <cell r="K266">
            <v>15</v>
          </cell>
          <cell r="M266">
            <v>-15425240</v>
          </cell>
          <cell r="N266">
            <v>15000</v>
          </cell>
          <cell r="O266">
            <v>-1</v>
          </cell>
          <cell r="P266">
            <v>1270026427</v>
          </cell>
          <cell r="Q266">
            <v>46091</v>
          </cell>
        </row>
        <row r="267">
          <cell r="B267" t="str">
            <v>022/K/III/26</v>
          </cell>
          <cell r="C267">
            <v>46086</v>
          </cell>
          <cell r="D267" t="str">
            <v>2600SCVFN</v>
          </cell>
          <cell r="E267" t="str">
            <v>PT DINASTI SAMUDERA ABADI</v>
          </cell>
          <cell r="F267" t="str">
            <v>081/MAR-DSA/II/2026</v>
          </cell>
          <cell r="G267" t="str">
            <v>113/PV-MAR/2026</v>
          </cell>
          <cell r="H267" t="str">
            <v>Bunker TB Emperor 1 / BG Dinasti 3001</v>
          </cell>
          <cell r="I267">
            <v>-180000000</v>
          </cell>
          <cell r="J267">
            <v>0</v>
          </cell>
          <cell r="K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-180000000</v>
          </cell>
          <cell r="Q267">
            <v>46091</v>
          </cell>
        </row>
        <row r="268">
          <cell r="B268" t="str">
            <v>023/K/III/26</v>
          </cell>
          <cell r="C268">
            <v>46086</v>
          </cell>
          <cell r="D268" t="str">
            <v>2600SCVEE</v>
          </cell>
          <cell r="E268" t="str">
            <v>PT ADHI GUNA PUTERA (PAITON)</v>
          </cell>
          <cell r="F268" t="str">
            <v>K0029/INV-PTN/I/2026, K0029A/INV-PTN/I/2026</v>
          </cell>
          <cell r="G268" t="str">
            <v>652/OPS-II/2026</v>
          </cell>
          <cell r="H268" t="str">
            <v>Clearance In / Out TB Michelle XV / BG Benami XV Voyage 125D</v>
          </cell>
          <cell r="I268">
            <v>11759261</v>
          </cell>
          <cell r="J268">
            <v>220000</v>
          </cell>
          <cell r="K268">
            <v>23</v>
          </cell>
          <cell r="M268">
            <v>-50000</v>
          </cell>
          <cell r="N268">
            <v>2500</v>
          </cell>
          <cell r="O268">
            <v>-4000</v>
          </cell>
          <cell r="P268">
            <v>11927761</v>
          </cell>
          <cell r="Q268">
            <v>46091</v>
          </cell>
        </row>
        <row r="269">
          <cell r="B269" t="str">
            <v>024/K/III/26</v>
          </cell>
          <cell r="C269">
            <v>46087</v>
          </cell>
          <cell r="D269" t="str">
            <v>2600SCVIN</v>
          </cell>
          <cell r="E269" t="str">
            <v>PT AGENCY PELAYARAN INDONESIA</v>
          </cell>
          <cell r="F269" t="str">
            <v>INV-004/KTP-LTR/MAR/XII/2025</v>
          </cell>
          <cell r="G269" t="str">
            <v>655/OPS-II/2026</v>
          </cell>
          <cell r="H269" t="str">
            <v>Keagenan TB Michelle XV / BG Benami XV Voyage 121L</v>
          </cell>
          <cell r="I269">
            <v>11819668</v>
          </cell>
          <cell r="J269">
            <v>385000</v>
          </cell>
          <cell r="K269">
            <v>23</v>
          </cell>
          <cell r="M269">
            <v>-70000</v>
          </cell>
          <cell r="N269">
            <v>0</v>
          </cell>
          <cell r="O269">
            <v>0</v>
          </cell>
          <cell r="P269">
            <v>12134668</v>
          </cell>
          <cell r="Q269">
            <v>46091</v>
          </cell>
        </row>
        <row r="270">
          <cell r="B270" t="str">
            <v>025/K/III/26</v>
          </cell>
          <cell r="C270">
            <v>46086</v>
          </cell>
          <cell r="D270" t="str">
            <v>2600SCVGZ</v>
          </cell>
          <cell r="E270" t="str">
            <v>PT CAHAYA SAMODERA BERSAUDARA</v>
          </cell>
          <cell r="F270" t="str">
            <v>CSB/INV/PLMCS/26/02964</v>
          </cell>
          <cell r="G270" t="str">
            <v>649/OPS-II/2026</v>
          </cell>
          <cell r="H270" t="str">
            <v>Boat Charge TB Michelle 219-08</v>
          </cell>
          <cell r="I270">
            <v>300000</v>
          </cell>
          <cell r="J270">
            <v>33000</v>
          </cell>
          <cell r="K270">
            <v>23</v>
          </cell>
          <cell r="M270">
            <v>-6000</v>
          </cell>
          <cell r="N270">
            <v>6500</v>
          </cell>
          <cell r="O270">
            <v>0</v>
          </cell>
          <cell r="P270">
            <v>333500</v>
          </cell>
          <cell r="Q270">
            <v>46091</v>
          </cell>
        </row>
        <row r="271">
          <cell r="B271" t="str">
            <v>025/K/III/26</v>
          </cell>
          <cell r="C271">
            <v>46086</v>
          </cell>
          <cell r="E271" t="str">
            <v>PT CAHAYA SAMODERA BERSAUDARA</v>
          </cell>
          <cell r="F271" t="str">
            <v>CSB/INV/PLMCS/26/02963</v>
          </cell>
          <cell r="G271" t="str">
            <v>650/OPS-II/2026</v>
          </cell>
          <cell r="H271" t="str">
            <v>Rimula R2 10W TB Michelle 219-08</v>
          </cell>
          <cell r="I271">
            <v>2400000</v>
          </cell>
          <cell r="J271">
            <v>0</v>
          </cell>
          <cell r="K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2400000</v>
          </cell>
          <cell r="Q271">
            <v>46091</v>
          </cell>
        </row>
        <row r="272">
          <cell r="B272" t="str">
            <v>025/K/III/26</v>
          </cell>
          <cell r="C272">
            <v>46086</v>
          </cell>
          <cell r="E272" t="str">
            <v>PT CAHAYA SAMODERA BERSAUDARA</v>
          </cell>
          <cell r="F272" t="str">
            <v>CSB/INV/PLMCS/26/02944</v>
          </cell>
          <cell r="G272" t="str">
            <v>653/OPS-II/2026</v>
          </cell>
          <cell r="H272" t="str">
            <v>Sirius S4 15W-40 1*209L TB Surya Segara 3</v>
          </cell>
          <cell r="I272">
            <v>21300000</v>
          </cell>
          <cell r="K272">
            <v>0</v>
          </cell>
          <cell r="M272">
            <v>0</v>
          </cell>
          <cell r="P272">
            <v>21300000</v>
          </cell>
          <cell r="Q272">
            <v>46091</v>
          </cell>
        </row>
        <row r="273">
          <cell r="B273" t="str">
            <v>025/K/III/26</v>
          </cell>
          <cell r="C273">
            <v>46086</v>
          </cell>
          <cell r="E273" t="str">
            <v>PT CAHAYA SAMODERA BERSAUDARA</v>
          </cell>
          <cell r="F273" t="str">
            <v>CSB/INV/PLMCS/26/02945</v>
          </cell>
          <cell r="G273" t="str">
            <v>654/OPS-II/2026</v>
          </cell>
          <cell r="H273" t="str">
            <v>Agency Fee TB Entebe Star 30 / BG Finacia 71 Voyage 123L</v>
          </cell>
          <cell r="I273">
            <v>950000</v>
          </cell>
          <cell r="J273">
            <v>104500</v>
          </cell>
          <cell r="K273">
            <v>23</v>
          </cell>
          <cell r="M273">
            <v>-19000</v>
          </cell>
          <cell r="N273">
            <v>0</v>
          </cell>
          <cell r="O273">
            <v>0</v>
          </cell>
          <cell r="P273">
            <v>1035500</v>
          </cell>
          <cell r="Q273">
            <v>46091</v>
          </cell>
        </row>
        <row r="274">
          <cell r="B274" t="str">
            <v>026/K/III/26</v>
          </cell>
          <cell r="C274">
            <v>46087</v>
          </cell>
          <cell r="D274" t="str">
            <v>2600SCVHF</v>
          </cell>
          <cell r="E274" t="str">
            <v>PT PELAYARAN BARITO DUTA SARANA</v>
          </cell>
          <cell r="F274" t="str">
            <v>274/BDS-S/BJM/INV/XII/2025, 274/BDS-S/BJM/DEBIT NOTE/XII/2025</v>
          </cell>
          <cell r="G274" t="str">
            <v>598/OPS-XII/2025</v>
          </cell>
          <cell r="H274" t="str">
            <v>Boat Charge TB Surya Segara 3</v>
          </cell>
          <cell r="I274">
            <v>51658674</v>
          </cell>
          <cell r="J274">
            <v>275000</v>
          </cell>
          <cell r="K274">
            <v>23</v>
          </cell>
          <cell r="M274">
            <v>-50000</v>
          </cell>
          <cell r="N274">
            <v>0</v>
          </cell>
          <cell r="O274">
            <v>0</v>
          </cell>
          <cell r="P274">
            <v>51883674</v>
          </cell>
          <cell r="Q274">
            <v>46091</v>
          </cell>
        </row>
        <row r="275">
          <cell r="B275" t="str">
            <v>026/K/III/26</v>
          </cell>
          <cell r="C275">
            <v>46087</v>
          </cell>
          <cell r="D275" t="str">
            <v>2600SCVIK</v>
          </cell>
          <cell r="E275" t="str">
            <v>PT PELAYARAN BARITO DUTA SARANA</v>
          </cell>
          <cell r="F275" t="str">
            <v>275/BDS-S/BJM/INV/XII/2025, 275/BDS-S/BJM/DEBIT NOTE/XII/2025</v>
          </cell>
          <cell r="G275" t="str">
            <v>599/OPS-XII/2025</v>
          </cell>
          <cell r="H275" t="str">
            <v>Agency Fee TB APL 7 / BG Baiduri 70273 Voyage 119L</v>
          </cell>
          <cell r="I275">
            <v>103969422</v>
          </cell>
          <cell r="J275">
            <v>330000</v>
          </cell>
          <cell r="K275">
            <v>23</v>
          </cell>
          <cell r="M275">
            <v>-60000</v>
          </cell>
          <cell r="N275">
            <v>0</v>
          </cell>
          <cell r="O275">
            <v>0</v>
          </cell>
          <cell r="P275">
            <v>104239422</v>
          </cell>
          <cell r="Q275">
            <v>46091</v>
          </cell>
        </row>
        <row r="276">
          <cell r="B276" t="str">
            <v>027/K/III/26</v>
          </cell>
          <cell r="C276">
            <v>46087</v>
          </cell>
          <cell r="E276" t="str">
            <v>2 SAUDARA TEKNIK</v>
          </cell>
          <cell r="G276" t="str">
            <v>677/OPS-III/2026</v>
          </cell>
          <cell r="H276" t="str">
            <v>Cuci AC TB Entebe 30</v>
          </cell>
          <cell r="I276">
            <v>1510000</v>
          </cell>
          <cell r="J276">
            <v>0</v>
          </cell>
          <cell r="K276">
            <v>0</v>
          </cell>
          <cell r="M276">
            <v>0</v>
          </cell>
          <cell r="N276">
            <v>2500</v>
          </cell>
          <cell r="O276">
            <v>0</v>
          </cell>
          <cell r="P276">
            <v>1512500</v>
          </cell>
          <cell r="Q276">
            <v>46091</v>
          </cell>
        </row>
        <row r="277">
          <cell r="B277" t="str">
            <v>028/K/III/26</v>
          </cell>
          <cell r="C277">
            <v>46087</v>
          </cell>
          <cell r="E277" t="str">
            <v>RIZAL</v>
          </cell>
          <cell r="F277" t="str">
            <v>873/PP/BG.FINANCIA 71/MR/I/2026</v>
          </cell>
          <cell r="G277" t="str">
            <v>675/OPS-III/2026</v>
          </cell>
          <cell r="H277" t="str">
            <v>Replating sideboard BG FINACIA 71 Voyage 138L</v>
          </cell>
          <cell r="I277">
            <v>5500000</v>
          </cell>
          <cell r="J277">
            <v>0</v>
          </cell>
          <cell r="K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5500000</v>
          </cell>
          <cell r="Q277">
            <v>46091</v>
          </cell>
        </row>
        <row r="278">
          <cell r="B278" t="str">
            <v>029/K/III/26</v>
          </cell>
          <cell r="C278">
            <v>46087</v>
          </cell>
          <cell r="E278" t="str">
            <v>ACHMAD TOHA</v>
          </cell>
          <cell r="G278" t="str">
            <v>114/PV-MAR/2026</v>
          </cell>
          <cell r="H278" t="str">
            <v>25 pack nasi berbuka puasa &amp; 50 pck takjil periode 06/03 s.d 19/03 2026 (15 hari)</v>
          </cell>
          <cell r="I278">
            <v>14000000</v>
          </cell>
          <cell r="J278">
            <v>0</v>
          </cell>
          <cell r="K278">
            <v>0</v>
          </cell>
          <cell r="M278">
            <v>0</v>
          </cell>
          <cell r="N278">
            <v>2500</v>
          </cell>
          <cell r="O278">
            <v>0</v>
          </cell>
          <cell r="P278">
            <v>14002500</v>
          </cell>
          <cell r="Q278">
            <v>46091</v>
          </cell>
        </row>
        <row r="279">
          <cell r="B279" t="str">
            <v>030/K/III/26</v>
          </cell>
          <cell r="C279">
            <v>46087</v>
          </cell>
          <cell r="E279" t="str">
            <v>TRI HANDOYO</v>
          </cell>
          <cell r="G279" t="str">
            <v>115/PV-MAR/2026</v>
          </cell>
          <cell r="H279" t="str">
            <v>Pembelian sembako bingkisan PT MAR berbagi - 1447 H/2026 M</v>
          </cell>
          <cell r="I279">
            <v>14834760</v>
          </cell>
          <cell r="J279">
            <v>0</v>
          </cell>
          <cell r="K279">
            <v>0</v>
          </cell>
          <cell r="M279">
            <v>0</v>
          </cell>
          <cell r="N279">
            <v>2500</v>
          </cell>
          <cell r="O279">
            <v>0</v>
          </cell>
          <cell r="P279">
            <v>14837260</v>
          </cell>
          <cell r="Q279">
            <v>46091</v>
          </cell>
        </row>
        <row r="280">
          <cell r="B280" t="str">
            <v>031/K/III/26</v>
          </cell>
          <cell r="C280">
            <v>46089</v>
          </cell>
          <cell r="E280" t="str">
            <v>TUGU KUNSTKRING PALEIS</v>
          </cell>
          <cell r="G280" t="str">
            <v>116/PV-MAR/2026</v>
          </cell>
          <cell r="H280" t="str">
            <v>DP buka puasa bersama PT Dizamatra Powerindo di Tugu Kunstkring Paleis tanggal 09/03/26</v>
          </cell>
          <cell r="I280">
            <v>3000000</v>
          </cell>
          <cell r="J280">
            <v>0</v>
          </cell>
          <cell r="K280">
            <v>0</v>
          </cell>
          <cell r="M280">
            <v>0</v>
          </cell>
          <cell r="N280">
            <v>2500</v>
          </cell>
          <cell r="O280">
            <v>0</v>
          </cell>
          <cell r="P280">
            <v>3002500</v>
          </cell>
          <cell r="Q280">
            <v>46092</v>
          </cell>
        </row>
        <row r="281">
          <cell r="B281" t="str">
            <v>032/K/III/26</v>
          </cell>
          <cell r="C281">
            <v>46090</v>
          </cell>
          <cell r="E281" t="str">
            <v>TUGU KUNSTKRING PALEIS</v>
          </cell>
          <cell r="H281" t="str">
            <v>Pelunasan buka puasa bersama PT Dizamatra Powerindo di Tugu Kunstkring Paleis tanggal 09/03/26</v>
          </cell>
          <cell r="I281">
            <v>7905510</v>
          </cell>
          <cell r="J281">
            <v>0</v>
          </cell>
          <cell r="K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7905510</v>
          </cell>
          <cell r="Q281">
            <v>46092</v>
          </cell>
        </row>
        <row r="282">
          <cell r="B282" t="str">
            <v>033/K/III/26</v>
          </cell>
          <cell r="C282">
            <v>46090</v>
          </cell>
          <cell r="D282" t="str">
            <v>2600UO8B2</v>
          </cell>
          <cell r="E282" t="str">
            <v>PT SURVEYOR INDONESIA</v>
          </cell>
          <cell r="F282" t="str">
            <v>INT-INV-2503-0468</v>
          </cell>
          <cell r="G282" t="str">
            <v>117/PV-MAR/2026</v>
          </cell>
          <cell r="H282" t="str">
            <v>Jasa Vetting Inspection for TB Michelle 219-08 / BG Angeline 219-08</v>
          </cell>
          <cell r="I282">
            <v>20000000</v>
          </cell>
          <cell r="J282">
            <v>2200000</v>
          </cell>
          <cell r="K282">
            <v>23</v>
          </cell>
          <cell r="M282">
            <v>-380000</v>
          </cell>
          <cell r="N282">
            <v>0</v>
          </cell>
          <cell r="O282">
            <v>0</v>
          </cell>
          <cell r="P282">
            <v>21820000</v>
          </cell>
          <cell r="Q282">
            <v>46092</v>
          </cell>
        </row>
        <row r="283">
          <cell r="B283" t="str">
            <v>034/K/III/26</v>
          </cell>
          <cell r="C283">
            <v>46085</v>
          </cell>
          <cell r="E283" t="str">
            <v>PT ADIKARYA BAHARI GEMILANG</v>
          </cell>
          <cell r="F283" t="str">
            <v>020/INV/ABG-MAR/II/2025-DP</v>
          </cell>
          <cell r="G283" t="str">
            <v>100/PV-MAR/2026</v>
          </cell>
          <cell r="H283" t="str">
            <v>Biaya Freight Charter TB Cipta 2001 / BG Satria 3001 ( Jetty Gruimbang - Tarjun ) DP</v>
          </cell>
          <cell r="I283">
            <v>542500000</v>
          </cell>
          <cell r="J283">
            <v>0</v>
          </cell>
          <cell r="K283">
            <v>0</v>
          </cell>
          <cell r="M283">
            <v>0</v>
          </cell>
          <cell r="N283">
            <v>15000</v>
          </cell>
          <cell r="O283">
            <v>0</v>
          </cell>
          <cell r="P283">
            <v>542515000</v>
          </cell>
          <cell r="Q283">
            <v>46092</v>
          </cell>
        </row>
        <row r="284">
          <cell r="B284" t="str">
            <v>035/K/III/26</v>
          </cell>
          <cell r="C284">
            <v>46090</v>
          </cell>
          <cell r="E284" t="str">
            <v>BINA SARANA INFORMATIKA</v>
          </cell>
          <cell r="F284" t="str">
            <v>060.02/Y-BSI/II/2026</v>
          </cell>
          <cell r="G284" t="str">
            <v>119/PV-MAR/2026</v>
          </cell>
          <cell r="H284" t="str">
            <v>Pembayaran parkir member 2 unit mobil &amp; 7 unit motor periode 10/03 s.d 09/04 2026</v>
          </cell>
          <cell r="I284">
            <v>3300000</v>
          </cell>
          <cell r="J284">
            <v>0</v>
          </cell>
          <cell r="K284">
            <v>0</v>
          </cell>
          <cell r="M284">
            <v>0</v>
          </cell>
          <cell r="N284">
            <v>2500</v>
          </cell>
          <cell r="O284">
            <v>0</v>
          </cell>
          <cell r="P284">
            <v>3302500</v>
          </cell>
          <cell r="Q284">
            <v>46092</v>
          </cell>
        </row>
        <row r="285">
          <cell r="B285" t="str">
            <v>036/K/III/26</v>
          </cell>
          <cell r="C285">
            <v>46090</v>
          </cell>
          <cell r="E285" t="str">
            <v>DIRJEN PAJAK</v>
          </cell>
          <cell r="G285" t="str">
            <v>120/PV-MAR/2026</v>
          </cell>
          <cell r="H285" t="str">
            <v>STP telat bayar PPN periode Oktober 2025</v>
          </cell>
          <cell r="I285">
            <v>27510331</v>
          </cell>
          <cell r="J285">
            <v>0</v>
          </cell>
          <cell r="K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27510331</v>
          </cell>
          <cell r="Q285">
            <v>46092</v>
          </cell>
        </row>
        <row r="286">
          <cell r="B286" t="str">
            <v>037/K/III/26</v>
          </cell>
          <cell r="C286">
            <v>46091</v>
          </cell>
          <cell r="D286" t="str">
            <v>2600XKT6X</v>
          </cell>
          <cell r="E286" t="str">
            <v>PT DINASTI SAMUDERA ABADI</v>
          </cell>
          <cell r="F286" t="str">
            <v>41/INV-TK/MAR-DSA/II/26</v>
          </cell>
          <cell r="G286" t="str">
            <v>121/PV-MAR/2026</v>
          </cell>
          <cell r="H286" t="str">
            <v>Biaya Freight Charter TB Emperor 2 / BG Dinasti 3002 ( Jetty RMK Palembang - PLTU Paiton )</v>
          </cell>
          <cell r="I286">
            <v>1271624552</v>
          </cell>
          <cell r="J286">
            <v>0</v>
          </cell>
          <cell r="K286">
            <v>15</v>
          </cell>
          <cell r="M286">
            <v>-15259495</v>
          </cell>
          <cell r="N286">
            <v>15000</v>
          </cell>
          <cell r="O286">
            <v>0</v>
          </cell>
          <cell r="P286">
            <v>1256380057</v>
          </cell>
          <cell r="Q286">
            <v>46092</v>
          </cell>
        </row>
        <row r="287">
          <cell r="B287" t="str">
            <v>037/K/III/26</v>
          </cell>
          <cell r="C287">
            <v>46091</v>
          </cell>
          <cell r="E287" t="str">
            <v>PT DINASTI SAMUDERA ABADI</v>
          </cell>
          <cell r="F287" t="str">
            <v>DN 041/MAR-DSA/II/2026</v>
          </cell>
          <cell r="G287" t="str">
            <v>121/PV-MAR/2026</v>
          </cell>
          <cell r="H287" t="str">
            <v>Bunker 20K TB Emperor 2</v>
          </cell>
          <cell r="I287">
            <v>-180000000</v>
          </cell>
          <cell r="K287">
            <v>0</v>
          </cell>
          <cell r="M287">
            <v>0</v>
          </cell>
          <cell r="P287">
            <v>-180000000</v>
          </cell>
          <cell r="Q287">
            <v>46092</v>
          </cell>
        </row>
        <row r="288">
          <cell r="B288" t="str">
            <v>038/K/III/26</v>
          </cell>
          <cell r="C288">
            <v>46091</v>
          </cell>
          <cell r="D288" t="str">
            <v>2600XKT75</v>
          </cell>
          <cell r="E288" t="str">
            <v>PT KRAKATAU SAMUDRA SOLUSI</v>
          </cell>
          <cell r="F288" t="str">
            <v>KSS.SI.260070</v>
          </cell>
          <cell r="G288" t="str">
            <v>122/PV-MAR/2026</v>
          </cell>
          <cell r="H288" t="str">
            <v>Biaya Freight Charter TB Trans Permata 6 / BG Bold Ocean 1 ( Jetty RMK - Paiton )</v>
          </cell>
          <cell r="I288">
            <v>1435703890</v>
          </cell>
          <cell r="J288">
            <v>0</v>
          </cell>
          <cell r="K288">
            <v>15</v>
          </cell>
          <cell r="M288">
            <v>-17228446.68</v>
          </cell>
          <cell r="N288">
            <v>0</v>
          </cell>
          <cell r="O288">
            <v>0</v>
          </cell>
          <cell r="P288">
            <v>1418475443.3199999</v>
          </cell>
          <cell r="Q288">
            <v>46092</v>
          </cell>
        </row>
        <row r="289">
          <cell r="B289" t="str">
            <v>039/K/III/26</v>
          </cell>
          <cell r="C289">
            <v>46091</v>
          </cell>
          <cell r="D289" t="str">
            <v>2600XKT6Z</v>
          </cell>
          <cell r="E289" t="str">
            <v>PT AMERTA LINTAS NUSANTARA</v>
          </cell>
          <cell r="F289" t="str">
            <v>007-INV/CAB/ALN-MAR/II/26</v>
          </cell>
          <cell r="G289" t="str">
            <v>123/PV-MAR/2026</v>
          </cell>
          <cell r="H289" t="str">
            <v>Biaya Freight Charter TB Amerta 001 / BG Amertha 8001 ( Jetty RMK - Paiton )</v>
          </cell>
          <cell r="I289">
            <v>1279590000</v>
          </cell>
          <cell r="J289">
            <v>0</v>
          </cell>
          <cell r="K289">
            <v>15</v>
          </cell>
          <cell r="M289">
            <v>-15355080</v>
          </cell>
          <cell r="N289">
            <v>15000</v>
          </cell>
          <cell r="O289">
            <v>0</v>
          </cell>
          <cell r="P289">
            <v>1264249920</v>
          </cell>
          <cell r="Q289">
            <v>46092</v>
          </cell>
        </row>
        <row r="290">
          <cell r="B290" t="str">
            <v>040/K/III/26</v>
          </cell>
          <cell r="C290">
            <v>46091</v>
          </cell>
          <cell r="E290" t="str">
            <v>PT BENAYA AMB MANDIRI</v>
          </cell>
          <cell r="F290" t="str">
            <v>16/BAM-MAR/INV/II/2026</v>
          </cell>
          <cell r="G290" t="str">
            <v>661/OPS-II/2026</v>
          </cell>
          <cell r="H290" t="str">
            <v>Solar HSD TB Emperor 3 Voyage BFOL-010</v>
          </cell>
          <cell r="I290">
            <v>242342342</v>
          </cell>
          <cell r="J290">
            <v>26657658</v>
          </cell>
          <cell r="K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269000000</v>
          </cell>
          <cell r="Q290">
            <v>46092</v>
          </cell>
        </row>
        <row r="291">
          <cell r="B291" t="str">
            <v>041/K/III/26</v>
          </cell>
          <cell r="C291">
            <v>46091</v>
          </cell>
          <cell r="E291" t="str">
            <v>PT GLOBAL PRIME SINERGY</v>
          </cell>
          <cell r="F291" t="str">
            <v>FT-NF 017/GPS/2026</v>
          </cell>
          <cell r="G291" t="str">
            <v>664/OPS-II/2026</v>
          </cell>
          <cell r="H291" t="str">
            <v>Advan AIO N100 &amp; Printer Canon E470 TB Michelle 219-08</v>
          </cell>
          <cell r="I291">
            <v>4950000</v>
          </cell>
          <cell r="J291">
            <v>544500</v>
          </cell>
          <cell r="K291">
            <v>0</v>
          </cell>
          <cell r="M291">
            <v>0</v>
          </cell>
          <cell r="N291">
            <v>2500</v>
          </cell>
          <cell r="O291">
            <v>0</v>
          </cell>
          <cell r="P291">
            <v>5497000</v>
          </cell>
          <cell r="Q291">
            <v>46092</v>
          </cell>
        </row>
        <row r="292">
          <cell r="B292" t="str">
            <v>001/K/III/26 CAV</v>
          </cell>
          <cell r="C292">
            <v>46090</v>
          </cell>
          <cell r="E292" t="str">
            <v>MASUDI</v>
          </cell>
          <cell r="G292" t="str">
            <v>118/PV-MAR/2026</v>
          </cell>
          <cell r="H292" t="str">
            <v>Advance trip ke Palembang - Troubleshooting Gear Box Entebe Star 30</v>
          </cell>
          <cell r="I292">
            <v>5000000</v>
          </cell>
          <cell r="J292">
            <v>0</v>
          </cell>
          <cell r="K292">
            <v>0</v>
          </cell>
          <cell r="M292">
            <v>0</v>
          </cell>
          <cell r="P292">
            <v>5000000</v>
          </cell>
          <cell r="Q292">
            <v>46092</v>
          </cell>
        </row>
        <row r="293">
          <cell r="B293" t="str">
            <v>002/K/III/26 CAV</v>
          </cell>
          <cell r="C293">
            <v>46091</v>
          </cell>
          <cell r="E293" t="str">
            <v>PT MAKSINDO DIESEL UTAMA</v>
          </cell>
          <cell r="F293" t="str">
            <v>Q0058/MDU-INV/MAR/0326-IP</v>
          </cell>
          <cell r="G293" t="str">
            <v>692/OPS-III/2026</v>
          </cell>
          <cell r="H293" t="str">
            <v>Advance (DP) TB Entebe Star 30 Voyage 138L</v>
          </cell>
          <cell r="I293">
            <v>27850000</v>
          </cell>
          <cell r="J293">
            <v>0</v>
          </cell>
          <cell r="K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27850000</v>
          </cell>
          <cell r="Q293">
            <v>46092</v>
          </cell>
        </row>
        <row r="294">
          <cell r="B294" t="str">
            <v>042/K/III/26</v>
          </cell>
          <cell r="C294">
            <v>46092</v>
          </cell>
          <cell r="E294" t="str">
            <v>PT PRIMA ISMAYA SEJAHTERA</v>
          </cell>
          <cell r="H294" t="str">
            <v>Buka puasa bersama PT GPU di Semaja tanggal 11/03/2026</v>
          </cell>
          <cell r="I294">
            <v>2395800</v>
          </cell>
          <cell r="J294">
            <v>0</v>
          </cell>
          <cell r="K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2395800</v>
          </cell>
          <cell r="Q294">
            <v>46093</v>
          </cell>
        </row>
        <row r="295">
          <cell r="B295" t="str">
            <v>043/K/III/26</v>
          </cell>
          <cell r="C295">
            <v>46092</v>
          </cell>
          <cell r="E295" t="str">
            <v>PT MARITIM INDO RAYA</v>
          </cell>
          <cell r="F295" t="str">
            <v>028/PRO/MIR-MAR/III/2026</v>
          </cell>
          <cell r="G295" t="str">
            <v>690/OPS-III/2026</v>
          </cell>
          <cell r="H295" t="str">
            <v>Advance (DP) TB Michelle 219-08 Voyage 141L</v>
          </cell>
          <cell r="I295">
            <v>66458000</v>
          </cell>
          <cell r="J295">
            <v>0</v>
          </cell>
          <cell r="K295">
            <v>0</v>
          </cell>
          <cell r="M295">
            <v>0</v>
          </cell>
          <cell r="N295">
            <v>2500</v>
          </cell>
          <cell r="O295">
            <v>0</v>
          </cell>
          <cell r="P295">
            <v>66460500</v>
          </cell>
          <cell r="Q295">
            <v>46094</v>
          </cell>
        </row>
        <row r="296">
          <cell r="B296" t="str">
            <v>044/K/III/26</v>
          </cell>
          <cell r="C296">
            <v>46093</v>
          </cell>
          <cell r="D296" t="str">
            <v>26014K1E9</v>
          </cell>
          <cell r="E296" t="str">
            <v>PT SURVEYOR INDONESIA</v>
          </cell>
          <cell r="F296" t="str">
            <v>INT-INV-2503-0472</v>
          </cell>
          <cell r="G296" t="str">
            <v>691/OPS-III/2026</v>
          </cell>
          <cell r="H296" t="str">
            <v>Jasa Vetting Inspection for TB Intan Megah 17 / BG Intan Kelana 1</v>
          </cell>
          <cell r="I296">
            <v>20000000</v>
          </cell>
          <cell r="J296">
            <v>2200000</v>
          </cell>
          <cell r="K296">
            <v>23</v>
          </cell>
          <cell r="M296">
            <v>-380000</v>
          </cell>
          <cell r="N296">
            <v>0</v>
          </cell>
          <cell r="O296">
            <v>0</v>
          </cell>
          <cell r="P296">
            <v>21820000</v>
          </cell>
          <cell r="Q296">
            <v>46094</v>
          </cell>
        </row>
        <row r="297">
          <cell r="B297" t="str">
            <v>045/K/III/26</v>
          </cell>
          <cell r="C297">
            <v>46093</v>
          </cell>
          <cell r="E297" t="str">
            <v>CREW ENTEBE STAR 30 / FINACIA 71</v>
          </cell>
          <cell r="G297" t="str">
            <v>129/PV-MAR/2026</v>
          </cell>
          <cell r="H297" t="str">
            <v>THR crew Entebe Star 30 / Finacia 71 periode Maret 2026</v>
          </cell>
          <cell r="I297">
            <v>47791667</v>
          </cell>
          <cell r="J297">
            <v>0</v>
          </cell>
          <cell r="K297">
            <v>0</v>
          </cell>
          <cell r="M297">
            <v>0</v>
          </cell>
          <cell r="N297">
            <v>19500</v>
          </cell>
          <cell r="O297">
            <v>0</v>
          </cell>
          <cell r="P297">
            <v>47811167</v>
          </cell>
          <cell r="Q297">
            <v>46094</v>
          </cell>
        </row>
        <row r="298">
          <cell r="B298" t="str">
            <v>046/K/III/26</v>
          </cell>
          <cell r="C298">
            <v>46093</v>
          </cell>
          <cell r="E298" t="str">
            <v>CREW SURYA SEGARA 3 / FINACIA 96</v>
          </cell>
          <cell r="G298" t="str">
            <v>130/PV-MAR/2026</v>
          </cell>
          <cell r="H298" t="str">
            <v>THR crew Surya Segara 3 / Finacia 96 periode Maret 2026</v>
          </cell>
          <cell r="I298">
            <v>28541667</v>
          </cell>
          <cell r="J298">
            <v>0</v>
          </cell>
          <cell r="K298">
            <v>0</v>
          </cell>
          <cell r="M298">
            <v>0</v>
          </cell>
          <cell r="N298">
            <v>32500</v>
          </cell>
          <cell r="O298">
            <v>0</v>
          </cell>
          <cell r="P298">
            <v>28574167</v>
          </cell>
          <cell r="Q298">
            <v>46094</v>
          </cell>
        </row>
        <row r="299">
          <cell r="B299" t="str">
            <v>047/K/III/26</v>
          </cell>
          <cell r="C299">
            <v>46093</v>
          </cell>
          <cell r="E299" t="str">
            <v>CREW MICHELLE 219-08 / ANGELINE 219-08</v>
          </cell>
          <cell r="G299" t="str">
            <v>131/PV-MAR/2026</v>
          </cell>
          <cell r="H299" t="str">
            <v>THR crew Michelle 219-08 / Angeline 219-08 periode Maret 2026</v>
          </cell>
          <cell r="I299">
            <v>11416667</v>
          </cell>
          <cell r="J299">
            <v>0</v>
          </cell>
          <cell r="K299">
            <v>0</v>
          </cell>
          <cell r="M299">
            <v>0</v>
          </cell>
          <cell r="N299">
            <v>19500</v>
          </cell>
          <cell r="O299">
            <v>0</v>
          </cell>
          <cell r="P299">
            <v>11436167</v>
          </cell>
          <cell r="Q299">
            <v>46094</v>
          </cell>
        </row>
        <row r="300">
          <cell r="B300" t="str">
            <v>048/K/III/26</v>
          </cell>
          <cell r="C300">
            <v>46093</v>
          </cell>
          <cell r="E300" t="str">
            <v>DIRJEN PAJAK</v>
          </cell>
          <cell r="G300" t="str">
            <v>132/PV-MAR/2026</v>
          </cell>
          <cell r="H300" t="str">
            <v>Pembayaran PPh 21 periode Februari 2026</v>
          </cell>
          <cell r="I300">
            <v>23157256</v>
          </cell>
          <cell r="J300">
            <v>0</v>
          </cell>
          <cell r="K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23157256</v>
          </cell>
          <cell r="Q300">
            <v>46094</v>
          </cell>
        </row>
        <row r="301">
          <cell r="B301" t="str">
            <v>049/K/III/26</v>
          </cell>
          <cell r="C301">
            <v>46093</v>
          </cell>
          <cell r="D301" t="str">
            <v>26014D4TV</v>
          </cell>
          <cell r="E301" t="str">
            <v>PT ADITOYA MULTI GUNA</v>
          </cell>
          <cell r="F301" t="str">
            <v>037/INV/AMG/III/26</v>
          </cell>
          <cell r="G301" t="str">
            <v>128/PV-MAR/2026</v>
          </cell>
          <cell r="H301" t="str">
            <v>Perpanjangan sewa alamat (virtual office) Patra Office Tower periode 09/03/2026</v>
          </cell>
          <cell r="I301">
            <v>4440000</v>
          </cell>
          <cell r="J301">
            <v>0</v>
          </cell>
          <cell r="K301">
            <v>23</v>
          </cell>
          <cell r="M301">
            <v>-80000</v>
          </cell>
          <cell r="N301">
            <v>0</v>
          </cell>
          <cell r="O301">
            <v>0</v>
          </cell>
          <cell r="P301">
            <v>4360000</v>
          </cell>
          <cell r="Q301">
            <v>46094</v>
          </cell>
        </row>
        <row r="302">
          <cell r="B302" t="str">
            <v>050/K/III/26</v>
          </cell>
          <cell r="C302">
            <v>46093</v>
          </cell>
          <cell r="E302" t="str">
            <v>PT PALEO RENTO UTOMO</v>
          </cell>
          <cell r="F302" t="str">
            <v>PRU.INV.2603.002</v>
          </cell>
          <cell r="G302" t="str">
            <v>127/PV-MAR/2026</v>
          </cell>
          <cell r="H302" t="str">
            <v>Pembayaran 4 unit laptop second HP pembelian maret 2026</v>
          </cell>
          <cell r="I302">
            <v>10500000</v>
          </cell>
          <cell r="J302">
            <v>1155000</v>
          </cell>
          <cell r="K302">
            <v>0</v>
          </cell>
          <cell r="M302">
            <v>0</v>
          </cell>
          <cell r="N302">
            <v>2500</v>
          </cell>
          <cell r="O302">
            <v>0</v>
          </cell>
          <cell r="P302">
            <v>11657500</v>
          </cell>
          <cell r="Q302">
            <v>46094</v>
          </cell>
        </row>
        <row r="303">
          <cell r="B303" t="str">
            <v>051/K/III/26</v>
          </cell>
          <cell r="C303">
            <v>46093</v>
          </cell>
          <cell r="D303" t="str">
            <v>26014D4TT</v>
          </cell>
          <cell r="E303" t="str">
            <v>PT PALEO RENTO UTOMO</v>
          </cell>
          <cell r="F303" t="str">
            <v>PRU.INV.2602.001</v>
          </cell>
          <cell r="G303" t="str">
            <v>126/PV-MAR/2026</v>
          </cell>
          <cell r="H303" t="str">
            <v xml:space="preserve"> Sewa Laptop Termin 12/12: HP i3 &amp; HP i5 periode Januari 2026</v>
          </cell>
          <cell r="I303">
            <v>3800000</v>
          </cell>
          <cell r="J303">
            <v>418000</v>
          </cell>
          <cell r="K303">
            <v>23</v>
          </cell>
          <cell r="M303">
            <v>-76000</v>
          </cell>
          <cell r="N303">
            <v>2500</v>
          </cell>
          <cell r="O303">
            <v>60000</v>
          </cell>
          <cell r="P303">
            <v>4204500</v>
          </cell>
          <cell r="Q303">
            <v>46094</v>
          </cell>
        </row>
        <row r="304">
          <cell r="B304" t="str">
            <v>051/K/III/26</v>
          </cell>
          <cell r="C304">
            <v>46093</v>
          </cell>
          <cell r="D304" t="str">
            <v>26014D4TT</v>
          </cell>
          <cell r="E304" t="str">
            <v>PT PALEO RENTO UTOMO</v>
          </cell>
          <cell r="F304" t="str">
            <v>PRU.INV.2603.001</v>
          </cell>
          <cell r="G304" t="str">
            <v>126/PV-MAR/2026</v>
          </cell>
          <cell r="H304" t="str">
            <v>Sewa Laptop HP i3 &amp; i5 periode Februari 2026</v>
          </cell>
          <cell r="I304">
            <v>3800000</v>
          </cell>
          <cell r="J304">
            <v>418000</v>
          </cell>
          <cell r="K304">
            <v>23</v>
          </cell>
          <cell r="M304">
            <v>-76000</v>
          </cell>
          <cell r="N304">
            <v>0</v>
          </cell>
          <cell r="O304">
            <v>0</v>
          </cell>
          <cell r="P304">
            <v>4142000</v>
          </cell>
          <cell r="Q304">
            <v>46094</v>
          </cell>
        </row>
        <row r="305">
          <cell r="B305" t="str">
            <v>052/K/III/26</v>
          </cell>
          <cell r="C305">
            <v>46093</v>
          </cell>
          <cell r="E305" t="str">
            <v>YONI FIRDAUS WIBOWO</v>
          </cell>
          <cell r="G305" t="str">
            <v>124/PV-MAR/2026</v>
          </cell>
          <cell r="H305" t="str">
            <v>Reimbursement Pak Yoni Firdaus periode 03-09 Maret 2026</v>
          </cell>
          <cell r="I305">
            <v>2070800</v>
          </cell>
          <cell r="J305">
            <v>0</v>
          </cell>
          <cell r="K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2070800</v>
          </cell>
          <cell r="Q305">
            <v>46094</v>
          </cell>
        </row>
        <row r="306">
          <cell r="B306" t="str">
            <v>053/K/III/26</v>
          </cell>
          <cell r="C306">
            <v>46094</v>
          </cell>
          <cell r="D306" t="str">
            <v>2601PITDL</v>
          </cell>
          <cell r="E306" t="str">
            <v>PT ANDALAN LANCAR NIAGA</v>
          </cell>
          <cell r="F306" t="str">
            <v>00020/ALN-INV/II/2026</v>
          </cell>
          <cell r="G306" t="str">
            <v>125/PV-MAR/2026</v>
          </cell>
          <cell r="H306" t="str">
            <v>Biaya Freight Charter TB Michelle XVI / BG Benami XVI ( Jetty RMK - Paiton )</v>
          </cell>
          <cell r="I306">
            <v>1293784000</v>
          </cell>
          <cell r="K306">
            <v>15</v>
          </cell>
          <cell r="M306">
            <v>-15525408</v>
          </cell>
          <cell r="N306">
            <v>15000</v>
          </cell>
          <cell r="O306">
            <v>0</v>
          </cell>
          <cell r="P306">
            <v>1278273592</v>
          </cell>
          <cell r="Q306">
            <v>46097</v>
          </cell>
        </row>
        <row r="307">
          <cell r="B307" t="str">
            <v>054/K/III/26</v>
          </cell>
          <cell r="C307">
            <v>46094</v>
          </cell>
          <cell r="E307" t="str">
            <v>DIRJEN PAJAK</v>
          </cell>
          <cell r="G307" t="str">
            <v>132/PV-MAR/2026</v>
          </cell>
          <cell r="H307" t="str">
            <v>Pembayaran PPh psl 15, 23, 4 (2) periode Februari 2026</v>
          </cell>
          <cell r="I307">
            <v>238021650</v>
          </cell>
          <cell r="J307">
            <v>0</v>
          </cell>
          <cell r="K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238021650</v>
          </cell>
          <cell r="Q307">
            <v>46097</v>
          </cell>
        </row>
        <row r="308">
          <cell r="B308" t="str">
            <v>055/K/III/26</v>
          </cell>
          <cell r="C308">
            <v>46094</v>
          </cell>
          <cell r="D308" t="str">
            <v>2601PITDM</v>
          </cell>
          <cell r="E308" t="str">
            <v>PT DINASTI SAMUDERA ABADI</v>
          </cell>
          <cell r="F308" t="str">
            <v>15/INV-TK/MAR-DSA/II/26</v>
          </cell>
          <cell r="G308" t="str">
            <v>133/PV-MAR/2026</v>
          </cell>
          <cell r="H308" t="str">
            <v>Biaya Freight Charter TB emperor 3 / BG Dinasti 3003 ( Jetty Patratani - PLTU Paiton )</v>
          </cell>
          <cell r="I308">
            <v>1285912592</v>
          </cell>
          <cell r="K308">
            <v>15</v>
          </cell>
          <cell r="M308">
            <v>-15430951.104</v>
          </cell>
          <cell r="N308">
            <v>15000</v>
          </cell>
          <cell r="O308">
            <v>-1</v>
          </cell>
          <cell r="P308">
            <v>1270496639.8959999</v>
          </cell>
          <cell r="Q308">
            <v>46097</v>
          </cell>
        </row>
        <row r="309">
          <cell r="B309" t="str">
            <v>055/K/III/26</v>
          </cell>
          <cell r="C309">
            <v>46094</v>
          </cell>
          <cell r="E309" t="str">
            <v>PT DINASTI SAMUDERA ABADI</v>
          </cell>
          <cell r="F309" t="str">
            <v>DN 015/MAR-DSA/II/2026</v>
          </cell>
          <cell r="G309" t="str">
            <v>133/PV-MAR/2026</v>
          </cell>
          <cell r="H309" t="str">
            <v>Bunker 20K TB Emperor 3</v>
          </cell>
          <cell r="I309">
            <v>-180000000</v>
          </cell>
          <cell r="J309">
            <v>0</v>
          </cell>
          <cell r="K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-180000000</v>
          </cell>
          <cell r="Q309">
            <v>46097</v>
          </cell>
        </row>
        <row r="310">
          <cell r="B310" t="str">
            <v>056/K/III/26</v>
          </cell>
          <cell r="C310">
            <v>46094</v>
          </cell>
          <cell r="E310" t="str">
            <v>PT BENAYA AMB MANDIRI</v>
          </cell>
          <cell r="F310" t="str">
            <v>18/BAM-MAR/INV/II/2026</v>
          </cell>
          <cell r="G310" t="str">
            <v>674/OPS-II/2026</v>
          </cell>
          <cell r="H310" t="str">
            <v>Solar HSD TB Emperor 1 Voyage BFOL-011</v>
          </cell>
          <cell r="I310">
            <v>242342342</v>
          </cell>
          <cell r="J310">
            <v>26657658</v>
          </cell>
          <cell r="K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269000000</v>
          </cell>
          <cell r="Q310">
            <v>46097</v>
          </cell>
        </row>
        <row r="311">
          <cell r="B311" t="str">
            <v>057/K/III/26</v>
          </cell>
          <cell r="C311">
            <v>46095</v>
          </cell>
          <cell r="E311" t="str">
            <v>WEEZY COOKIES</v>
          </cell>
          <cell r="F311" t="str">
            <v>04</v>
          </cell>
          <cell r="G311" t="str">
            <v>134/PV-MAR/2026</v>
          </cell>
          <cell r="H311" t="str">
            <v>30pcs cookies (Kue Nastar &amp; Castangel)</v>
          </cell>
          <cell r="I311">
            <v>2850000</v>
          </cell>
          <cell r="J311">
            <v>0</v>
          </cell>
          <cell r="K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2850000</v>
          </cell>
          <cell r="Q311">
            <v>46097</v>
          </cell>
        </row>
        <row r="312">
          <cell r="B312" t="str">
            <v>058/K/III/26</v>
          </cell>
          <cell r="C312">
            <v>46095</v>
          </cell>
          <cell r="E312" t="str">
            <v>PT DELTA POWER 88</v>
          </cell>
          <cell r="F312" t="str">
            <v>200/I/03.26</v>
          </cell>
          <cell r="G312" t="str">
            <v>696/OPS-III/2026</v>
          </cell>
          <cell r="H312" t="str">
            <v>Chockfast Orange 3,4 kg</v>
          </cell>
          <cell r="I312">
            <v>5200000</v>
          </cell>
          <cell r="J312">
            <v>572000</v>
          </cell>
          <cell r="K312">
            <v>0</v>
          </cell>
          <cell r="M312">
            <v>0</v>
          </cell>
          <cell r="N312">
            <v>2500</v>
          </cell>
          <cell r="O312">
            <v>0</v>
          </cell>
          <cell r="P312">
            <v>5774500</v>
          </cell>
          <cell r="Q312">
            <v>46097</v>
          </cell>
        </row>
        <row r="313">
          <cell r="B313" t="str">
            <v>058/K/III/26</v>
          </cell>
          <cell r="C313">
            <v>46095</v>
          </cell>
          <cell r="E313" t="str">
            <v>PT DELTA POWER 88</v>
          </cell>
          <cell r="F313" t="str">
            <v>199/I/03.26</v>
          </cell>
          <cell r="G313" t="str">
            <v>696/OPS-III/2026</v>
          </cell>
          <cell r="H313" t="str">
            <v>Shaft Sealing Ring (E11)</v>
          </cell>
          <cell r="I313">
            <v>34280000</v>
          </cell>
          <cell r="J313">
            <v>3770800</v>
          </cell>
          <cell r="K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38050800</v>
          </cell>
          <cell r="Q313">
            <v>46097</v>
          </cell>
        </row>
        <row r="314">
          <cell r="B314" t="str">
            <v>059/K/III/26</v>
          </cell>
          <cell r="C314">
            <v>46097</v>
          </cell>
          <cell r="E314" t="str">
            <v>ZULFADHLI JUSUF</v>
          </cell>
          <cell r="G314" t="str">
            <v>135/PV-MAR/2026</v>
          </cell>
          <cell r="H314" t="str">
            <v>Voucher belanja Indomaret &amp; 7pcs parcel utk customer - Idul Fitri 1447 H</v>
          </cell>
          <cell r="I314">
            <v>15768500</v>
          </cell>
          <cell r="J314">
            <v>0</v>
          </cell>
          <cell r="K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15768500</v>
          </cell>
          <cell r="Q314">
            <v>46098</v>
          </cell>
        </row>
        <row r="315">
          <cell r="B315" t="str">
            <v>060/K/III/26</v>
          </cell>
          <cell r="C315">
            <v>46097</v>
          </cell>
          <cell r="E315" t="str">
            <v>PT BENAYA AMB MANDIRI</v>
          </cell>
          <cell r="F315" t="str">
            <v>19/BAM-MAR/INV/III/2026</v>
          </cell>
          <cell r="G315" t="str">
            <v>676/OPS-III/2026</v>
          </cell>
          <cell r="H315" t="str">
            <v>Solar HSD TB APL 7 Voyage 139L</v>
          </cell>
          <cell r="I315">
            <v>811846847</v>
          </cell>
          <cell r="J315">
            <v>89303153</v>
          </cell>
          <cell r="K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901150000</v>
          </cell>
          <cell r="Q315">
            <v>46106</v>
          </cell>
        </row>
        <row r="316">
          <cell r="B316" t="str">
            <v>061/K/III/26</v>
          </cell>
          <cell r="C316">
            <v>46097</v>
          </cell>
          <cell r="D316" t="str">
            <v>2601SB7NG</v>
          </cell>
          <cell r="E316" t="str">
            <v>PT PELAYARAN BARITO DUTA SARANA</v>
          </cell>
          <cell r="F316" t="str">
            <v>278/BDS-S/BJM/INV/XII/2025</v>
          </cell>
          <cell r="G316" t="str">
            <v>633/OPS-I/2026</v>
          </cell>
          <cell r="H316" t="str">
            <v>Agency Fee TB Surya Segara 3 / BG Finacia 96 Voyage 124L</v>
          </cell>
          <cell r="I316">
            <v>2500000</v>
          </cell>
          <cell r="J316">
            <v>275000</v>
          </cell>
          <cell r="K316">
            <v>15</v>
          </cell>
          <cell r="M316">
            <v>-50000</v>
          </cell>
          <cell r="N316">
            <v>0</v>
          </cell>
          <cell r="O316">
            <v>0</v>
          </cell>
          <cell r="P316">
            <v>2725000</v>
          </cell>
          <cell r="Q316">
            <v>46106</v>
          </cell>
        </row>
        <row r="317">
          <cell r="B317" t="str">
            <v>061/K/III/26</v>
          </cell>
          <cell r="C317">
            <v>46097</v>
          </cell>
          <cell r="D317" t="str">
            <v>2601SB7NG</v>
          </cell>
          <cell r="E317" t="str">
            <v>PT PELAYARAN BARITO DUTA SARANA</v>
          </cell>
          <cell r="F317" t="str">
            <v>278/BDS-S/BJM/DEBIT NOTE/XII/2025</v>
          </cell>
          <cell r="G317" t="str">
            <v>633/OPS-I/2026</v>
          </cell>
          <cell r="H317" t="str">
            <v>Biaya Administrasi Pengapalan TB Surya Segara 3 / BG Finacia 96 Voyage 124L</v>
          </cell>
          <cell r="I317">
            <v>71413700</v>
          </cell>
          <cell r="J317">
            <v>0</v>
          </cell>
          <cell r="K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71413700</v>
          </cell>
          <cell r="Q317">
            <v>46106</v>
          </cell>
        </row>
        <row r="318">
          <cell r="B318" t="str">
            <v>062/K/III/26</v>
          </cell>
          <cell r="C318">
            <v>46097</v>
          </cell>
          <cell r="D318" t="str">
            <v>2601SB7NI</v>
          </cell>
          <cell r="E318" t="str">
            <v>PT ADHI GUNA PUTERA (PAITON)</v>
          </cell>
          <cell r="F318" t="str">
            <v>K0045/INV-PTN/II/2026</v>
          </cell>
          <cell r="G318" t="str">
            <v>680/OPS-III/2026</v>
          </cell>
          <cell r="H318" t="str">
            <v>Call fee TB APL 7 / BG Baiduri 70273</v>
          </cell>
          <cell r="I318">
            <v>9693741</v>
          </cell>
          <cell r="J318">
            <v>220000</v>
          </cell>
          <cell r="K318">
            <v>15</v>
          </cell>
          <cell r="M318">
            <v>-40000</v>
          </cell>
          <cell r="N318">
            <v>2500</v>
          </cell>
          <cell r="O318">
            <v>0</v>
          </cell>
          <cell r="P318">
            <v>9876241</v>
          </cell>
          <cell r="Q318">
            <v>46106</v>
          </cell>
        </row>
        <row r="319">
          <cell r="B319" t="str">
            <v>063/K/III/26</v>
          </cell>
          <cell r="C319">
            <v>46096</v>
          </cell>
          <cell r="E319" t="str">
            <v>MANDIRI KARADENAN</v>
          </cell>
          <cell r="H319" t="str">
            <v>Angsuran Pinjaman ke-22 Limit 7.800.000.000</v>
          </cell>
          <cell r="I319">
            <v>358456998.29000002</v>
          </cell>
          <cell r="J319">
            <v>0</v>
          </cell>
          <cell r="K319">
            <v>0</v>
          </cell>
          <cell r="M319">
            <v>0</v>
          </cell>
          <cell r="P319">
            <v>358456998.29000002</v>
          </cell>
          <cell r="Q319">
            <v>46106</v>
          </cell>
        </row>
        <row r="320">
          <cell r="B320" t="str">
            <v>064/K/III/26</v>
          </cell>
          <cell r="C320">
            <v>46096</v>
          </cell>
          <cell r="E320" t="str">
            <v>MANDIRI KARADENAN</v>
          </cell>
          <cell r="H320" t="str">
            <v>Angsuran Pinjaman ke-5 Limit 11.500.000.000</v>
          </cell>
          <cell r="I320">
            <v>395025308.20999998</v>
          </cell>
          <cell r="K320">
            <v>0</v>
          </cell>
          <cell r="M320">
            <v>0</v>
          </cell>
          <cell r="P320">
            <v>395025308.20999998</v>
          </cell>
          <cell r="Q320">
            <v>46106</v>
          </cell>
        </row>
        <row r="321">
          <cell r="B321" t="str">
            <v>065/K/III/26</v>
          </cell>
          <cell r="C321">
            <v>46097</v>
          </cell>
          <cell r="D321" t="str">
            <v>2601SB7NF</v>
          </cell>
          <cell r="E321" t="str">
            <v>AMERICAN BUREAU OF SHIPPING</v>
          </cell>
          <cell r="F321" t="str">
            <v>370120134710</v>
          </cell>
          <cell r="G321" t="str">
            <v>687/OPS-III/2026</v>
          </cell>
          <cell r="H321" t="str">
            <v>Annual Hull Survey 4 BG Finacia 96</v>
          </cell>
          <cell r="I321">
            <v>53824359</v>
          </cell>
          <cell r="J321">
            <v>5920679.4900000002</v>
          </cell>
          <cell r="K321">
            <v>23</v>
          </cell>
          <cell r="M321">
            <v>-1076487.18</v>
          </cell>
          <cell r="N321">
            <v>2500</v>
          </cell>
          <cell r="O321">
            <v>-1</v>
          </cell>
          <cell r="P321">
            <v>58671050.310000002</v>
          </cell>
          <cell r="Q321">
            <v>46106</v>
          </cell>
        </row>
        <row r="322">
          <cell r="B322" t="str">
            <v>066/K/III/26</v>
          </cell>
          <cell r="C322">
            <v>46097</v>
          </cell>
          <cell r="D322" t="str">
            <v>2601SB7N8</v>
          </cell>
          <cell r="E322" t="str">
            <v>PT BERKAT CAHAYA MARITIM</v>
          </cell>
          <cell r="F322" t="str">
            <v>211/BCM/I/I/2026</v>
          </cell>
          <cell r="G322" t="str">
            <v>665/OPS-II/2026</v>
          </cell>
          <cell r="H322" t="str">
            <v>Biaya kirim barang PO TB Entebe Star 30 &amp; BG Finacia 71</v>
          </cell>
          <cell r="I322">
            <v>600000</v>
          </cell>
          <cell r="J322">
            <v>66000</v>
          </cell>
          <cell r="K322">
            <v>23</v>
          </cell>
          <cell r="M322">
            <v>-12000</v>
          </cell>
          <cell r="N322">
            <v>0</v>
          </cell>
          <cell r="O322">
            <v>0</v>
          </cell>
          <cell r="P322">
            <v>654000</v>
          </cell>
          <cell r="Q322">
            <v>46106</v>
          </cell>
        </row>
        <row r="323">
          <cell r="B323" t="str">
            <v>066/K/III/26</v>
          </cell>
          <cell r="C323">
            <v>46097</v>
          </cell>
          <cell r="E323" t="str">
            <v>PT BERKAT CAHAYA MARITIM</v>
          </cell>
          <cell r="F323" t="str">
            <v>210/BCM/I/I/2026</v>
          </cell>
          <cell r="G323" t="str">
            <v>666/OPS-II/2026</v>
          </cell>
          <cell r="H323" t="str">
            <v>FO Filter P557440 TB Entebe Star 30 &amp; BG Finacia 71</v>
          </cell>
          <cell r="I323">
            <v>9519400</v>
          </cell>
          <cell r="J323">
            <v>1047134</v>
          </cell>
          <cell r="K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10566534</v>
          </cell>
          <cell r="Q323">
            <v>46106</v>
          </cell>
        </row>
        <row r="324">
          <cell r="B324" t="str">
            <v>067/K/III/26</v>
          </cell>
          <cell r="C324">
            <v>46097</v>
          </cell>
          <cell r="E324" t="str">
            <v>PT CAHAYA SAMODERA BERSAUDARA</v>
          </cell>
          <cell r="F324" t="str">
            <v>CSB/INV/MRDCS/26/03193</v>
          </cell>
          <cell r="G324" t="str">
            <v>685/OPS-III/2026</v>
          </cell>
          <cell r="H324" t="str">
            <v>Sirius S4 15W-40 1*209L TB Entebe Star 30</v>
          </cell>
          <cell r="I324">
            <v>21150000</v>
          </cell>
          <cell r="K324">
            <v>0</v>
          </cell>
          <cell r="M324">
            <v>0</v>
          </cell>
          <cell r="N324">
            <v>6500</v>
          </cell>
          <cell r="O324">
            <v>0</v>
          </cell>
          <cell r="P324">
            <v>21156500</v>
          </cell>
          <cell r="Q324">
            <v>46106</v>
          </cell>
        </row>
        <row r="325">
          <cell r="B325" t="str">
            <v>067/K/III/26</v>
          </cell>
          <cell r="C325">
            <v>46097</v>
          </cell>
          <cell r="D325" t="str">
            <v>2601SB7N4</v>
          </cell>
          <cell r="E325" t="str">
            <v>PT CAHAYA SAMODERA BERSAUDARA</v>
          </cell>
          <cell r="F325" t="str">
            <v>CSB/INV/MRDCS/26/03192</v>
          </cell>
          <cell r="G325" t="str">
            <v>686/OPS-III/2026</v>
          </cell>
          <cell r="H325" t="str">
            <v>Delivery Charge TB Entebe Star 30</v>
          </cell>
          <cell r="I325">
            <v>2250000</v>
          </cell>
          <cell r="J325">
            <v>247500</v>
          </cell>
          <cell r="K325">
            <v>23</v>
          </cell>
          <cell r="M325">
            <v>-45000</v>
          </cell>
          <cell r="N325">
            <v>0</v>
          </cell>
          <cell r="O325">
            <v>0</v>
          </cell>
          <cell r="P325">
            <v>2452500</v>
          </cell>
          <cell r="Q325">
            <v>46106</v>
          </cell>
        </row>
        <row r="326">
          <cell r="B326" t="str">
            <v>068/K/III/26</v>
          </cell>
          <cell r="C326">
            <v>46097</v>
          </cell>
          <cell r="E326" t="str">
            <v>PT HANANIA SAMUDERA JAYA</v>
          </cell>
          <cell r="F326" t="str">
            <v>007/INV/HSJ/I/26</v>
          </cell>
          <cell r="G326" t="str">
            <v>662/OPS-II/2026</v>
          </cell>
          <cell r="H326" t="str">
            <v>Pembelian Stempel Master TB Michelle 219-08 &amp; BG Angeline 219-08</v>
          </cell>
          <cell r="I326">
            <v>270000</v>
          </cell>
          <cell r="J326">
            <v>0</v>
          </cell>
          <cell r="K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270000</v>
          </cell>
          <cell r="Q326">
            <v>46106</v>
          </cell>
        </row>
        <row r="327">
          <cell r="B327" t="str">
            <v>068/K/III/26</v>
          </cell>
          <cell r="C327">
            <v>46097</v>
          </cell>
          <cell r="E327" t="str">
            <v>PT HANANIA SAMUDERA JAYA</v>
          </cell>
          <cell r="F327" t="str">
            <v>008/INV/HSJ/I/26</v>
          </cell>
          <cell r="G327" t="str">
            <v>663/OPS-II/2026</v>
          </cell>
          <cell r="H327" t="str">
            <v>Pembelian O-ring Kit Set TB Michelle 219-08 &amp; BG Angeline 219-08</v>
          </cell>
          <cell r="I327">
            <v>9184000</v>
          </cell>
          <cell r="J327">
            <v>0</v>
          </cell>
          <cell r="K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9184000</v>
          </cell>
          <cell r="Q327">
            <v>46106</v>
          </cell>
        </row>
        <row r="328">
          <cell r="B328" t="str">
            <v>069/K/III/26</v>
          </cell>
          <cell r="C328">
            <v>46097</v>
          </cell>
          <cell r="D328" t="str">
            <v>2601SB7NH</v>
          </cell>
          <cell r="E328" t="str">
            <v>PT MARITIM BATUBARA PERTAMA</v>
          </cell>
          <cell r="F328" t="str">
            <v>MBP/II-26/0048</v>
          </cell>
          <cell r="G328" t="str">
            <v>679/OPS-III/2026</v>
          </cell>
          <cell r="H328" t="str">
            <v>Mooring &amp; Unmooring Services TB Michelle 219-08 - BG Angeline 219-08</v>
          </cell>
          <cell r="I328">
            <v>2000000</v>
          </cell>
          <cell r="K328">
            <v>23</v>
          </cell>
          <cell r="M328">
            <v>-40000</v>
          </cell>
          <cell r="N328">
            <v>2500</v>
          </cell>
          <cell r="O328">
            <v>0</v>
          </cell>
          <cell r="P328">
            <v>1962500</v>
          </cell>
          <cell r="Q328">
            <v>46106</v>
          </cell>
        </row>
        <row r="329">
          <cell r="B329" t="str">
            <v>070/K/III/26</v>
          </cell>
          <cell r="C329">
            <v>46097</v>
          </cell>
          <cell r="D329" t="str">
            <v>2601SB7N7</v>
          </cell>
          <cell r="E329" t="str">
            <v>PT SAHABAT PELAYARAN INDONESIA</v>
          </cell>
          <cell r="F329" t="str">
            <v>INV/SPI-003/I/26</v>
          </cell>
          <cell r="G329" t="str">
            <v>656/OPS-II/2026</v>
          </cell>
          <cell r="H329" t="str">
            <v>Keagenan TB APL 7 / BG Baiduri 70273 Voyage 119D</v>
          </cell>
          <cell r="I329">
            <v>28241457</v>
          </cell>
          <cell r="J329">
            <v>1320000</v>
          </cell>
          <cell r="K329">
            <v>15</v>
          </cell>
          <cell r="M329">
            <v>-240000</v>
          </cell>
          <cell r="N329">
            <v>2500</v>
          </cell>
          <cell r="O329">
            <v>-10000000</v>
          </cell>
          <cell r="P329">
            <v>19323957</v>
          </cell>
          <cell r="Q329">
            <v>46106</v>
          </cell>
        </row>
        <row r="330">
          <cell r="B330" t="str">
            <v>071/K/III/26</v>
          </cell>
          <cell r="C330">
            <v>46097</v>
          </cell>
          <cell r="D330" t="str">
            <v>2601SB7N5</v>
          </cell>
          <cell r="E330" t="str">
            <v>PT SINARMAS LDA USAHA PELABUHAN</v>
          </cell>
          <cell r="F330" t="str">
            <v>CI26-00919</v>
          </cell>
          <cell r="G330" t="str">
            <v>678/OPS-III/2026</v>
          </cell>
          <cell r="H330" t="str">
            <v>Assist Tug &amp; Pilotage Service Michelle 219-08 - BG Angeline 219-08</v>
          </cell>
          <cell r="I330">
            <v>21459438</v>
          </cell>
          <cell r="J330">
            <v>0</v>
          </cell>
          <cell r="K330">
            <v>23</v>
          </cell>
          <cell r="M330">
            <v>-429188.76</v>
          </cell>
          <cell r="N330">
            <v>2500</v>
          </cell>
          <cell r="O330">
            <v>0</v>
          </cell>
          <cell r="P330">
            <v>21032749.239999998</v>
          </cell>
          <cell r="Q330">
            <v>46106</v>
          </cell>
        </row>
        <row r="331">
          <cell r="B331" t="str">
            <v>072/K/III/26</v>
          </cell>
          <cell r="C331">
            <v>46097</v>
          </cell>
          <cell r="D331" t="str">
            <v>2601SB7N3</v>
          </cell>
          <cell r="E331" t="str">
            <v>PT ADHI GUNA PUTERA (PAITON)</v>
          </cell>
          <cell r="F331" t="str">
            <v>K0052/INV-PTN/II/2026</v>
          </cell>
          <cell r="G331" t="str">
            <v>681/OPS-III/2026</v>
          </cell>
          <cell r="H331" t="str">
            <v>Biaya Pengurusan Clearance in / out TB Entebe Star 30</v>
          </cell>
          <cell r="I331">
            <v>8449704</v>
          </cell>
          <cell r="J331">
            <v>220000</v>
          </cell>
          <cell r="K331">
            <v>23</v>
          </cell>
          <cell r="M331">
            <v>-40000</v>
          </cell>
          <cell r="N331">
            <v>2500</v>
          </cell>
          <cell r="O331">
            <v>0</v>
          </cell>
          <cell r="P331">
            <v>8632204</v>
          </cell>
          <cell r="Q331">
            <v>46106</v>
          </cell>
        </row>
        <row r="332">
          <cell r="B332" t="str">
            <v>072/K/III/26</v>
          </cell>
          <cell r="C332">
            <v>46097</v>
          </cell>
          <cell r="E332" t="str">
            <v>PT ADHI GUNA PUTERA (PAITON)</v>
          </cell>
          <cell r="F332" t="str">
            <v>K0052A/INV-PTN/II/2026</v>
          </cell>
          <cell r="G332" t="str">
            <v>681/OPS-III/2026</v>
          </cell>
          <cell r="H332" t="str">
            <v>Biaya supply air tawar TB Entebe Star 30 Voyage 128D</v>
          </cell>
          <cell r="I332">
            <v>1500000</v>
          </cell>
          <cell r="J332">
            <v>0</v>
          </cell>
          <cell r="K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1500000</v>
          </cell>
          <cell r="Q332">
            <v>46106</v>
          </cell>
        </row>
        <row r="333">
          <cell r="B333" t="str">
            <v>003/K/III/26 CAV</v>
          </cell>
          <cell r="C333">
            <v>46098</v>
          </cell>
          <cell r="E333" t="str">
            <v>MUHAMMAD ZAKI</v>
          </cell>
          <cell r="G333" t="str">
            <v>CAV006/OPS-III/2026</v>
          </cell>
          <cell r="H333" t="str">
            <v>Advance Operational Maret 2026</v>
          </cell>
          <cell r="I333">
            <v>16511833</v>
          </cell>
          <cell r="J333">
            <v>0</v>
          </cell>
          <cell r="K333">
            <v>0</v>
          </cell>
          <cell r="M333">
            <v>0</v>
          </cell>
          <cell r="N333">
            <v>2500</v>
          </cell>
          <cell r="O333">
            <v>0</v>
          </cell>
          <cell r="P333">
            <v>16514333</v>
          </cell>
          <cell r="Q333">
            <v>46108</v>
          </cell>
        </row>
        <row r="334">
          <cell r="B334" t="str">
            <v>073/K/III/26</v>
          </cell>
          <cell r="C334">
            <v>46098</v>
          </cell>
          <cell r="E334" t="str">
            <v>DIREKSI DAN STAFF</v>
          </cell>
          <cell r="G334" t="str">
            <v>136/PV-MAR/2026</v>
          </cell>
          <cell r="H334" t="str">
            <v xml:space="preserve">Gaji Direksi dan staff periode Maret 2026 </v>
          </cell>
          <cell r="I334">
            <v>124799700</v>
          </cell>
          <cell r="O334">
            <v>0</v>
          </cell>
          <cell r="P334">
            <v>124799700</v>
          </cell>
          <cell r="Q334">
            <v>46108</v>
          </cell>
        </row>
        <row r="335">
          <cell r="B335" t="str">
            <v>074/K/III/26</v>
          </cell>
          <cell r="C335">
            <v>46098</v>
          </cell>
          <cell r="D335" t="str">
            <v>2601SB7NA</v>
          </cell>
          <cell r="E335" t="str">
            <v>PT PATRIA MARITIME LINES</v>
          </cell>
          <cell r="F335">
            <v>9231002044</v>
          </cell>
          <cell r="G335" t="str">
            <v>138/PV-MAR/2026</v>
          </cell>
          <cell r="H335" t="str">
            <v>Biaya Freight Charter TB Patria 42 / BG Patria 3222 (Talenta - Paiton)</v>
          </cell>
          <cell r="I335">
            <v>788873670</v>
          </cell>
          <cell r="J335">
            <v>0</v>
          </cell>
          <cell r="K335">
            <v>15</v>
          </cell>
          <cell r="M335">
            <v>-9466484.040000001</v>
          </cell>
          <cell r="N335">
            <v>0</v>
          </cell>
          <cell r="O335">
            <v>-1</v>
          </cell>
          <cell r="P335">
            <v>779407184.96000004</v>
          </cell>
          <cell r="Q335">
            <v>46108</v>
          </cell>
        </row>
        <row r="336">
          <cell r="B336" t="str">
            <v>075/K/III/26</v>
          </cell>
          <cell r="C336">
            <v>46098</v>
          </cell>
          <cell r="E336" t="str">
            <v>ZULFADHLI JUSUF</v>
          </cell>
          <cell r="G336" t="str">
            <v>137/PV-MAR/2026</v>
          </cell>
          <cell r="H336" t="str">
            <v>Reimburse pembelian parcel dan bensin antar parcel -  Idul Fitri 1447 H</v>
          </cell>
          <cell r="I336">
            <v>10670000</v>
          </cell>
          <cell r="J336">
            <v>0</v>
          </cell>
          <cell r="K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10670000</v>
          </cell>
          <cell r="Q336">
            <v>46108</v>
          </cell>
        </row>
        <row r="337">
          <cell r="B337" t="str">
            <v>076/K/III/26</v>
          </cell>
          <cell r="C337">
            <v>46098</v>
          </cell>
          <cell r="D337" t="str">
            <v>2601SB7N6</v>
          </cell>
          <cell r="E337" t="str">
            <v>PT PULAU SEROJA JAYA</v>
          </cell>
          <cell r="F337" t="str">
            <v>INV-PSJ-26-005160</v>
          </cell>
          <cell r="G337" t="str">
            <v>139/PV-MAR/2026</v>
          </cell>
          <cell r="H337" t="str">
            <v>Biaya Freight Charter TB Bomas Sejati / BG Winbuild 310 (Palembang - PLTU Paiton)</v>
          </cell>
          <cell r="I337">
            <v>1257925000</v>
          </cell>
          <cell r="J337">
            <v>0</v>
          </cell>
          <cell r="K337">
            <v>15</v>
          </cell>
          <cell r="M337">
            <v>-15095100</v>
          </cell>
          <cell r="N337">
            <v>15000</v>
          </cell>
          <cell r="O337">
            <v>0</v>
          </cell>
          <cell r="P337">
            <v>1242844900</v>
          </cell>
          <cell r="Q337">
            <v>46108</v>
          </cell>
        </row>
        <row r="338">
          <cell r="B338" t="str">
            <v>077/K/III/26</v>
          </cell>
          <cell r="C338">
            <v>46098</v>
          </cell>
          <cell r="E338" t="str">
            <v>GOLF BATUBARA INDONESIA</v>
          </cell>
          <cell r="G338" t="str">
            <v>140/PV-MAR/2026</v>
          </cell>
          <cell r="H338" t="str">
            <v xml:space="preserve">Sponship CGBI 2nd Series Halal Bihalal Tournament Bogor Raya </v>
          </cell>
          <cell r="I338">
            <v>15000000</v>
          </cell>
          <cell r="J338">
            <v>0</v>
          </cell>
          <cell r="K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15000000</v>
          </cell>
          <cell r="Q338">
            <v>46108</v>
          </cell>
        </row>
        <row r="339">
          <cell r="B339" t="str">
            <v>078/K/III/26</v>
          </cell>
          <cell r="C339">
            <v>46100</v>
          </cell>
          <cell r="E339" t="str">
            <v>ALFIN HIDAYAT ACHMAD</v>
          </cell>
          <cell r="G339" t="str">
            <v>141/PV-MAR/2026</v>
          </cell>
          <cell r="H339" t="str">
            <v>Biaya operasional bongkar muat di Indramayu - Feb 2026</v>
          </cell>
          <cell r="I339">
            <v>110000000</v>
          </cell>
          <cell r="K339">
            <v>0</v>
          </cell>
          <cell r="M339">
            <v>0</v>
          </cell>
          <cell r="N339">
            <v>2500</v>
          </cell>
          <cell r="P339">
            <v>110002500</v>
          </cell>
          <cell r="Q339">
            <v>46108</v>
          </cell>
        </row>
        <row r="340">
          <cell r="B340" t="str">
            <v>079/K/III/26</v>
          </cell>
          <cell r="C340">
            <v>46100</v>
          </cell>
          <cell r="E340" t="str">
            <v>CAESAR EHRLICH SAMPURNA ACHMAD</v>
          </cell>
          <cell r="G340" t="str">
            <v>142/PV-MAR/2026</v>
          </cell>
          <cell r="H340" t="str">
            <v>Biaya operasional bongkar muat di Indramayu - Feb 2026</v>
          </cell>
          <cell r="I340">
            <v>115630000</v>
          </cell>
          <cell r="K340">
            <v>0</v>
          </cell>
          <cell r="M340">
            <v>0</v>
          </cell>
          <cell r="N340">
            <v>2500</v>
          </cell>
          <cell r="P340">
            <v>115632500</v>
          </cell>
          <cell r="Q340">
            <v>46108</v>
          </cell>
        </row>
        <row r="341">
          <cell r="B341" t="str">
            <v>080/K/III/26</v>
          </cell>
          <cell r="C341">
            <v>46101</v>
          </cell>
          <cell r="E341" t="str">
            <v>RIZAL</v>
          </cell>
          <cell r="F341" t="str">
            <v>880/PH/TB.MICHELLE-219/MR/I/2026</v>
          </cell>
          <cell r="G341" t="str">
            <v>714/OPS-III/2026</v>
          </cell>
          <cell r="H341" t="str">
            <v>Biaya perbaikan TB Michelle 219-08</v>
          </cell>
          <cell r="I341">
            <v>17900000</v>
          </cell>
          <cell r="J341">
            <v>0</v>
          </cell>
          <cell r="K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17900000</v>
          </cell>
          <cell r="Q341">
            <v>46108</v>
          </cell>
        </row>
        <row r="342">
          <cell r="B342" t="str">
            <v>081/K/III/26</v>
          </cell>
          <cell r="C342">
            <v>46104</v>
          </cell>
          <cell r="E342" t="str">
            <v>ZULFADHLI JUSUF</v>
          </cell>
          <cell r="G342" t="str">
            <v>143/PV-MAR/2026</v>
          </cell>
          <cell r="H342" t="str">
            <v>Penambahan petty cash periode Jan, Feb, Mar 2026</v>
          </cell>
          <cell r="I342">
            <v>312000000</v>
          </cell>
          <cell r="J342">
            <v>0</v>
          </cell>
          <cell r="K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312000000</v>
          </cell>
          <cell r="Q342">
            <v>46108</v>
          </cell>
        </row>
        <row r="343">
          <cell r="B343" t="str">
            <v>082/K/III/26</v>
          </cell>
          <cell r="C343">
            <v>46107</v>
          </cell>
          <cell r="E343" t="str">
            <v>DIRJEN PAJAK</v>
          </cell>
          <cell r="G343" t="str">
            <v>144/PV-MAR/2026</v>
          </cell>
          <cell r="H343" t="str">
            <v>Pembetulan-1 PPh psl 15 periode Desember 2025</v>
          </cell>
          <cell r="I343">
            <v>2620800</v>
          </cell>
          <cell r="K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2620800</v>
          </cell>
          <cell r="Q343">
            <v>46108</v>
          </cell>
        </row>
        <row r="344">
          <cell r="B344" t="str">
            <v>083/K/III/26</v>
          </cell>
          <cell r="C344">
            <v>46107</v>
          </cell>
          <cell r="E344" t="str">
            <v>BPJS KETENAGAKERJAAN staff</v>
          </cell>
          <cell r="G344" t="str">
            <v>145/PV-MAR/2026</v>
          </cell>
          <cell r="H344" t="str">
            <v>BPJS Ketenagakerjaan staff periode Maret 2026</v>
          </cell>
          <cell r="I344">
            <v>10811736</v>
          </cell>
          <cell r="K344">
            <v>0</v>
          </cell>
          <cell r="M344">
            <v>0</v>
          </cell>
          <cell r="P344">
            <v>10811736</v>
          </cell>
          <cell r="Q344">
            <v>46108</v>
          </cell>
        </row>
        <row r="345">
          <cell r="B345" t="str">
            <v>084/K/III/26</v>
          </cell>
          <cell r="C345">
            <v>46107</v>
          </cell>
          <cell r="E345" t="str">
            <v>BPJS KESEHATAN staff</v>
          </cell>
          <cell r="G345" t="str">
            <v>146/PV-MAR/2026</v>
          </cell>
          <cell r="H345" t="str">
            <v>BPJS Kesehatan crew dan staff periode Maret 2026</v>
          </cell>
          <cell r="I345">
            <v>6943964</v>
          </cell>
          <cell r="K345">
            <v>0</v>
          </cell>
          <cell r="M345">
            <v>0</v>
          </cell>
          <cell r="P345">
            <v>6943964</v>
          </cell>
          <cell r="Q345">
            <v>46108</v>
          </cell>
        </row>
        <row r="346">
          <cell r="B346" t="str">
            <v>085/K/III/26</v>
          </cell>
          <cell r="C346">
            <v>46107</v>
          </cell>
          <cell r="E346" t="str">
            <v>BPJS KETENAGAKERJAAN CREW</v>
          </cell>
          <cell r="G346" t="str">
            <v>147/PV-MAR/2026</v>
          </cell>
          <cell r="H346" t="str">
            <v>BPJS Ketenagakerjaan crew kapal Entebe Star 30 periode Maret 2026</v>
          </cell>
          <cell r="I346">
            <v>2099850</v>
          </cell>
          <cell r="J346">
            <v>0</v>
          </cell>
          <cell r="K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2099850</v>
          </cell>
          <cell r="Q346">
            <v>46108</v>
          </cell>
        </row>
        <row r="347">
          <cell r="B347" t="str">
            <v>086/K/III/26</v>
          </cell>
          <cell r="C347">
            <v>46107</v>
          </cell>
          <cell r="E347" t="str">
            <v>HENDY KUSSUNAR ARYA</v>
          </cell>
          <cell r="G347" t="str">
            <v>148/PV-MAR/2026</v>
          </cell>
          <cell r="H347" t="str">
            <v>Reimbursement PNBP RPK, WRC, CLC B untuk ES30/F71, SS3/F96, M219-08/A-219-08 &amp; Spare part gearbox ES30</v>
          </cell>
          <cell r="I347">
            <v>6410000</v>
          </cell>
          <cell r="K347">
            <v>0</v>
          </cell>
          <cell r="M347">
            <v>0</v>
          </cell>
          <cell r="P347">
            <v>6410000</v>
          </cell>
          <cell r="Q347">
            <v>46108</v>
          </cell>
        </row>
        <row r="348">
          <cell r="B348" t="str">
            <v>087/K/III/26</v>
          </cell>
          <cell r="C348">
            <v>46107</v>
          </cell>
          <cell r="E348" t="str">
            <v>JAYA KESUMA</v>
          </cell>
          <cell r="G348" t="str">
            <v>149/PV-MAR/2026</v>
          </cell>
          <cell r="H348" t="str">
            <v>Uang makan crew Entebe Star 30 / BG Finacia 71 periode April 2026</v>
          </cell>
          <cell r="I348">
            <v>16500000</v>
          </cell>
          <cell r="K348">
            <v>0</v>
          </cell>
          <cell r="M348">
            <v>0</v>
          </cell>
          <cell r="N348">
            <v>2500</v>
          </cell>
          <cell r="P348">
            <v>16502500</v>
          </cell>
          <cell r="Q348">
            <v>46108</v>
          </cell>
        </row>
        <row r="349">
          <cell r="B349" t="str">
            <v>088/K/III/26</v>
          </cell>
          <cell r="C349">
            <v>46108</v>
          </cell>
          <cell r="E349" t="str">
            <v>PT BENAYA AMB MANDIRI</v>
          </cell>
          <cell r="F349" t="str">
            <v>21/BAM-MAR/INV/III/2026</v>
          </cell>
          <cell r="G349" t="str">
            <v>689/OPS-III/2026</v>
          </cell>
          <cell r="H349" t="str">
            <v>Solar HSD TB Entebe Star 30 Voyage 138L</v>
          </cell>
          <cell r="I349">
            <v>823963964</v>
          </cell>
          <cell r="J349">
            <v>90636036</v>
          </cell>
          <cell r="K349">
            <v>0</v>
          </cell>
          <cell r="M349">
            <v>0</v>
          </cell>
          <cell r="P349">
            <v>914600000</v>
          </cell>
          <cell r="Q349">
            <v>46108</v>
          </cell>
        </row>
        <row r="350">
          <cell r="B350" t="str">
            <v>089/K/III/26</v>
          </cell>
          <cell r="C350">
            <v>46108</v>
          </cell>
          <cell r="E350" t="str">
            <v>PT ARGHANIAGA PANCATUNGGAL</v>
          </cell>
          <cell r="F350" t="str">
            <v>055/AP/Bjm/INV/III/2026</v>
          </cell>
          <cell r="G350" t="str">
            <v>697/OPS-III/2026</v>
          </cell>
          <cell r="H350" t="str">
            <v>Bio Solar B40 TB Surya Segara 3 Voyage 137L</v>
          </cell>
          <cell r="I350">
            <v>162162162</v>
          </cell>
          <cell r="J350">
            <v>17837838</v>
          </cell>
          <cell r="K350">
            <v>0</v>
          </cell>
          <cell r="M350">
            <v>0</v>
          </cell>
          <cell r="P350">
            <v>180000000</v>
          </cell>
          <cell r="Q350">
            <v>46108</v>
          </cell>
        </row>
        <row r="351">
          <cell r="B351" t="str">
            <v>090/K/III/26</v>
          </cell>
          <cell r="C351">
            <v>46108</v>
          </cell>
          <cell r="E351" t="str">
            <v>PT BENAYA AMB MANDIRI</v>
          </cell>
          <cell r="F351" t="str">
            <v>22/BAM-MAR/INV/III/2026</v>
          </cell>
          <cell r="G351" t="str">
            <v>698/OPS-III/2026</v>
          </cell>
          <cell r="H351" t="str">
            <v>Solar HSD TB Emperor 3 Voyage BFOL-012</v>
          </cell>
          <cell r="I351">
            <v>242342342</v>
          </cell>
          <cell r="J351">
            <v>26657658</v>
          </cell>
          <cell r="K351">
            <v>0</v>
          </cell>
          <cell r="M351">
            <v>0</v>
          </cell>
          <cell r="P351">
            <v>269000000</v>
          </cell>
          <cell r="Q351">
            <v>46108</v>
          </cell>
        </row>
        <row r="352">
          <cell r="B352" t="str">
            <v>091/K/III/26</v>
          </cell>
          <cell r="C352">
            <v>46111</v>
          </cell>
          <cell r="D352" t="str">
            <v>26020XSUQ</v>
          </cell>
          <cell r="E352" t="str">
            <v>PT ADIKARYA BAHARI GEMILANG</v>
          </cell>
          <cell r="F352" t="str">
            <v>020/INV/ABG-MAR/II/2025</v>
          </cell>
          <cell r="G352" t="str">
            <v>101/PV-MAR/2026</v>
          </cell>
          <cell r="H352" t="str">
            <v>Biaya Freight Charter TB Cipta 2001 - BG Satria 3001 (Jetty Gurimbang - Tarjun) Pelunasan</v>
          </cell>
          <cell r="I352">
            <v>518475000</v>
          </cell>
          <cell r="K352">
            <v>23</v>
          </cell>
          <cell r="M352">
            <v>-12731700</v>
          </cell>
          <cell r="N352">
            <v>15000</v>
          </cell>
          <cell r="P352">
            <v>505758300</v>
          </cell>
          <cell r="Q352">
            <v>46118</v>
          </cell>
        </row>
        <row r="353">
          <cell r="B353" t="str">
            <v>092/K/III/26</v>
          </cell>
          <cell r="C353">
            <v>46111</v>
          </cell>
          <cell r="D353" t="str">
            <v>26020XSUS</v>
          </cell>
          <cell r="E353" t="str">
            <v>PT KRAKATAU SAMUDRA SOLUSI</v>
          </cell>
          <cell r="F353" t="str">
            <v>KSS.SI.260140</v>
          </cell>
          <cell r="G353" t="str">
            <v>150/PV-MAR/2026</v>
          </cell>
          <cell r="H353" t="str">
            <v>Biaya Freight Charter TB Syukur 36 / BG Syukur 37 (Jetty SBA - MV Nefeli)</v>
          </cell>
          <cell r="I353">
            <v>362448000</v>
          </cell>
          <cell r="K353">
            <v>15</v>
          </cell>
          <cell r="M353">
            <v>-4349376</v>
          </cell>
          <cell r="P353">
            <v>358098624</v>
          </cell>
          <cell r="Q353">
            <v>46118</v>
          </cell>
        </row>
        <row r="354">
          <cell r="B354" t="str">
            <v>093/K/III/26</v>
          </cell>
          <cell r="C354">
            <v>46111</v>
          </cell>
          <cell r="D354" t="str">
            <v>26020XSUR</v>
          </cell>
          <cell r="E354" t="str">
            <v>PT KRAKATAU SAMUDRA SOLUSI</v>
          </cell>
          <cell r="F354" t="str">
            <v>KSS.SI.260107</v>
          </cell>
          <cell r="G354" t="str">
            <v>151/PV-MAR/2026</v>
          </cell>
          <cell r="H354" t="str">
            <v>Biaya Freight Charter TB Syukur 1 / BG Syukur 61 (Jetty SBA - MV Nefeli)</v>
          </cell>
          <cell r="I354">
            <v>364848000</v>
          </cell>
          <cell r="K354">
            <v>15</v>
          </cell>
          <cell r="M354">
            <v>-4378176</v>
          </cell>
          <cell r="P354">
            <v>360469824</v>
          </cell>
          <cell r="Q354">
            <v>46118</v>
          </cell>
        </row>
        <row r="355">
          <cell r="B355" t="str">
            <v>094/K/III/26</v>
          </cell>
          <cell r="C355">
            <v>46111</v>
          </cell>
          <cell r="D355" t="str">
            <v>26020XSUX</v>
          </cell>
          <cell r="E355" t="str">
            <v>PT DINASTI SAMUDERA ABADI</v>
          </cell>
          <cell r="F355" t="str">
            <v>82/INV-TK/MAR-DSA/II/26</v>
          </cell>
          <cell r="G355" t="str">
            <v>152/PV-MAR/2026</v>
          </cell>
          <cell r="H355" t="str">
            <v>Biaya Freight Charter TB Emperor 1 / BG Dinasti 3001 (Jetty RMK, Palembang - PLTU Paiton)</v>
          </cell>
          <cell r="I355">
            <v>1290788104</v>
          </cell>
          <cell r="K355">
            <v>15</v>
          </cell>
          <cell r="M355">
            <v>-15489457</v>
          </cell>
          <cell r="N355">
            <v>15000</v>
          </cell>
          <cell r="O355">
            <v>-1</v>
          </cell>
          <cell r="P355">
            <v>1275313646</v>
          </cell>
          <cell r="Q355">
            <v>46118</v>
          </cell>
        </row>
        <row r="356">
          <cell r="B356" t="str">
            <v>094/K/III/26</v>
          </cell>
          <cell r="C356">
            <v>46111</v>
          </cell>
          <cell r="D356" t="str">
            <v>26020XSUX</v>
          </cell>
          <cell r="E356" t="str">
            <v>PT DINASTI SAMUDERA ABADI</v>
          </cell>
          <cell r="F356" t="str">
            <v>DN 082/MAR-DSA/II/2026</v>
          </cell>
          <cell r="G356" t="str">
            <v>152/PV-MAR/2026</v>
          </cell>
          <cell r="H356" t="str">
            <v>Bunker TB Emperor 1 / BG Dinasti 3001 (Jetty Patratani - PLTU Paiton)</v>
          </cell>
          <cell r="I356">
            <v>-180000000</v>
          </cell>
          <cell r="K356">
            <v>0</v>
          </cell>
          <cell r="M356">
            <v>0</v>
          </cell>
          <cell r="P356">
            <v>-180000000</v>
          </cell>
          <cell r="Q356">
            <v>46118</v>
          </cell>
        </row>
        <row r="357">
          <cell r="B357" t="str">
            <v>095/K/III/26</v>
          </cell>
          <cell r="C357">
            <v>46111</v>
          </cell>
          <cell r="D357" t="str">
            <v>26020XSUW</v>
          </cell>
          <cell r="E357" t="str">
            <v>PT BAHARI JAYA MULIA</v>
          </cell>
          <cell r="F357" t="str">
            <v>INV/BJM/2026/III/025</v>
          </cell>
          <cell r="G357" t="str">
            <v>153/PV-MAR/2026</v>
          </cell>
          <cell r="H357" t="str">
            <v>Biaya Freight Charter TB Sumber Bahari 33 / BG BJM 3303 (Jetty Kintap - PLTU 2 Jatim)</v>
          </cell>
          <cell r="I357">
            <v>821584732</v>
          </cell>
          <cell r="K357">
            <v>15</v>
          </cell>
          <cell r="M357">
            <v>-9859016.784</v>
          </cell>
          <cell r="N357">
            <v>15000</v>
          </cell>
          <cell r="P357">
            <v>811740715.21599996</v>
          </cell>
          <cell r="Q357">
            <v>46118</v>
          </cell>
        </row>
        <row r="358">
          <cell r="B358" t="str">
            <v>096/K/III/26</v>
          </cell>
          <cell r="C358">
            <v>46111</v>
          </cell>
          <cell r="E358" t="str">
            <v>BINA SARANA INFORMATIKA</v>
          </cell>
          <cell r="F358" t="str">
            <v>051.02/Y-BSI/II/2026</v>
          </cell>
          <cell r="G358" t="str">
            <v>155/PV-MAR/2026</v>
          </cell>
          <cell r="H358" t="str">
            <v xml:space="preserve">Pembayaran Listrik kantor periode 15/01-18/02 2026 </v>
          </cell>
          <cell r="I358">
            <v>6461600</v>
          </cell>
          <cell r="K358">
            <v>0</v>
          </cell>
          <cell r="M358">
            <v>0</v>
          </cell>
          <cell r="N358">
            <v>2500</v>
          </cell>
          <cell r="P358">
            <v>6464100</v>
          </cell>
          <cell r="Q358">
            <v>46118</v>
          </cell>
        </row>
        <row r="359">
          <cell r="B359" t="str">
            <v>097/K/III/26</v>
          </cell>
          <cell r="C359">
            <v>46111</v>
          </cell>
          <cell r="E359" t="str">
            <v>PT BENAYA AMB MANDIRI</v>
          </cell>
          <cell r="F359" t="str">
            <v>24/BAM-MAR/INV/III/2026</v>
          </cell>
          <cell r="G359" t="str">
            <v>713/OPS-III/2026</v>
          </cell>
          <cell r="H359" t="str">
            <v>Solar HSD TB Emperor 2 Voyage BFOL-13</v>
          </cell>
          <cell r="I359">
            <v>242342342</v>
          </cell>
          <cell r="J359">
            <v>26657658</v>
          </cell>
          <cell r="K359">
            <v>0</v>
          </cell>
          <cell r="M359">
            <v>0</v>
          </cell>
          <cell r="P359">
            <v>269000000</v>
          </cell>
          <cell r="Q359">
            <v>46118</v>
          </cell>
        </row>
        <row r="360">
          <cell r="B360" t="str">
            <v>098/K/III/26</v>
          </cell>
          <cell r="C360">
            <v>46111</v>
          </cell>
          <cell r="E360" t="str">
            <v>DIRJEN PAJAK</v>
          </cell>
          <cell r="G360" t="str">
            <v>156/PV-MAR/2026</v>
          </cell>
          <cell r="H360" t="str">
            <v>Pembayaran PPN periode Februari 2026</v>
          </cell>
          <cell r="I360">
            <v>3201351878</v>
          </cell>
          <cell r="K360">
            <v>0</v>
          </cell>
          <cell r="M360">
            <v>0</v>
          </cell>
          <cell r="P360">
            <v>3201351878</v>
          </cell>
          <cell r="Q360">
            <v>46118</v>
          </cell>
        </row>
        <row r="361">
          <cell r="B361" t="str">
            <v>099/K/III/26</v>
          </cell>
          <cell r="C361">
            <v>46112</v>
          </cell>
          <cell r="E361" t="str">
            <v>CREW ENTEBE STAR 30 / FINACIA 71</v>
          </cell>
          <cell r="G361" t="str">
            <v>157/PV-MAR/2026</v>
          </cell>
          <cell r="H361" t="str">
            <v>Gaji crew Entebe Star 30 / Finacia 71 periode Maret 2026</v>
          </cell>
          <cell r="I361">
            <v>68500000</v>
          </cell>
          <cell r="K361">
            <v>0</v>
          </cell>
          <cell r="M361">
            <v>0</v>
          </cell>
          <cell r="N361">
            <v>26000</v>
          </cell>
          <cell r="P361">
            <v>68526000</v>
          </cell>
          <cell r="Q361">
            <v>46118</v>
          </cell>
        </row>
        <row r="362">
          <cell r="B362" t="str">
            <v>100/K/III/26</v>
          </cell>
          <cell r="C362">
            <v>46112</v>
          </cell>
          <cell r="E362" t="str">
            <v>CREW SURYA SEGARA 3 / FINACIA 96</v>
          </cell>
          <cell r="G362" t="str">
            <v>158/PV-MAR/2026</v>
          </cell>
          <cell r="H362" t="str">
            <v>Gaji Crew Surya Segara 3 / Finacia 96 Periode Maret 2026</v>
          </cell>
          <cell r="I362">
            <v>67596775</v>
          </cell>
          <cell r="K362">
            <v>0</v>
          </cell>
          <cell r="M362">
            <v>0</v>
          </cell>
          <cell r="N362">
            <v>39000</v>
          </cell>
          <cell r="P362">
            <v>67635775</v>
          </cell>
          <cell r="Q362">
            <v>46118</v>
          </cell>
        </row>
        <row r="363">
          <cell r="B363" t="str">
            <v>101/K/III/26</v>
          </cell>
          <cell r="C363">
            <v>46112</v>
          </cell>
          <cell r="E363" t="str">
            <v>ANDI ARDI SAID</v>
          </cell>
          <cell r="G363" t="str">
            <v>159/PV-MAR/2026</v>
          </cell>
          <cell r="H363" t="str">
            <v>Uang makan crew Surya Segara 3 / Finacia 96 periode April 2026</v>
          </cell>
          <cell r="I363">
            <v>16500000</v>
          </cell>
          <cell r="K363">
            <v>0</v>
          </cell>
          <cell r="M363">
            <v>0</v>
          </cell>
          <cell r="N363">
            <v>2500</v>
          </cell>
          <cell r="P363">
            <v>16502500</v>
          </cell>
          <cell r="Q363">
            <v>46118</v>
          </cell>
        </row>
        <row r="364">
          <cell r="B364" t="str">
            <v>102/K/III/26</v>
          </cell>
          <cell r="C364">
            <v>46112</v>
          </cell>
          <cell r="E364" t="str">
            <v>CREW MICHELLE 219-08 / ANGELINE 219-08</v>
          </cell>
          <cell r="G364" t="str">
            <v>160/PV-MAR/2026</v>
          </cell>
          <cell r="H364" t="str">
            <v>Gaji crew Michelle 219-08 / Angeline 219-08 periode Maret 2026</v>
          </cell>
          <cell r="I364">
            <v>68500000</v>
          </cell>
          <cell r="K364">
            <v>0</v>
          </cell>
          <cell r="M364">
            <v>0</v>
          </cell>
          <cell r="N364">
            <v>19500</v>
          </cell>
          <cell r="P364">
            <v>68519500</v>
          </cell>
          <cell r="Q364">
            <v>46119</v>
          </cell>
        </row>
        <row r="365">
          <cell r="B365" t="str">
            <v>103/K/III/26</v>
          </cell>
          <cell r="C365">
            <v>46112</v>
          </cell>
          <cell r="E365" t="str">
            <v>JUSNAEKA</v>
          </cell>
          <cell r="G365" t="str">
            <v>161/PV-MAR/2026</v>
          </cell>
          <cell r="H365" t="str">
            <v>Uang makan crew Michelle 219-08 / Angeline 219-08 periode April 2026</v>
          </cell>
          <cell r="I365">
            <v>16500000</v>
          </cell>
          <cell r="K365">
            <v>0</v>
          </cell>
          <cell r="M365">
            <v>0</v>
          </cell>
          <cell r="P365">
            <v>16500000</v>
          </cell>
          <cell r="Q365">
            <v>46119</v>
          </cell>
        </row>
        <row r="366">
          <cell r="B366" t="str">
            <v>104/K/III/26</v>
          </cell>
          <cell r="C366">
            <v>46112</v>
          </cell>
          <cell r="E366" t="str">
            <v>ZULFADHLI JUSUF</v>
          </cell>
          <cell r="G366" t="str">
            <v>162/PV-MAR/2026</v>
          </cell>
          <cell r="H366" t="str">
            <v>Biaya Operasional - Penggantian dana talangan</v>
          </cell>
          <cell r="I366">
            <v>500000000</v>
          </cell>
          <cell r="K366">
            <v>0</v>
          </cell>
          <cell r="M366">
            <v>0</v>
          </cell>
          <cell r="P366">
            <v>500000000</v>
          </cell>
          <cell r="Q366">
            <v>46119</v>
          </cell>
        </row>
        <row r="367">
          <cell r="B367" t="str">
            <v>105/K/III/26</v>
          </cell>
          <cell r="C367">
            <v>46112</v>
          </cell>
          <cell r="E367" t="str">
            <v>MAS NUROH YUSUF</v>
          </cell>
          <cell r="G367" t="str">
            <v>165/PV-MAR/2026</v>
          </cell>
          <cell r="H367" t="str">
            <v>Biaya operasional bongkar muat di jetty Talenta - Feb 2026</v>
          </cell>
          <cell r="I367">
            <v>106000000</v>
          </cell>
          <cell r="K367">
            <v>0</v>
          </cell>
          <cell r="M367">
            <v>0</v>
          </cell>
          <cell r="N367">
            <v>2500</v>
          </cell>
          <cell r="P367">
            <v>106002500</v>
          </cell>
          <cell r="Q367">
            <v>46119</v>
          </cell>
        </row>
        <row r="368">
          <cell r="B368" t="str">
            <v>106/K/III/26</v>
          </cell>
          <cell r="C368">
            <v>46111</v>
          </cell>
          <cell r="D368" t="str">
            <v>26025WBV7</v>
          </cell>
          <cell r="E368" t="str">
            <v>PT ALPHA PACIFIC LINE</v>
          </cell>
          <cell r="F368" t="str">
            <v>001/APL-F/III/2026</v>
          </cell>
          <cell r="G368" t="str">
            <v>154-PV-MAR/2026</v>
          </cell>
          <cell r="H368" t="str">
            <v>Biaya Time Charter TB APL 7 / BG Baiduri 70273 periode 11 Maret - 10 April 2026</v>
          </cell>
          <cell r="I368">
            <v>875000000</v>
          </cell>
          <cell r="K368">
            <v>15</v>
          </cell>
          <cell r="M368">
            <v>-10500000</v>
          </cell>
          <cell r="P368">
            <v>864500000</v>
          </cell>
          <cell r="Q368">
            <v>46119</v>
          </cell>
        </row>
        <row r="371">
          <cell r="K371">
            <v>0</v>
          </cell>
          <cell r="M371">
            <v>0</v>
          </cell>
          <cell r="P371">
            <v>0</v>
          </cell>
          <cell r="Q371">
            <v>46119</v>
          </cell>
        </row>
        <row r="372">
          <cell r="B372" t="str">
            <v>001/K/IV/26</v>
          </cell>
          <cell r="C372">
            <v>46113</v>
          </cell>
          <cell r="D372" t="str">
            <v>26020XSUT</v>
          </cell>
          <cell r="E372" t="str">
            <v>PT ADHI GUNA PUTERA (Jakarta)</v>
          </cell>
          <cell r="F372" t="str">
            <v>025/DNP/I/TN/2026</v>
          </cell>
          <cell r="G372" t="str">
            <v>684/OPS-III/2026</v>
          </cell>
          <cell r="H372" t="str">
            <v>Jasa Pilotage &amp; Assist Tug TB Michelle XV / BG Benami XV Voyage 129D</v>
          </cell>
          <cell r="I372">
            <v>20727516</v>
          </cell>
          <cell r="K372">
            <v>23</v>
          </cell>
          <cell r="M372">
            <v>-414550.32</v>
          </cell>
          <cell r="N372">
            <v>2500</v>
          </cell>
          <cell r="O372">
            <v>-1</v>
          </cell>
          <cell r="P372">
            <v>20315464.68</v>
          </cell>
          <cell r="Q372">
            <v>46119</v>
          </cell>
        </row>
        <row r="373">
          <cell r="B373" t="str">
            <v>002/K/IV/26</v>
          </cell>
          <cell r="C373">
            <v>46113</v>
          </cell>
          <cell r="D373" t="str">
            <v>26023F6QQ</v>
          </cell>
          <cell r="E373" t="str">
            <v>PT MARITIM BATUBARA PERTAMA</v>
          </cell>
          <cell r="F373" t="str">
            <v>MBP/II-26/0041</v>
          </cell>
          <cell r="G373" t="str">
            <v>668/OPS-II/2026</v>
          </cell>
          <cell r="H373" t="str">
            <v>Mooring &amp; Unmooring TB Surya Segara 3 - BG Finacia 96 Voyage 130D</v>
          </cell>
          <cell r="I373">
            <v>2000000</v>
          </cell>
          <cell r="K373">
            <v>23</v>
          </cell>
          <cell r="M373">
            <v>-40000</v>
          </cell>
          <cell r="N373">
            <v>2500</v>
          </cell>
          <cell r="P373">
            <v>1962500</v>
          </cell>
          <cell r="Q373">
            <v>46119</v>
          </cell>
        </row>
        <row r="374">
          <cell r="B374" t="str">
            <v>002/K/IV/26</v>
          </cell>
          <cell r="C374">
            <v>46113</v>
          </cell>
          <cell r="E374" t="str">
            <v>PT MARITIM BATUBARA PERTAMA</v>
          </cell>
          <cell r="F374" t="str">
            <v>MBP/II-26/0062</v>
          </cell>
          <cell r="G374" t="str">
            <v>701/OPS-III/2026</v>
          </cell>
          <cell r="H374" t="str">
            <v>Mooring &amp; Unmooring TB Michelle XV - BG Benami XV Voyage 134D</v>
          </cell>
          <cell r="I374">
            <v>2000000</v>
          </cell>
          <cell r="K374">
            <v>23</v>
          </cell>
          <cell r="M374">
            <v>-40000</v>
          </cell>
          <cell r="P374">
            <v>1960000</v>
          </cell>
          <cell r="Q374">
            <v>46119</v>
          </cell>
        </row>
        <row r="375">
          <cell r="B375" t="str">
            <v>002/K/IV/26</v>
          </cell>
          <cell r="C375">
            <v>46113</v>
          </cell>
          <cell r="E375" t="str">
            <v>PT MARITIM BATUBARA PERTAMA</v>
          </cell>
          <cell r="F375" t="str">
            <v>MBP/II-26/0036</v>
          </cell>
          <cell r="G375" t="str">
            <v>670/OPS-III/2026</v>
          </cell>
          <cell r="H375" t="str">
            <v>Mooring &amp; Unmooring TB Entebe Star 30 - BG Finacia 71 Voyage 128D</v>
          </cell>
          <cell r="I375">
            <v>2000000</v>
          </cell>
          <cell r="K375">
            <v>23</v>
          </cell>
          <cell r="M375">
            <v>-40000</v>
          </cell>
          <cell r="N375">
            <v>0</v>
          </cell>
          <cell r="P375">
            <v>1960000</v>
          </cell>
          <cell r="Q375">
            <v>46119</v>
          </cell>
        </row>
        <row r="376">
          <cell r="B376" t="str">
            <v>003/K/IV/26</v>
          </cell>
          <cell r="C376">
            <v>46113</v>
          </cell>
          <cell r="D376" t="str">
            <v>26020XSUV</v>
          </cell>
          <cell r="E376" t="str">
            <v>PT ANDALAN LANCAR NIAGA</v>
          </cell>
          <cell r="F376" t="str">
            <v>00028/ALN-INV/II/2026</v>
          </cell>
          <cell r="G376" t="str">
            <v>163/PV-MAR/2026</v>
          </cell>
          <cell r="H376" t="str">
            <v xml:space="preserve">Biaya Freight Charter TB Michelle XV / BG Benami XV </v>
          </cell>
          <cell r="I376">
            <v>1290000000</v>
          </cell>
          <cell r="K376">
            <v>0</v>
          </cell>
          <cell r="M376">
            <v>-15480000</v>
          </cell>
          <cell r="N376">
            <v>15000</v>
          </cell>
          <cell r="P376">
            <v>1274535000</v>
          </cell>
          <cell r="Q376">
            <v>46119</v>
          </cell>
        </row>
        <row r="377">
          <cell r="B377" t="str">
            <v>004/K/IV/26</v>
          </cell>
          <cell r="C377">
            <v>46113</v>
          </cell>
          <cell r="E377" t="str">
            <v>MAS NUROH YUSUF</v>
          </cell>
          <cell r="G377" t="str">
            <v>166/PV-MAR/2026</v>
          </cell>
          <cell r="H377" t="str">
            <v>Biaya operasional bongkar muat di PLTU Paiton 1-2 Feb 2026</v>
          </cell>
          <cell r="I377">
            <v>107200000</v>
          </cell>
          <cell r="K377">
            <v>0</v>
          </cell>
          <cell r="M377">
            <v>0</v>
          </cell>
          <cell r="N377">
            <v>2500</v>
          </cell>
          <cell r="P377">
            <v>107202500</v>
          </cell>
          <cell r="Q377">
            <v>46119</v>
          </cell>
        </row>
        <row r="378">
          <cell r="B378" t="str">
            <v>005/K/IV/26</v>
          </cell>
          <cell r="C378">
            <v>46113</v>
          </cell>
          <cell r="D378" t="str">
            <v>2602M4ZPK</v>
          </cell>
          <cell r="E378" t="str">
            <v>PT TANTO MAJU BERSAMA</v>
          </cell>
          <cell r="F378" t="str">
            <v>016/INV-TMB/MAR/III/2026</v>
          </cell>
          <cell r="G378" t="str">
            <v>695/OPS-III/2026</v>
          </cell>
          <cell r="H378" t="str">
            <v>Product FinaCOAL TB Michelle 219-08</v>
          </cell>
          <cell r="I378">
            <v>9200000</v>
          </cell>
          <cell r="J378">
            <v>880000</v>
          </cell>
          <cell r="K378">
            <v>23</v>
          </cell>
          <cell r="M378">
            <v>-24000</v>
          </cell>
          <cell r="O378">
            <v>-855120</v>
          </cell>
          <cell r="P378">
            <v>9200880</v>
          </cell>
          <cell r="Q378">
            <v>46122</v>
          </cell>
        </row>
        <row r="379">
          <cell r="B379" t="str">
            <v>006/K/IV/26</v>
          </cell>
          <cell r="C379">
            <v>46113</v>
          </cell>
          <cell r="E379" t="str">
            <v>PT MARITIM INDO RAYA</v>
          </cell>
          <cell r="F379" t="str">
            <v>025/PRO/MIR-MAR/II/2026, 026/PRO/MIR-MAR/II/2026</v>
          </cell>
          <cell r="G379" t="str">
            <v>671/OPS-II/2026</v>
          </cell>
          <cell r="H379" t="str">
            <v>Double bayar atas voucher 096/K/II/26 dan 097/K/II/26</v>
          </cell>
          <cell r="I379">
            <v>66458000</v>
          </cell>
          <cell r="N379">
            <v>2500</v>
          </cell>
          <cell r="P379">
            <v>66460500</v>
          </cell>
          <cell r="Q379">
            <v>46122</v>
          </cell>
        </row>
        <row r="380">
          <cell r="B380" t="str">
            <v>006/K/IV/26</v>
          </cell>
          <cell r="C380">
            <v>46113</v>
          </cell>
          <cell r="E380" t="str">
            <v>PT MARITIM INDO RAYA</v>
          </cell>
          <cell r="F380" t="str">
            <v>025/PRO/MIR-MAR/II/2026, 026/PRO/MIR-MAR/II/2026</v>
          </cell>
          <cell r="G380" t="str">
            <v>671/OPS-II/2026</v>
          </cell>
          <cell r="H380" t="str">
            <v>Double bayar atas voucher 096/K/II/26 dan 097/K/II/26</v>
          </cell>
          <cell r="I380">
            <v>59458000</v>
          </cell>
          <cell r="P380">
            <v>59458000</v>
          </cell>
          <cell r="Q380">
            <v>46122</v>
          </cell>
        </row>
        <row r="381">
          <cell r="B381" t="str">
            <v>007/K/IV/26</v>
          </cell>
          <cell r="C381">
            <v>46113</v>
          </cell>
          <cell r="D381" t="str">
            <v>26023F6QO</v>
          </cell>
          <cell r="E381" t="str">
            <v>PT SINARMAS LDA USAHA PELABUHAN</v>
          </cell>
          <cell r="F381" t="str">
            <v>CI26-00811</v>
          </cell>
          <cell r="G381" t="str">
            <v>667/OPS-II/2026</v>
          </cell>
          <cell r="H381" t="str">
            <v>Assist Tug &amp; Pilotage Service TB Surya Segara 3 - BG Finacia 96 Voyage 130D</v>
          </cell>
          <cell r="I381">
            <v>21483693</v>
          </cell>
          <cell r="K381">
            <v>23</v>
          </cell>
          <cell r="M381">
            <v>-429673</v>
          </cell>
          <cell r="N381">
            <v>2500</v>
          </cell>
          <cell r="O381">
            <v>-3</v>
          </cell>
          <cell r="P381">
            <v>21056517</v>
          </cell>
          <cell r="Q381">
            <v>46122</v>
          </cell>
        </row>
        <row r="382">
          <cell r="B382" t="str">
            <v>007/K/IV/26</v>
          </cell>
          <cell r="C382">
            <v>46113</v>
          </cell>
          <cell r="D382" t="str">
            <v>26023F6QO</v>
          </cell>
          <cell r="E382" t="str">
            <v>PT SINARMAS LDA USAHA PELABUHAN</v>
          </cell>
          <cell r="F382" t="str">
            <v>CI26-00750</v>
          </cell>
          <cell r="G382" t="str">
            <v>669/OPS-II/2026</v>
          </cell>
          <cell r="H382" t="str">
            <v>Assist Tug &amp; Pilotage Service TB Entebe Star 30 &amp; BG Finacia 71 Voyage 128D</v>
          </cell>
          <cell r="I382">
            <v>21483472.5</v>
          </cell>
          <cell r="K382">
            <v>23</v>
          </cell>
          <cell r="M382">
            <v>-429669</v>
          </cell>
          <cell r="P382">
            <v>21053803.5</v>
          </cell>
          <cell r="Q382">
            <v>46122</v>
          </cell>
        </row>
        <row r="383">
          <cell r="B383" t="str">
            <v>007/K/IV/26</v>
          </cell>
          <cell r="C383">
            <v>46113</v>
          </cell>
          <cell r="D383" t="str">
            <v>26023F6QO</v>
          </cell>
          <cell r="E383" t="str">
            <v>PT SINARMAS LDA USAHA PELABUHAN</v>
          </cell>
          <cell r="F383" t="str">
            <v>CI26-01250</v>
          </cell>
          <cell r="G383" t="str">
            <v>700/OPS-II/2026</v>
          </cell>
          <cell r="H383" t="str">
            <v>Assist Tug &amp; Pilotage TB Michelle XV / BG Benami XV Voyage 134D</v>
          </cell>
          <cell r="I383">
            <v>21490308</v>
          </cell>
          <cell r="K383">
            <v>23</v>
          </cell>
          <cell r="M383">
            <v>-429806.16000000003</v>
          </cell>
          <cell r="P383">
            <v>21060501.84</v>
          </cell>
          <cell r="Q383">
            <v>46122</v>
          </cell>
        </row>
        <row r="384">
          <cell r="B384" t="str">
            <v>008/K/IV/26</v>
          </cell>
          <cell r="C384">
            <v>46113</v>
          </cell>
          <cell r="D384" t="str">
            <v>26023F6QS</v>
          </cell>
          <cell r="E384" t="str">
            <v>PT PELAYARAN PESONA BANYUBIRU</v>
          </cell>
          <cell r="F384" t="str">
            <v>0118/INV/I/2026</v>
          </cell>
          <cell r="G384" t="str">
            <v>693/OPS-III/2026</v>
          </cell>
          <cell r="H384" t="str">
            <v>Biaya Handling Keagenan TB Surya Segara 3 / BG Finacia 96 Voyage 124D</v>
          </cell>
          <cell r="I384">
            <v>24990000</v>
          </cell>
          <cell r="J384">
            <v>1650000</v>
          </cell>
          <cell r="K384">
            <v>23</v>
          </cell>
          <cell r="M384">
            <v>-300000</v>
          </cell>
          <cell r="N384">
            <v>2500</v>
          </cell>
          <cell r="P384">
            <v>26342500</v>
          </cell>
          <cell r="Q384">
            <v>46122</v>
          </cell>
        </row>
        <row r="385">
          <cell r="B385" t="str">
            <v>009/K/IV/26</v>
          </cell>
          <cell r="C385">
            <v>46115</v>
          </cell>
          <cell r="E385" t="str">
            <v>PT MULTI ARTHA SEGORO</v>
          </cell>
          <cell r="F385" t="str">
            <v>022/MAS-MAR/HSD/III/2026</v>
          </cell>
          <cell r="G385" t="str">
            <v>718/OPS-III/2026</v>
          </cell>
          <cell r="H385" t="str">
            <v>Solar B40 TB Michelle XV Voyage 140D</v>
          </cell>
          <cell r="I385">
            <v>132099099</v>
          </cell>
          <cell r="J385">
            <v>14530901</v>
          </cell>
          <cell r="K385">
            <v>0</v>
          </cell>
          <cell r="M385">
            <v>0</v>
          </cell>
          <cell r="P385">
            <v>146630000</v>
          </cell>
          <cell r="Q385">
            <v>46122</v>
          </cell>
        </row>
        <row r="386">
          <cell r="B386" t="str">
            <v>010/K/IV/26</v>
          </cell>
          <cell r="C386">
            <v>46118</v>
          </cell>
          <cell r="D386" t="str">
            <v>26023F6QR</v>
          </cell>
          <cell r="E386" t="str">
            <v>KAP JOJO SUNARJO DAN REKAN</v>
          </cell>
          <cell r="F386" t="str">
            <v>743/INV/KAPJSR-JKT/IV/126</v>
          </cell>
          <cell r="G386" t="str">
            <v>167/PV-MAR/2026</v>
          </cell>
          <cell r="H386" t="str">
            <v>DP Genaral Audit 31 Desember 2025</v>
          </cell>
          <cell r="I386">
            <v>27500000</v>
          </cell>
          <cell r="J386">
            <v>3025000</v>
          </cell>
          <cell r="K386">
            <v>23</v>
          </cell>
          <cell r="M386">
            <v>-550000</v>
          </cell>
          <cell r="N386">
            <v>2500</v>
          </cell>
          <cell r="P386">
            <v>29977500</v>
          </cell>
          <cell r="Q386">
            <v>46125</v>
          </cell>
        </row>
        <row r="387">
          <cell r="B387" t="str">
            <v>011/K/IV/26</v>
          </cell>
          <cell r="C387">
            <v>46118</v>
          </cell>
          <cell r="E387" t="str">
            <v>PT BENAYA AMB MANDIRI</v>
          </cell>
          <cell r="F387" t="str">
            <v>25/BAM-MAR/INV/III/2026</v>
          </cell>
          <cell r="G387" t="str">
            <v>715/OPS-III/2026</v>
          </cell>
          <cell r="H387" t="str">
            <v>Solar HSD TB Michelle XV Voyage 141L</v>
          </cell>
          <cell r="I387">
            <v>282837838</v>
          </cell>
          <cell r="J387">
            <v>31112162</v>
          </cell>
          <cell r="K387">
            <v>0</v>
          </cell>
          <cell r="M387">
            <v>0</v>
          </cell>
          <cell r="P387">
            <v>313950000</v>
          </cell>
          <cell r="Q387">
            <v>46125</v>
          </cell>
        </row>
        <row r="388">
          <cell r="B388" t="str">
            <v>012/K/IV/26</v>
          </cell>
          <cell r="C388">
            <v>46119</v>
          </cell>
          <cell r="D388" t="str">
            <v>26027AJBK</v>
          </cell>
          <cell r="E388" t="str">
            <v>SRI WAHYUNI</v>
          </cell>
          <cell r="G388" t="str">
            <v>719/OPS-III/2026</v>
          </cell>
          <cell r="H388" t="str">
            <v>Pengurusan Dokumen Kapal</v>
          </cell>
          <cell r="I388">
            <v>27950000</v>
          </cell>
          <cell r="K388">
            <v>23</v>
          </cell>
          <cell r="M388">
            <v>-698750</v>
          </cell>
          <cell r="P388">
            <v>27251250</v>
          </cell>
          <cell r="Q388">
            <v>46125</v>
          </cell>
        </row>
        <row r="389">
          <cell r="B389" t="str">
            <v>013/K/IV/26</v>
          </cell>
          <cell r="C389">
            <v>46119</v>
          </cell>
          <cell r="D389" t="str">
            <v>26023F6QP</v>
          </cell>
          <cell r="E389" t="str">
            <v>PT DINASTI SAMUDERA ABADI</v>
          </cell>
          <cell r="F389" t="str">
            <v>16/INV-TK/MAR-DSA/III/26</v>
          </cell>
          <cell r="G389" t="str">
            <v>168/PV-MAR/2026</v>
          </cell>
          <cell r="H389" t="str">
            <v>Biaya Freight Charter TB Emperor 3 / BG Dinasti 3003 (Jetty Patratani - PLTU Paiton)</v>
          </cell>
          <cell r="I389">
            <v>1270993100</v>
          </cell>
          <cell r="K389">
            <v>15</v>
          </cell>
          <cell r="M389">
            <v>-15251917</v>
          </cell>
          <cell r="N389">
            <v>15000</v>
          </cell>
          <cell r="O389">
            <v>-1</v>
          </cell>
          <cell r="P389">
            <v>1255756182</v>
          </cell>
          <cell r="Q389">
            <v>46125</v>
          </cell>
        </row>
        <row r="390">
          <cell r="B390" t="str">
            <v>013/K/IV/26</v>
          </cell>
          <cell r="C390">
            <v>46119</v>
          </cell>
          <cell r="E390" t="str">
            <v>PT DINASTI SAMUDERA ABADI</v>
          </cell>
          <cell r="F390" t="str">
            <v>DN 016/MAR-DSA/III/26</v>
          </cell>
          <cell r="G390" t="str">
            <v>168/PV-MAR/2026</v>
          </cell>
          <cell r="H390" t="str">
            <v>Biaya Freight Charter TB Emperor 3 / BG Dinasti 3003 (Jetty Patratani - PLTU Paiton)</v>
          </cell>
          <cell r="I390">
            <v>-180000000</v>
          </cell>
          <cell r="K390">
            <v>0</v>
          </cell>
          <cell r="M390">
            <v>0</v>
          </cell>
          <cell r="P390">
            <v>-180000000</v>
          </cell>
          <cell r="Q390">
            <v>46125</v>
          </cell>
        </row>
        <row r="391">
          <cell r="B391" t="str">
            <v>014/K/IV/26</v>
          </cell>
          <cell r="C391">
            <v>46119</v>
          </cell>
          <cell r="D391" t="str">
            <v>26023F6QT</v>
          </cell>
          <cell r="E391" t="str">
            <v>PT PATRIA MARITIME LINES</v>
          </cell>
          <cell r="F391">
            <v>9231002139</v>
          </cell>
          <cell r="G391" t="str">
            <v>164/PV-MAR/2026</v>
          </cell>
          <cell r="H391" t="str">
            <v>Biaya Freight Charter TB Patria 1 / BG Arrakis (Gresik - Makassar)</v>
          </cell>
          <cell r="I391">
            <v>907950960</v>
          </cell>
          <cell r="K391">
            <v>15</v>
          </cell>
          <cell r="M391">
            <v>-10895411.52</v>
          </cell>
          <cell r="P391">
            <v>897055548.48000002</v>
          </cell>
          <cell r="Q391">
            <v>46125</v>
          </cell>
        </row>
        <row r="392">
          <cell r="B392" t="str">
            <v>015/K/IV/26</v>
          </cell>
          <cell r="C392">
            <v>46119</v>
          </cell>
          <cell r="D392" t="str">
            <v>2602M4ZP2</v>
          </cell>
          <cell r="E392" t="str">
            <v>PT CAHAYA SAMODERA BERSAUDARA</v>
          </cell>
          <cell r="F392" t="str">
            <v>CSB/INV/MRDCS/26/03244</v>
          </cell>
          <cell r="G392" t="str">
            <v>707/OPS-III/2026</v>
          </cell>
          <cell r="H392" t="str">
            <v>Boat Charge TB Michelle 219-08</v>
          </cell>
          <cell r="I392">
            <v>2700000</v>
          </cell>
          <cell r="J392">
            <v>297000</v>
          </cell>
          <cell r="K392">
            <v>23</v>
          </cell>
          <cell r="M392">
            <v>-54000</v>
          </cell>
          <cell r="N392">
            <v>6500</v>
          </cell>
          <cell r="P392">
            <v>2949500</v>
          </cell>
          <cell r="Q392">
            <v>46125</v>
          </cell>
        </row>
        <row r="393">
          <cell r="B393" t="str">
            <v>015/K/IV/26</v>
          </cell>
          <cell r="C393">
            <v>46119</v>
          </cell>
          <cell r="E393" t="str">
            <v>PT CAHAYA SAMODERA BERSAUDARA</v>
          </cell>
          <cell r="F393" t="str">
            <v>CSB/INV/MRDCS/26/03243</v>
          </cell>
          <cell r="G393" t="str">
            <v>706/OPS-III/2026</v>
          </cell>
          <cell r="H393" t="str">
            <v>Sirius S4 15W-40 1*209L TB Michelle 219-08</v>
          </cell>
          <cell r="I393">
            <v>18750000</v>
          </cell>
          <cell r="K393">
            <v>0</v>
          </cell>
          <cell r="M393">
            <v>0</v>
          </cell>
          <cell r="P393">
            <v>18750000</v>
          </cell>
          <cell r="Q393">
            <v>46125</v>
          </cell>
        </row>
        <row r="394">
          <cell r="B394" t="str">
            <v>016/K/IV/26</v>
          </cell>
          <cell r="C394">
            <v>46119</v>
          </cell>
          <cell r="E394" t="str">
            <v>2 SAUDARA TEKNIK</v>
          </cell>
          <cell r="G394" t="str">
            <v>727/OPS-IV/2026</v>
          </cell>
          <cell r="H394" t="str">
            <v>Cuci AC TB Michelle 219-08 Voyage 145L</v>
          </cell>
          <cell r="I394">
            <v>1685000</v>
          </cell>
          <cell r="K394">
            <v>0</v>
          </cell>
          <cell r="M394">
            <v>0</v>
          </cell>
          <cell r="N394">
            <v>2500</v>
          </cell>
          <cell r="P394">
            <v>1687500</v>
          </cell>
          <cell r="Q394">
            <v>46125</v>
          </cell>
        </row>
        <row r="395">
          <cell r="B395" t="str">
            <v>017/K/IV/26</v>
          </cell>
          <cell r="C395">
            <v>46119</v>
          </cell>
          <cell r="E395" t="str">
            <v>PT ZIO JAYA BAHARI</v>
          </cell>
          <cell r="F395" t="str">
            <v>015/ZIO-CRB/IV/2026</v>
          </cell>
          <cell r="G395" t="str">
            <v>724/OPS-IV/2026</v>
          </cell>
          <cell r="H395" t="str">
            <v>Advance (DP) TB Surya Segara 3 / BG Finacia 96 Voyage 137D</v>
          </cell>
          <cell r="I395">
            <v>10000000</v>
          </cell>
          <cell r="K395">
            <v>0</v>
          </cell>
          <cell r="M395">
            <v>0</v>
          </cell>
          <cell r="P395">
            <v>10000000</v>
          </cell>
          <cell r="Q395">
            <v>46125</v>
          </cell>
        </row>
        <row r="396">
          <cell r="B396" t="str">
            <v>018/K/IV/26</v>
          </cell>
          <cell r="C396">
            <v>46119</v>
          </cell>
          <cell r="D396" t="str">
            <v>2602798CP</v>
          </cell>
          <cell r="E396" t="str">
            <v>PT GARUDA UNGGUL NASIONAL</v>
          </cell>
          <cell r="F396" t="str">
            <v>007.01.2026/GUT</v>
          </cell>
          <cell r="G396" t="str">
            <v>703/OPS-IV/2026</v>
          </cell>
          <cell r="H396" t="str">
            <v>Agency Fee TB Michelle 219-08 - BG Angeline 219-08 Voyage 122D</v>
          </cell>
          <cell r="I396">
            <v>30804346</v>
          </cell>
          <cell r="J396">
            <v>220000</v>
          </cell>
          <cell r="K396">
            <v>23</v>
          </cell>
          <cell r="M396">
            <v>-40000</v>
          </cell>
          <cell r="N396">
            <v>2500</v>
          </cell>
          <cell r="P396">
            <v>30986846</v>
          </cell>
          <cell r="Q396">
            <v>46126</v>
          </cell>
        </row>
        <row r="397">
          <cell r="B397" t="str">
            <v>019/K/IV/26</v>
          </cell>
          <cell r="C397">
            <v>46119</v>
          </cell>
          <cell r="D397" t="str">
            <v>2602798CM</v>
          </cell>
          <cell r="E397" t="str">
            <v>PT ELEANOR PRADANA SHIPPING</v>
          </cell>
          <cell r="F397" t="str">
            <v>0041/INV-ELPRAS/II/2026</v>
          </cell>
          <cell r="G397" t="str">
            <v>699/OPS-III/2026</v>
          </cell>
          <cell r="H397" t="str">
            <v>Clearance Cost &amp; Agency Fee TB Michelle XV / BG Benami XV Voyage 129D</v>
          </cell>
          <cell r="I397">
            <v>14179999</v>
          </cell>
          <cell r="J397">
            <v>220000</v>
          </cell>
          <cell r="K397">
            <v>23</v>
          </cell>
          <cell r="M397">
            <v>-40000</v>
          </cell>
          <cell r="N397">
            <v>2500</v>
          </cell>
          <cell r="O397">
            <v>39991</v>
          </cell>
          <cell r="P397">
            <v>14402490</v>
          </cell>
          <cell r="Q397">
            <v>46126</v>
          </cell>
        </row>
        <row r="398">
          <cell r="B398" t="str">
            <v>020/K/IV/26</v>
          </cell>
          <cell r="C398">
            <v>46119</v>
          </cell>
          <cell r="D398" t="str">
            <v>2602798CR</v>
          </cell>
          <cell r="E398" t="str">
            <v>PT ADHI GUNA PUTERA (Paiton)</v>
          </cell>
          <cell r="F398" t="str">
            <v>K0065/INV-PTN/II/2026</v>
          </cell>
          <cell r="G398" t="str">
            <v>704/OPS-III/2026</v>
          </cell>
          <cell r="H398" t="str">
            <v>Call Fee TB Michelle 219-08 / BG Angeline 219-08 Voyage 131D</v>
          </cell>
          <cell r="I398">
            <v>8418537</v>
          </cell>
          <cell r="J398">
            <v>220000</v>
          </cell>
          <cell r="K398">
            <v>23</v>
          </cell>
          <cell r="M398">
            <v>-40000</v>
          </cell>
          <cell r="N398">
            <v>2500</v>
          </cell>
          <cell r="P398">
            <v>8601037</v>
          </cell>
          <cell r="Q398">
            <v>46126</v>
          </cell>
        </row>
        <row r="399">
          <cell r="B399" t="str">
            <v>020/K/IV/26</v>
          </cell>
          <cell r="C399">
            <v>46119</v>
          </cell>
          <cell r="E399" t="str">
            <v>PT ADHI GUNA PUTERA (Paiton)</v>
          </cell>
          <cell r="F399" t="str">
            <v>K0061A/INV-PTN/III/2026</v>
          </cell>
          <cell r="G399" t="str">
            <v>705/OPS-III/2026</v>
          </cell>
          <cell r="H399" t="str">
            <v>Biaya supply air tawar TB Surya Segara 3 Voyage 130D</v>
          </cell>
          <cell r="I399">
            <v>1500000</v>
          </cell>
          <cell r="P399">
            <v>1500000</v>
          </cell>
          <cell r="Q399">
            <v>46126</v>
          </cell>
        </row>
        <row r="400">
          <cell r="B400" t="str">
            <v>021/K/IV/26</v>
          </cell>
          <cell r="C400">
            <v>46119</v>
          </cell>
          <cell r="E400" t="str">
            <v>PT DAIDAN UTAMA PIALANG ASURANSI</v>
          </cell>
          <cell r="F400" t="str">
            <v>0469/CPNI/03/26</v>
          </cell>
          <cell r="G400" t="str">
            <v>722/OPS-IV/2026</v>
          </cell>
          <cell r="H400" t="str">
            <v xml:space="preserve">Insurance P&amp;I TB Entebe Star 30 &amp; BG Finacia 71 </v>
          </cell>
          <cell r="I400">
            <v>26076575</v>
          </cell>
          <cell r="N400">
            <v>514500</v>
          </cell>
          <cell r="P400">
            <v>26591075</v>
          </cell>
          <cell r="Q400">
            <v>46126</v>
          </cell>
        </row>
        <row r="401">
          <cell r="B401" t="str">
            <v>022/K/IV/26</v>
          </cell>
          <cell r="C401">
            <v>46119</v>
          </cell>
          <cell r="E401" t="str">
            <v>PT DAIDAN UTAMA PIALANG ASURANSI</v>
          </cell>
          <cell r="F401" t="str">
            <v>0468/CPNI/03/26</v>
          </cell>
          <cell r="G401" t="str">
            <v>723/OPS-IV/2026</v>
          </cell>
          <cell r="H401" t="str">
            <v xml:space="preserve">Insurance P&amp;I TB Michelle 219-08 &amp; BG Angeline 219-08 </v>
          </cell>
          <cell r="I401">
            <v>26076575</v>
          </cell>
          <cell r="N401">
            <v>514500</v>
          </cell>
          <cell r="P401">
            <v>26591075</v>
          </cell>
          <cell r="Q401">
            <v>46126</v>
          </cell>
        </row>
        <row r="402">
          <cell r="B402" t="str">
            <v>023/K/IV/26</v>
          </cell>
          <cell r="C402">
            <v>46120</v>
          </cell>
          <cell r="E402" t="str">
            <v>PT MULTI ARTHA SEGORO</v>
          </cell>
          <cell r="F402" t="str">
            <v>031/MAS-MAR/HSD/IV/2026</v>
          </cell>
          <cell r="G402" t="str">
            <v>729/OPS-IV/2026</v>
          </cell>
          <cell r="H402" t="str">
            <v>Solar B40 TB Surya Segara 3 Voyage 137D</v>
          </cell>
          <cell r="I402">
            <v>461261261</v>
          </cell>
          <cell r="J402">
            <v>50738738.710000001</v>
          </cell>
          <cell r="P402">
            <v>511999999.70999998</v>
          </cell>
          <cell r="Q402">
            <v>46126</v>
          </cell>
        </row>
        <row r="403">
          <cell r="B403" t="str">
            <v>024/K/IV/26</v>
          </cell>
          <cell r="C403">
            <v>46120</v>
          </cell>
          <cell r="E403" t="str">
            <v>YONI FIRDAUS WIBOWO</v>
          </cell>
          <cell r="G403" t="str">
            <v>170/PV-MAR/2026</v>
          </cell>
          <cell r="H403" t="str">
            <v>Reimbursement periode Maret 2026</v>
          </cell>
          <cell r="I403">
            <v>1244500</v>
          </cell>
          <cell r="J403">
            <v>0</v>
          </cell>
          <cell r="K403">
            <v>0</v>
          </cell>
          <cell r="M403">
            <v>0</v>
          </cell>
          <cell r="P403">
            <v>1244500</v>
          </cell>
          <cell r="Q403">
            <v>46126</v>
          </cell>
        </row>
        <row r="404">
          <cell r="B404" t="str">
            <v>025/K/IV/26</v>
          </cell>
          <cell r="C404">
            <v>46120</v>
          </cell>
          <cell r="E404" t="str">
            <v>MASUDI</v>
          </cell>
          <cell r="G404" t="str">
            <v>171/PV-MAR/2026</v>
          </cell>
          <cell r="H404" t="str">
            <v>Balance traveling monitoring perbaikan gear box TB Entebe Star 30 periode 07-20 Maret 2026</v>
          </cell>
          <cell r="I404">
            <v>3652494</v>
          </cell>
          <cell r="J404">
            <v>0</v>
          </cell>
          <cell r="K404">
            <v>0</v>
          </cell>
          <cell r="M404">
            <v>0</v>
          </cell>
          <cell r="P404">
            <v>3652494</v>
          </cell>
          <cell r="Q404">
            <v>46126</v>
          </cell>
        </row>
        <row r="405">
          <cell r="B405" t="str">
            <v>026/K/IV/26</v>
          </cell>
          <cell r="C405">
            <v>46121</v>
          </cell>
          <cell r="E405" t="str">
            <v>PT BENAYA AMB MANDIRI</v>
          </cell>
          <cell r="F405" t="str">
            <v>26/BAM-MAR/INV/III/2026</v>
          </cell>
          <cell r="G405" t="str">
            <v>716/OPS-III/2026</v>
          </cell>
          <cell r="H405" t="str">
            <v>Solar HSD TB Michelle XV Voyage 143L</v>
          </cell>
          <cell r="I405">
            <v>639459459</v>
          </cell>
          <cell r="J405">
            <v>70340541</v>
          </cell>
          <cell r="K405">
            <v>0</v>
          </cell>
          <cell r="M405">
            <v>0</v>
          </cell>
          <cell r="P405">
            <v>709800000</v>
          </cell>
          <cell r="Q405">
            <v>46126</v>
          </cell>
        </row>
        <row r="406">
          <cell r="B406" t="str">
            <v>027/K/IV/26</v>
          </cell>
          <cell r="C406">
            <v>46122</v>
          </cell>
          <cell r="E406" t="str">
            <v>JUSNAEKA</v>
          </cell>
          <cell r="G406" t="str">
            <v>131/OPS-Premi/2026</v>
          </cell>
          <cell r="H406" t="str">
            <v>Premi Crew TB Michelle 219-08 / BG Angeline 219-08 Voyage 131</v>
          </cell>
          <cell r="I406">
            <v>21225313</v>
          </cell>
          <cell r="K406">
            <v>0</v>
          </cell>
          <cell r="M406">
            <v>0</v>
          </cell>
          <cell r="P406">
            <v>21225313</v>
          </cell>
          <cell r="Q406">
            <v>46126</v>
          </cell>
        </row>
        <row r="407">
          <cell r="B407" t="str">
            <v>028/K/IV/26</v>
          </cell>
          <cell r="C407">
            <v>46122</v>
          </cell>
          <cell r="E407" t="str">
            <v>JUSNAEKA</v>
          </cell>
          <cell r="G407" t="str">
            <v>136/OPS-Premi/2026</v>
          </cell>
          <cell r="H407" t="str">
            <v>Premi Crew TB Michelle 219-08 / BG Angeline 219-08 Voyage 136</v>
          </cell>
          <cell r="I407">
            <v>12360463</v>
          </cell>
          <cell r="K407">
            <v>0</v>
          </cell>
          <cell r="M407">
            <v>0</v>
          </cell>
          <cell r="P407">
            <v>12360463</v>
          </cell>
          <cell r="Q407">
            <v>46126</v>
          </cell>
        </row>
        <row r="408">
          <cell r="B408" t="str">
            <v>029/K/IV/26</v>
          </cell>
          <cell r="C408">
            <v>46122</v>
          </cell>
          <cell r="E408" t="str">
            <v>JUSNAEKA</v>
          </cell>
          <cell r="G408" t="str">
            <v>141/OPS-Premi/2026</v>
          </cell>
          <cell r="H408" t="str">
            <v>Premi Crew TB Michelle 219-08 / BG Angeline 219-08 Voyage 141</v>
          </cell>
          <cell r="I408">
            <v>17360400</v>
          </cell>
          <cell r="K408">
            <v>0</v>
          </cell>
          <cell r="M408">
            <v>0</v>
          </cell>
          <cell r="P408">
            <v>17360400</v>
          </cell>
          <cell r="Q408">
            <v>46126</v>
          </cell>
        </row>
        <row r="409">
          <cell r="B409" t="str">
            <v>030/K/IV/26</v>
          </cell>
          <cell r="C409">
            <v>46122</v>
          </cell>
          <cell r="D409" t="str">
            <v>2602M4ZP3</v>
          </cell>
          <cell r="E409" t="str">
            <v>PT MARITIM INDO RAYA</v>
          </cell>
          <cell r="F409" t="str">
            <v>028/INV/MIR-MAR/III/2026</v>
          </cell>
          <cell r="G409" t="str">
            <v>725/OPS-IV/2026</v>
          </cell>
          <cell r="H409" t="str">
            <v>Biaya Keagenan TB Michelle 219-08 Voyage 141</v>
          </cell>
          <cell r="I409">
            <v>47615026</v>
          </cell>
          <cell r="J409">
            <v>440000</v>
          </cell>
          <cell r="K409" t="str">
            <v>4(2)</v>
          </cell>
          <cell r="M409">
            <v>-20000</v>
          </cell>
          <cell r="N409">
            <v>2500</v>
          </cell>
          <cell r="O409">
            <v>-80000</v>
          </cell>
          <cell r="P409">
            <v>47957526</v>
          </cell>
          <cell r="Q409">
            <v>46126</v>
          </cell>
        </row>
        <row r="410">
          <cell r="B410" t="str">
            <v>031/K/IV/26</v>
          </cell>
          <cell r="C410">
            <v>46122</v>
          </cell>
          <cell r="D410" t="str">
            <v>2602M4ZP7</v>
          </cell>
          <cell r="E410" t="str">
            <v>PT MARITIM INDO RAYA</v>
          </cell>
          <cell r="F410" t="str">
            <v>026/INV/MIR-MAR/III/2026</v>
          </cell>
          <cell r="G410" t="str">
            <v>726/OPS-IV/2026</v>
          </cell>
          <cell r="H410" t="str">
            <v>Biaya Keagenan TB Entebe Star 30 Voyage 138</v>
          </cell>
          <cell r="I410">
            <v>59797448</v>
          </cell>
          <cell r="J410">
            <v>440000</v>
          </cell>
          <cell r="K410" t="str">
            <v>4(2)</v>
          </cell>
          <cell r="M410">
            <v>-20000</v>
          </cell>
          <cell r="N410">
            <v>2500</v>
          </cell>
          <cell r="O410">
            <v>-80000</v>
          </cell>
          <cell r="P410">
            <v>60139948</v>
          </cell>
          <cell r="Q410">
            <v>46126</v>
          </cell>
        </row>
        <row r="411">
          <cell r="B411" t="str">
            <v>031/K/IV/26</v>
          </cell>
          <cell r="C411">
            <v>46122</v>
          </cell>
          <cell r="D411" t="str">
            <v>2602M4ZP7</v>
          </cell>
          <cell r="E411" t="str">
            <v>PT MARITIM INDO RAYA</v>
          </cell>
          <cell r="F411" t="str">
            <v>026/INV/MIR-MAR/III/2026</v>
          </cell>
          <cell r="G411" t="str">
            <v>726/OPS-IV/2026</v>
          </cell>
          <cell r="H411" t="str">
            <v>Set Off Kelebihan Bayar Inv 025</v>
          </cell>
          <cell r="I411">
            <v>-6947357</v>
          </cell>
          <cell r="K411" t="str">
            <v>4(2)</v>
          </cell>
          <cell r="M411">
            <v>-20000</v>
          </cell>
          <cell r="P411">
            <v>-6967357</v>
          </cell>
          <cell r="Q411">
            <v>46126</v>
          </cell>
        </row>
        <row r="412">
          <cell r="B412" t="str">
            <v>032/K/IV/26</v>
          </cell>
          <cell r="C412">
            <v>46125</v>
          </cell>
          <cell r="D412" t="str">
            <v>2602M4ZP1</v>
          </cell>
          <cell r="E412" t="str">
            <v>PT TRANS ENERGY OPTIMA</v>
          </cell>
          <cell r="F412" t="str">
            <v>091/INV/TEO-MAR/II/2026</v>
          </cell>
          <cell r="G412" t="str">
            <v>169/PV-MAR/2026</v>
          </cell>
          <cell r="H412" t="str">
            <v>Biaya Freight Charter TB Mega Power 25 / BG Finacia 109 ( Kintap - PLTU Suralaya Baru )</v>
          </cell>
          <cell r="I412">
            <v>1608009150</v>
          </cell>
          <cell r="K412">
            <v>15</v>
          </cell>
          <cell r="M412">
            <v>-19296109.800000001</v>
          </cell>
          <cell r="N412">
            <v>15000</v>
          </cell>
          <cell r="P412">
            <v>1588728040.2</v>
          </cell>
          <cell r="Q412">
            <v>46126</v>
          </cell>
        </row>
        <row r="413">
          <cell r="B413" t="str">
            <v>001/K/IV/26 CAV</v>
          </cell>
          <cell r="C413">
            <v>46125</v>
          </cell>
          <cell r="E413" t="str">
            <v>MASUDI</v>
          </cell>
          <cell r="G413" t="str">
            <v>172/PV-MAR/2026</v>
          </cell>
          <cell r="H413" t="str">
            <v>Advance trip ke Cirebon - Troubleshooting mesin bantu kiri - TB Surya Segara 3</v>
          </cell>
          <cell r="I413">
            <v>5000000</v>
          </cell>
          <cell r="K413">
            <v>0</v>
          </cell>
          <cell r="M413">
            <v>0</v>
          </cell>
          <cell r="P413">
            <v>5000000</v>
          </cell>
          <cell r="Q413">
            <v>46126</v>
          </cell>
        </row>
        <row r="414">
          <cell r="B414" t="str">
            <v>033/K/IV/26</v>
          </cell>
          <cell r="C414">
            <v>46125</v>
          </cell>
          <cell r="E414" t="str">
            <v>DIAN HARNITA</v>
          </cell>
          <cell r="G414" t="str">
            <v>173/PV-MAR/2026</v>
          </cell>
          <cell r="H414" t="str">
            <v>Padel In Fun Tournament 2026 - Vol 1 tanggal 25 April 2026</v>
          </cell>
          <cell r="I414">
            <v>10000000</v>
          </cell>
          <cell r="K414">
            <v>0</v>
          </cell>
          <cell r="M414">
            <v>0</v>
          </cell>
          <cell r="P414">
            <v>10000000</v>
          </cell>
          <cell r="Q414">
            <v>46126</v>
          </cell>
        </row>
        <row r="415">
          <cell r="B415" t="str">
            <v>034/K/IV/26</v>
          </cell>
          <cell r="C415">
            <v>46125</v>
          </cell>
          <cell r="D415" t="str">
            <v>2602M4ZP4</v>
          </cell>
          <cell r="E415" t="str">
            <v>PT PULAU SEROJA JAYA</v>
          </cell>
          <cell r="F415" t="str">
            <v>INV-PSJ-26-005194</v>
          </cell>
          <cell r="G415" t="str">
            <v>175/PV-MAR/2026</v>
          </cell>
          <cell r="H415" t="str">
            <v>Biaya Freight Charter TB Bomas Sejati / BG Windbuild 310 (Jetty BAT - Cilegon)</v>
          </cell>
          <cell r="I415">
            <v>1253123244</v>
          </cell>
          <cell r="K415">
            <v>15</v>
          </cell>
          <cell r="M415">
            <v>-15037478.928000001</v>
          </cell>
          <cell r="N415">
            <v>15000</v>
          </cell>
          <cell r="P415">
            <v>1238100765.072</v>
          </cell>
          <cell r="Q415">
            <v>46126</v>
          </cell>
        </row>
        <row r="416">
          <cell r="B416" t="str">
            <v>035/K/IV/26</v>
          </cell>
          <cell r="C416">
            <v>46125</v>
          </cell>
          <cell r="D416" t="str">
            <v>2602M4ZPN</v>
          </cell>
          <cell r="E416" t="str">
            <v>PT DINASTI SAMUDERA ABADI</v>
          </cell>
          <cell r="F416" t="str">
            <v>43/INV-TK/MAR-DSA/III/26</v>
          </cell>
          <cell r="G416" t="str">
            <v>176/PV-MAR/2026</v>
          </cell>
          <cell r="H416" t="str">
            <v>Biaya Freight Charter TB Emperor 2 / BG Dinasti 3002 (Jetty Patratani - PLTU Paiton)</v>
          </cell>
          <cell r="I416">
            <v>1264722140</v>
          </cell>
          <cell r="K416">
            <v>15</v>
          </cell>
          <cell r="M416">
            <v>-15176665.68</v>
          </cell>
          <cell r="N416">
            <v>15000</v>
          </cell>
          <cell r="P416">
            <v>1249560474.3199999</v>
          </cell>
          <cell r="Q416">
            <v>46126</v>
          </cell>
        </row>
        <row r="417">
          <cell r="B417" t="str">
            <v>035/K/IV/26</v>
          </cell>
          <cell r="C417">
            <v>46125</v>
          </cell>
          <cell r="E417" t="str">
            <v>PT DINASTI SAMUDERA ABADI</v>
          </cell>
          <cell r="F417" t="str">
            <v>DN 043/MAR-DSA/III/26</v>
          </cell>
          <cell r="H417" t="str">
            <v>Bunker TB Emperor 2</v>
          </cell>
          <cell r="I417">
            <v>-180000000</v>
          </cell>
          <cell r="K417">
            <v>0</v>
          </cell>
          <cell r="M417">
            <v>0</v>
          </cell>
          <cell r="P417">
            <v>-180000000</v>
          </cell>
          <cell r="Q417">
            <v>46126</v>
          </cell>
        </row>
        <row r="418">
          <cell r="B418" t="str">
            <v>036/K/IV/26</v>
          </cell>
          <cell r="C418">
            <v>46127</v>
          </cell>
          <cell r="E418" t="str">
            <v>MANDIRI KARADENAN</v>
          </cell>
          <cell r="H418" t="str">
            <v>Angsuran Pinjaman ke-23 Limit 7.800.000.000</v>
          </cell>
          <cell r="I418">
            <v>359223200.92000002</v>
          </cell>
          <cell r="P418">
            <v>359223200.92000002</v>
          </cell>
          <cell r="Q418">
            <v>46128</v>
          </cell>
        </row>
        <row r="419">
          <cell r="B419" t="str">
            <v>037/K/IV/26</v>
          </cell>
          <cell r="C419">
            <v>46127</v>
          </cell>
          <cell r="E419" t="str">
            <v>MANDIRI KARADENAN</v>
          </cell>
          <cell r="H419" t="str">
            <v>Angsuran Pinjaman ke-6 Limit 11.500.000.000</v>
          </cell>
          <cell r="I419">
            <v>400504667.77999997</v>
          </cell>
          <cell r="P419">
            <v>400504667.77999997</v>
          </cell>
          <cell r="Q419">
            <v>46128</v>
          </cell>
        </row>
        <row r="420">
          <cell r="B420" t="str">
            <v>038/K/IV/26</v>
          </cell>
          <cell r="C420">
            <v>46127</v>
          </cell>
          <cell r="E420" t="str">
            <v>DIRJEN PAJAK</v>
          </cell>
          <cell r="G420" t="str">
            <v>177/PV-MAR/2026</v>
          </cell>
          <cell r="H420" t="str">
            <v>Pembayaran PPh Psl 15, 23, dan 21 periode Maret 2026</v>
          </cell>
          <cell r="I420">
            <v>297204684</v>
          </cell>
          <cell r="K420">
            <v>0</v>
          </cell>
          <cell r="M420">
            <v>0</v>
          </cell>
          <cell r="P420">
            <v>297204684</v>
          </cell>
          <cell r="Q420">
            <v>46128</v>
          </cell>
        </row>
        <row r="421">
          <cell r="B421" t="str">
            <v>039/K/IV/26</v>
          </cell>
          <cell r="C421">
            <v>46127</v>
          </cell>
          <cell r="E421" t="str">
            <v>ILHAM RIFQI DWI HANIF</v>
          </cell>
          <cell r="G421" t="str">
            <v>179/PV-MAR/2026</v>
          </cell>
          <cell r="H421" t="str">
            <v>Sponsorship UKM MC Universitas Pembangunan Nasional</v>
          </cell>
          <cell r="I421">
            <v>2500000</v>
          </cell>
          <cell r="K421">
            <v>0</v>
          </cell>
          <cell r="M421">
            <v>0</v>
          </cell>
          <cell r="N421">
            <v>2500</v>
          </cell>
          <cell r="P421">
            <v>2502500</v>
          </cell>
          <cell r="Q421">
            <v>46128</v>
          </cell>
        </row>
        <row r="422">
          <cell r="B422" t="str">
            <v>040/K/IV/26</v>
          </cell>
          <cell r="C422">
            <v>46127</v>
          </cell>
          <cell r="D422" t="str">
            <v>2602M4ZP5</v>
          </cell>
          <cell r="E422" t="str">
            <v>PT KRAKATAU SAMUDRA SOLUSI</v>
          </cell>
          <cell r="F422" t="str">
            <v>KSS.SI.260103</v>
          </cell>
          <cell r="G422" t="str">
            <v>174/PV-MAR/2026</v>
          </cell>
          <cell r="H422" t="str">
            <v>Biaya Freight Charter TB Mega Power 26 / BG Bahtera 108 (Jetty Kintap - PLTU Indramayu)</v>
          </cell>
          <cell r="I422">
            <v>1343637230</v>
          </cell>
          <cell r="J422">
            <v>0</v>
          </cell>
          <cell r="K422">
            <v>15</v>
          </cell>
          <cell r="M422">
            <v>-16123646.76</v>
          </cell>
          <cell r="N422">
            <v>0</v>
          </cell>
          <cell r="O422">
            <v>0</v>
          </cell>
          <cell r="P422">
            <v>1327513583.24</v>
          </cell>
          <cell r="Q422">
            <v>46128</v>
          </cell>
        </row>
        <row r="423">
          <cell r="B423" t="str">
            <v>041/K/IV/26</v>
          </cell>
          <cell r="C423">
            <v>46127</v>
          </cell>
          <cell r="D423" t="str">
            <v>2602M4ZP0</v>
          </cell>
          <cell r="E423" t="str">
            <v>PT ANDALAN LANCAR NIAGA</v>
          </cell>
          <cell r="F423" t="str">
            <v>00053/ALN-INV/III/2026</v>
          </cell>
          <cell r="G423" t="str">
            <v>178/PV-MAR/2026</v>
          </cell>
          <cell r="H423" t="str">
            <v>Biaya Time Charter TB Michelle XV / BG Benami XV Periode 25 Maret - 24 April 2026</v>
          </cell>
          <cell r="I423">
            <v>850000000</v>
          </cell>
          <cell r="K423">
            <v>15</v>
          </cell>
          <cell r="M423">
            <v>-10200000</v>
          </cell>
          <cell r="N423">
            <v>15000</v>
          </cell>
          <cell r="P423">
            <v>839815000</v>
          </cell>
          <cell r="Q423">
            <v>46128</v>
          </cell>
        </row>
        <row r="424">
          <cell r="B424" t="str">
            <v>042/K/IV/26</v>
          </cell>
          <cell r="C424">
            <v>46127</v>
          </cell>
          <cell r="E424" t="str">
            <v>PT BENAYA AMB MANDIRI</v>
          </cell>
          <cell r="F424" t="str">
            <v>27/BAM-MAR/INV/III/2026</v>
          </cell>
          <cell r="G424" t="str">
            <v>717/OPS-III/2026</v>
          </cell>
          <cell r="H424" t="str">
            <v>Solar HSD TB Emperor 1 Voyage BFOL-014</v>
          </cell>
          <cell r="I424">
            <v>245940000</v>
          </cell>
          <cell r="J424">
            <v>27053400</v>
          </cell>
          <cell r="K424">
            <v>0</v>
          </cell>
          <cell r="M424">
            <v>0</v>
          </cell>
          <cell r="P424">
            <v>272993400</v>
          </cell>
          <cell r="Q424">
            <v>46128</v>
          </cell>
        </row>
        <row r="425">
          <cell r="B425" t="str">
            <v>043/K/IV/26</v>
          </cell>
          <cell r="C425">
            <v>46127</v>
          </cell>
          <cell r="E425" t="str">
            <v>PT AZAZ SHIPS SERVICES</v>
          </cell>
          <cell r="F425" t="str">
            <v>001/ASS-MAR/DP/IV/2026</v>
          </cell>
          <cell r="G425" t="str">
            <v>737/OPS-IV/2026</v>
          </cell>
          <cell r="H425" t="str">
            <v xml:space="preserve">DP Keagenan TB Entebe Star 30 / BG Finacia 71 </v>
          </cell>
          <cell r="I425">
            <v>10320000</v>
          </cell>
          <cell r="K425">
            <v>0</v>
          </cell>
          <cell r="M425">
            <v>0</v>
          </cell>
          <cell r="P425">
            <v>10320000</v>
          </cell>
          <cell r="Q425">
            <v>46128</v>
          </cell>
        </row>
        <row r="426">
          <cell r="B426" t="str">
            <v>044/K/IV/26</v>
          </cell>
          <cell r="C426">
            <v>46129</v>
          </cell>
          <cell r="E426" t="str">
            <v>WINDA MUPLIAH</v>
          </cell>
          <cell r="G426" t="str">
            <v>180/PV-MAR/2026</v>
          </cell>
          <cell r="H426" t="str">
            <v>Biaya operasional bongkar muat di PLTU Paiton periode Oktober 2025 s.d Februari 2026</v>
          </cell>
          <cell r="I426">
            <v>257250000</v>
          </cell>
          <cell r="K426">
            <v>0</v>
          </cell>
          <cell r="M426">
            <v>0</v>
          </cell>
          <cell r="P426">
            <v>257250000</v>
          </cell>
          <cell r="Q426">
            <v>46129</v>
          </cell>
        </row>
        <row r="427">
          <cell r="B427" t="str">
            <v>045/K/IV/26</v>
          </cell>
          <cell r="C427">
            <v>46129</v>
          </cell>
          <cell r="D427" t="str">
            <v>2602N717T</v>
          </cell>
          <cell r="E427" t="str">
            <v>PT ADHI GUNA PUTERA (Banten)</v>
          </cell>
          <cell r="F427" t="str">
            <v>040/INV-ASS/LTR/II/2026</v>
          </cell>
          <cell r="G427" t="str">
            <v>709/OPS-III/2026</v>
          </cell>
          <cell r="H427" t="str">
            <v>Jasa Pilotage &amp; Assist Tug TB APL 7 / BG Baiduri 70273 Voyage 132D</v>
          </cell>
          <cell r="I427">
            <v>20805862</v>
          </cell>
          <cell r="K427">
            <v>23</v>
          </cell>
          <cell r="M427">
            <v>-416117.24</v>
          </cell>
          <cell r="N427">
            <v>2500</v>
          </cell>
          <cell r="O427">
            <v>-1</v>
          </cell>
          <cell r="P427">
            <v>20392243.760000002</v>
          </cell>
          <cell r="Q427">
            <v>46129</v>
          </cell>
        </row>
        <row r="428">
          <cell r="B428" t="str">
            <v>045/K/IV/26</v>
          </cell>
          <cell r="C428">
            <v>46129</v>
          </cell>
          <cell r="D428" t="str">
            <v>2602N717T</v>
          </cell>
          <cell r="E428" t="str">
            <v>PT ADHI GUNA PUTERA (Banten)</v>
          </cell>
          <cell r="F428" t="str">
            <v>152/INV-AGN/LTR/II/2026</v>
          </cell>
          <cell r="G428" t="str">
            <v>710/OPS-III/2026</v>
          </cell>
          <cell r="H428" t="str">
            <v>Call fee TB APL 7 / BG Baiduri 70273 Voyage 132D</v>
          </cell>
          <cell r="I428">
            <v>18747150</v>
          </cell>
          <cell r="J428">
            <v>330000</v>
          </cell>
          <cell r="K428">
            <v>23</v>
          </cell>
          <cell r="M428">
            <v>-60000</v>
          </cell>
          <cell r="P428">
            <v>19017150</v>
          </cell>
          <cell r="Q428">
            <v>46129</v>
          </cell>
        </row>
        <row r="429">
          <cell r="B429" t="str">
            <v>046/K/IV/26</v>
          </cell>
          <cell r="C429">
            <v>46129</v>
          </cell>
          <cell r="D429" t="str">
            <v>2602N717Y</v>
          </cell>
          <cell r="E429" t="str">
            <v>PT ADHI GUNA (Pacitan, Gresik)</v>
          </cell>
          <cell r="F429" t="str">
            <v>014/DNGSK/II/TA-RB/2026</v>
          </cell>
          <cell r="G429" t="str">
            <v>711/OPS-III/2026</v>
          </cell>
          <cell r="H429" t="str">
            <v>Jasa Pilotage &amp; Assist Tug TB Surya Segara 3 / BG Finacia 96 Voyage 135D</v>
          </cell>
          <cell r="I429">
            <v>22559992</v>
          </cell>
          <cell r="K429">
            <v>23</v>
          </cell>
          <cell r="M429">
            <v>-451199.84</v>
          </cell>
          <cell r="N429">
            <v>2500</v>
          </cell>
          <cell r="O429">
            <v>-1</v>
          </cell>
          <cell r="P429">
            <v>22111291.16</v>
          </cell>
          <cell r="Q429">
            <v>46129</v>
          </cell>
        </row>
        <row r="430">
          <cell r="B430" t="str">
            <v>046/K/IV/26</v>
          </cell>
          <cell r="C430">
            <v>46129</v>
          </cell>
          <cell r="D430" t="str">
            <v>2602N717Y</v>
          </cell>
          <cell r="E430" t="str">
            <v>PT ADHI GUNA (Pacitan, Gresik)</v>
          </cell>
          <cell r="F430" t="str">
            <v>002/DNGSK/II/TA-RB/2026</v>
          </cell>
          <cell r="G430" t="str">
            <v>712/OPS-III/2026</v>
          </cell>
          <cell r="H430" t="str">
            <v>Jasa Pilotage &amp; Assist Tug TB Michelle XV / BG Benami XV Voyage 129D</v>
          </cell>
          <cell r="I430">
            <v>22607272</v>
          </cell>
          <cell r="K430">
            <v>23</v>
          </cell>
          <cell r="M430">
            <v>-452145.44</v>
          </cell>
          <cell r="P430">
            <v>22155126.559999999</v>
          </cell>
          <cell r="Q430">
            <v>46129</v>
          </cell>
        </row>
        <row r="431">
          <cell r="B431" t="str">
            <v>047/K/IV/26</v>
          </cell>
          <cell r="C431">
            <v>46129</v>
          </cell>
          <cell r="D431" t="str">
            <v>2602N717W</v>
          </cell>
          <cell r="E431" t="str">
            <v>PT GARUDA UNGGUL NASIONAL</v>
          </cell>
          <cell r="F431" t="str">
            <v>077.03.2026/GUT</v>
          </cell>
          <cell r="G431" t="str">
            <v>730/OPS-IV/2026</v>
          </cell>
          <cell r="H431" t="str">
            <v>Harbour Dues Voyage 126D TB Titan 470</v>
          </cell>
          <cell r="I431">
            <v>24071960</v>
          </cell>
          <cell r="J431">
            <v>220000</v>
          </cell>
          <cell r="K431">
            <v>23</v>
          </cell>
          <cell r="M431">
            <v>-40000</v>
          </cell>
          <cell r="N431">
            <v>2500</v>
          </cell>
          <cell r="P431">
            <v>24254460</v>
          </cell>
          <cell r="Q431">
            <v>46129</v>
          </cell>
        </row>
        <row r="432">
          <cell r="B432" t="str">
            <v>048/K/IV/26</v>
          </cell>
          <cell r="C432">
            <v>46129</v>
          </cell>
          <cell r="D432" t="str">
            <v>2602N717V</v>
          </cell>
          <cell r="E432" t="str">
            <v>PT AGENCY PELAYARAN INDONESIA</v>
          </cell>
          <cell r="F432" t="str">
            <v>INV-019/KTP-IDM/MAR/II/2026</v>
          </cell>
          <cell r="G432" t="str">
            <v>731/OPS-IV/2026</v>
          </cell>
          <cell r="H432" t="str">
            <v>Agency Fee TB Entebe Star 30 / BG Finacia 71 Voyage 133L</v>
          </cell>
          <cell r="I432">
            <v>22311535</v>
          </cell>
          <cell r="J432">
            <v>385000</v>
          </cell>
          <cell r="K432">
            <v>23</v>
          </cell>
          <cell r="M432">
            <v>-70000</v>
          </cell>
          <cell r="P432">
            <v>22626535</v>
          </cell>
          <cell r="Q432">
            <v>46129</v>
          </cell>
        </row>
        <row r="433">
          <cell r="B433" t="str">
            <v>048/K/IV/26</v>
          </cell>
          <cell r="C433">
            <v>46129</v>
          </cell>
          <cell r="D433" t="str">
            <v>2602N717V</v>
          </cell>
          <cell r="E433" t="str">
            <v>PT AGENCY PELAYARAN INDONESIA</v>
          </cell>
          <cell r="F433" t="str">
            <v>INV-045/KTP-RMB/MAR/II/2026</v>
          </cell>
          <cell r="G433" t="str">
            <v>732/OPS-IV/2026</v>
          </cell>
          <cell r="H433" t="str">
            <v>Agency Fee TB Surya Segara 3 - BG Finacia 96 Voyage 135L</v>
          </cell>
          <cell r="I433">
            <v>11817903</v>
          </cell>
          <cell r="J433">
            <v>385000</v>
          </cell>
          <cell r="K433">
            <v>23</v>
          </cell>
          <cell r="M433">
            <v>-70000</v>
          </cell>
          <cell r="P433">
            <v>12132903</v>
          </cell>
          <cell r="Q433">
            <v>46129</v>
          </cell>
        </row>
        <row r="434">
          <cell r="B434" t="str">
            <v>048/K/IV/26</v>
          </cell>
          <cell r="C434">
            <v>46129</v>
          </cell>
          <cell r="D434" t="str">
            <v>2602N717V</v>
          </cell>
          <cell r="E434" t="str">
            <v>PT AGENCY PELAYARAN INDONESIA</v>
          </cell>
          <cell r="F434" t="str">
            <v>INV-050/KTP-IDM/MAR/II/2026</v>
          </cell>
          <cell r="G434" t="str">
            <v>733/OPS-IV/2026</v>
          </cell>
          <cell r="H434" t="str">
            <v>Agency Fee TB Michelle 219-08 / BG Angeline 219-08 Voyage 136L</v>
          </cell>
          <cell r="I434">
            <v>12784009</v>
          </cell>
          <cell r="J434">
            <v>385000</v>
          </cell>
          <cell r="K434">
            <v>23</v>
          </cell>
          <cell r="M434">
            <v>-70000</v>
          </cell>
          <cell r="P434">
            <v>13099009</v>
          </cell>
          <cell r="Q434">
            <v>46129</v>
          </cell>
        </row>
        <row r="435">
          <cell r="B435" t="str">
            <v>049/K/IV/26</v>
          </cell>
          <cell r="C435">
            <v>46129</v>
          </cell>
          <cell r="D435" t="str">
            <v>2602N717U</v>
          </cell>
          <cell r="E435" t="str">
            <v>PT TIRTA SAMUDRA AGENCY</v>
          </cell>
          <cell r="F435" t="str">
            <v>228/TSA-INV/IDMY/II/2026, 228A/TSA-INV/IDMY/II/2026</v>
          </cell>
          <cell r="G435" t="str">
            <v>734/OPS-IV/2026</v>
          </cell>
          <cell r="H435" t="str">
            <v>Agency Fee TB Entebe Star 30 - BG Finacia 71 Voyage 133D</v>
          </cell>
          <cell r="I435">
            <v>17000000</v>
          </cell>
          <cell r="J435">
            <v>165000</v>
          </cell>
          <cell r="K435">
            <v>23</v>
          </cell>
          <cell r="M435">
            <v>-30000</v>
          </cell>
          <cell r="N435">
            <v>2500</v>
          </cell>
          <cell r="P435">
            <v>17137500</v>
          </cell>
          <cell r="Q435">
            <v>46129</v>
          </cell>
        </row>
        <row r="436">
          <cell r="B436" t="str">
            <v>049/K/IV/26</v>
          </cell>
          <cell r="C436">
            <v>46129</v>
          </cell>
          <cell r="D436" t="str">
            <v>2602N717U</v>
          </cell>
          <cell r="E436" t="str">
            <v>PT TIRTA SAMUDRA AGENCY</v>
          </cell>
          <cell r="F436" t="str">
            <v>229/TSA-INV/IDMY/III/2026, 229A/TSA-INV/IDMY/III/2026</v>
          </cell>
          <cell r="G436" t="str">
            <v>735/OPS-IV/2026</v>
          </cell>
          <cell r="H436" t="str">
            <v>Agency Fee TB Michelle 219-08 / BG Angeline 219-08 Voyage 136D</v>
          </cell>
          <cell r="I436">
            <v>17400000</v>
          </cell>
          <cell r="J436">
            <v>165000</v>
          </cell>
          <cell r="K436">
            <v>23</v>
          </cell>
          <cell r="M436">
            <v>-30000</v>
          </cell>
          <cell r="P436">
            <v>17535000</v>
          </cell>
          <cell r="Q436">
            <v>46129</v>
          </cell>
        </row>
        <row r="437">
          <cell r="B437" t="str">
            <v>050/K/IV/26</v>
          </cell>
          <cell r="C437">
            <v>46129</v>
          </cell>
          <cell r="D437" t="str">
            <v>2602N7C1S</v>
          </cell>
          <cell r="E437" t="str">
            <v>PT LIMA SEMBILAN SEMBILAN SEMBILAN</v>
          </cell>
          <cell r="F437" t="str">
            <v>076/INV/LSSS/BTL/III/2026</v>
          </cell>
          <cell r="G437" t="str">
            <v>736/OPS-IV/2026</v>
          </cell>
          <cell r="H437" t="str">
            <v>Keagenan TB Michelle XV / BG Benami XV Voyage 116L</v>
          </cell>
          <cell r="I437">
            <v>22239407</v>
          </cell>
          <cell r="K437">
            <v>23</v>
          </cell>
          <cell r="M437">
            <v>-40000</v>
          </cell>
          <cell r="P437">
            <v>22199407</v>
          </cell>
          <cell r="Q437">
            <v>46129</v>
          </cell>
        </row>
        <row r="438">
          <cell r="B438" t="str">
            <v>051/K/IV/26</v>
          </cell>
          <cell r="C438">
            <v>46129</v>
          </cell>
          <cell r="E438" t="str">
            <v>CV JAYA AGUNG MARINE</v>
          </cell>
          <cell r="F438" t="str">
            <v>INV/JAM/053/IV/2026</v>
          </cell>
          <cell r="G438" t="str">
            <v>739/OPS-IV/2026</v>
          </cell>
          <cell r="H438" t="str">
            <v>DP Jasa Over Haul Engine TB Surya Segara 3</v>
          </cell>
          <cell r="I438">
            <v>4200000</v>
          </cell>
          <cell r="K438">
            <v>0</v>
          </cell>
          <cell r="M438">
            <v>0</v>
          </cell>
          <cell r="P438">
            <v>4200000</v>
          </cell>
          <cell r="Q438">
            <v>46129</v>
          </cell>
        </row>
        <row r="439">
          <cell r="B439" t="str">
            <v>052/K/IV/26</v>
          </cell>
          <cell r="C439">
            <v>46129</v>
          </cell>
          <cell r="E439" t="str">
            <v>PT DELTA POWER 88</v>
          </cell>
          <cell r="F439" t="str">
            <v>030/PF/04.26</v>
          </cell>
          <cell r="G439" t="str">
            <v>740/OPS-IV/2026</v>
          </cell>
          <cell r="H439" t="str">
            <v>Gasket Set TB Surya Segara 3</v>
          </cell>
          <cell r="I439">
            <v>17313000</v>
          </cell>
          <cell r="J439">
            <v>1904430</v>
          </cell>
          <cell r="K439">
            <v>0</v>
          </cell>
          <cell r="M439">
            <v>0</v>
          </cell>
          <cell r="N439">
            <v>2500</v>
          </cell>
          <cell r="P439">
            <v>19219930</v>
          </cell>
          <cell r="Q439">
            <v>46132</v>
          </cell>
        </row>
        <row r="440">
          <cell r="B440" t="str">
            <v>053/K/IV/26</v>
          </cell>
          <cell r="C440">
            <v>46129</v>
          </cell>
          <cell r="E440" t="str">
            <v>PT BINTANG BAHARI DIESEL</v>
          </cell>
          <cell r="F440" t="str">
            <v>INV/BBD/IV/2026/0012340</v>
          </cell>
          <cell r="G440" t="str">
            <v>741/OPS-IV/2026</v>
          </cell>
          <cell r="H440" t="str">
            <v>Main Bearing TB Surya Segara 3</v>
          </cell>
          <cell r="I440">
            <v>5274000</v>
          </cell>
          <cell r="J440">
            <v>580140</v>
          </cell>
          <cell r="K440">
            <v>0</v>
          </cell>
          <cell r="M440">
            <v>0</v>
          </cell>
          <cell r="P440">
            <v>5854140</v>
          </cell>
          <cell r="Q440">
            <v>46132</v>
          </cell>
        </row>
        <row r="441">
          <cell r="B441" t="str">
            <v>054/K/IV/26</v>
          </cell>
          <cell r="C441">
            <v>46132</v>
          </cell>
          <cell r="E441" t="str">
            <v>PT AMBANG BARITO NUSA PERSADA</v>
          </cell>
          <cell r="G441" t="str">
            <v>742/OPS-IV/2026</v>
          </cell>
          <cell r="H441" t="str">
            <v>Biaya Channel Fee TB Kendric Star 09 / BG Celvia Star 11</v>
          </cell>
          <cell r="I441">
            <v>32396643</v>
          </cell>
          <cell r="J441">
            <v>3563630</v>
          </cell>
          <cell r="K441">
            <v>0</v>
          </cell>
          <cell r="M441">
            <v>0</v>
          </cell>
          <cell r="N441">
            <v>2500</v>
          </cell>
          <cell r="P441">
            <v>35962773</v>
          </cell>
          <cell r="Q441">
            <v>46132</v>
          </cell>
        </row>
        <row r="442">
          <cell r="B442" t="str">
            <v>055/K/IV/26</v>
          </cell>
          <cell r="C442">
            <v>46132</v>
          </cell>
          <cell r="E442" t="str">
            <v>MUHAMMAD ZAKI</v>
          </cell>
          <cell r="G442" t="str">
            <v>CAV007/OPS-IV/2026</v>
          </cell>
          <cell r="H442" t="str">
            <v>Advance Operasional April 2026</v>
          </cell>
          <cell r="I442">
            <v>18693235</v>
          </cell>
          <cell r="K442">
            <v>0</v>
          </cell>
          <cell r="M442">
            <v>0</v>
          </cell>
          <cell r="N442">
            <v>2500</v>
          </cell>
          <cell r="P442">
            <v>18695735</v>
          </cell>
          <cell r="Q442">
            <v>46132</v>
          </cell>
        </row>
        <row r="443">
          <cell r="B443" t="str">
            <v>056/K/IV/26</v>
          </cell>
          <cell r="C443">
            <v>46132</v>
          </cell>
          <cell r="E443" t="str">
            <v>BINA SARANA INFORMATIKA</v>
          </cell>
          <cell r="F443" t="str">
            <v>089.02/Y-BSI/III/2026</v>
          </cell>
          <cell r="G443" t="str">
            <v>181/PV-MAR/2026</v>
          </cell>
          <cell r="H443" t="str">
            <v>Pembayaran parkir member 2 unit mobil &amp; 7 unit motor periode 10/04 s.d 09/05 2026</v>
          </cell>
          <cell r="I443">
            <v>3300000</v>
          </cell>
          <cell r="K443">
            <v>0</v>
          </cell>
          <cell r="M443">
            <v>0</v>
          </cell>
          <cell r="N443">
            <v>2500</v>
          </cell>
          <cell r="P443">
            <v>3302500</v>
          </cell>
          <cell r="Q443">
            <v>46133</v>
          </cell>
        </row>
        <row r="444">
          <cell r="B444" t="str">
            <v>057/K/IV/26</v>
          </cell>
          <cell r="C444">
            <v>46132</v>
          </cell>
          <cell r="E444" t="str">
            <v>BINA SARANA INFORMATIKA</v>
          </cell>
          <cell r="F444" t="str">
            <v>080.02/Y-BSI/III/2026</v>
          </cell>
          <cell r="G444" t="str">
            <v>182/PV-MAR/2026</v>
          </cell>
          <cell r="H444" t="str">
            <v>Pembayaran listrik kantor periode 16/02 - 16/03 2026</v>
          </cell>
          <cell r="I444">
            <v>4665800</v>
          </cell>
          <cell r="K444">
            <v>0</v>
          </cell>
          <cell r="M444">
            <v>0</v>
          </cell>
          <cell r="N444">
            <v>2500</v>
          </cell>
          <cell r="P444">
            <v>4668300</v>
          </cell>
          <cell r="Q444">
            <v>46133</v>
          </cell>
        </row>
        <row r="445">
          <cell r="B445" t="str">
            <v>058/K/IV/26</v>
          </cell>
          <cell r="C445">
            <v>46132</v>
          </cell>
          <cell r="D445" t="str">
            <v>2602PTDDI</v>
          </cell>
          <cell r="E445" t="str">
            <v>PT KRAKATAU SAMUDRA SOLUSI</v>
          </cell>
          <cell r="F445" t="str">
            <v>KSS.SI.260248</v>
          </cell>
          <cell r="G445" t="str">
            <v>183/PV-MAR/2026</v>
          </cell>
          <cell r="H445" t="str">
            <v>Biaya Freight Charter TB Trans Permata 6 / BG Gold Ocean 1 ( Talenta - PLTU Indramayu )</v>
          </cell>
          <cell r="I445">
            <v>1050707205</v>
          </cell>
          <cell r="K445">
            <v>15</v>
          </cell>
          <cell r="M445">
            <v>-12608486.460000001</v>
          </cell>
          <cell r="P445">
            <v>1038098718.54</v>
          </cell>
          <cell r="Q445">
            <v>46133</v>
          </cell>
        </row>
        <row r="446">
          <cell r="B446" t="str">
            <v>059/K/IV/26</v>
          </cell>
          <cell r="C446">
            <v>46132</v>
          </cell>
          <cell r="D446" t="str">
            <v>2602PTDDJ</v>
          </cell>
          <cell r="E446" t="str">
            <v>PT ALPHA PACIFIC LINE</v>
          </cell>
          <cell r="F446" t="str">
            <v>002/APL-F/IV/2026</v>
          </cell>
          <cell r="G446" t="str">
            <v>184/PV-MAR/2026</v>
          </cell>
          <cell r="H446" t="str">
            <v>Biaya Time Charter TB APL 7 / BG Baiduri 70273 periode 11/04 - 10/05 2026</v>
          </cell>
          <cell r="I446">
            <v>875000000</v>
          </cell>
          <cell r="K446">
            <v>15</v>
          </cell>
          <cell r="M446">
            <v>-10500000</v>
          </cell>
          <cell r="P446">
            <v>864500000</v>
          </cell>
          <cell r="Q446">
            <v>46133</v>
          </cell>
        </row>
        <row r="447">
          <cell r="B447" t="str">
            <v>060/K/IV/26</v>
          </cell>
          <cell r="C447">
            <v>46132</v>
          </cell>
          <cell r="E447" t="str">
            <v>ENGGARINGTYAS DONYA WICAHYO LISWARI</v>
          </cell>
          <cell r="F447" t="str">
            <v>01/DW/INV/IV/2026 DP</v>
          </cell>
          <cell r="G447" t="str">
            <v>743/OPS-IV/2026</v>
          </cell>
          <cell r="H447" t="str">
            <v>Palet Kayu TB Entebe Star 30</v>
          </cell>
          <cell r="I447">
            <v>37000000</v>
          </cell>
          <cell r="K447">
            <v>0</v>
          </cell>
          <cell r="M447">
            <v>0</v>
          </cell>
          <cell r="N447">
            <v>2500</v>
          </cell>
          <cell r="P447">
            <v>37002500</v>
          </cell>
          <cell r="Q447">
            <v>46133</v>
          </cell>
        </row>
        <row r="448">
          <cell r="B448" t="str">
            <v>061/K/IV/26</v>
          </cell>
          <cell r="C448">
            <v>46133</v>
          </cell>
          <cell r="E448" t="str">
            <v>PT MULTI ARTHA SEGORO</v>
          </cell>
          <cell r="F448" t="str">
            <v>028/MAS-MAR/HSD/III/2026</v>
          </cell>
          <cell r="G448" t="str">
            <v>728/OPS-IV/2026</v>
          </cell>
          <cell r="H448" t="str">
            <v>Solar B40 TB Surya Segara 3 Voyage 137D</v>
          </cell>
          <cell r="I448">
            <v>324000000</v>
          </cell>
          <cell r="J448">
            <v>35640000</v>
          </cell>
          <cell r="K448">
            <v>0</v>
          </cell>
          <cell r="M448">
            <v>0</v>
          </cell>
          <cell r="P448">
            <v>359640000</v>
          </cell>
          <cell r="Q448">
            <v>46134</v>
          </cell>
        </row>
        <row r="449">
          <cell r="B449" t="str">
            <v>062/K/IV/26</v>
          </cell>
          <cell r="C449">
            <v>46133</v>
          </cell>
          <cell r="E449" t="str">
            <v>YONI FIRDAUS WIBOWO</v>
          </cell>
          <cell r="G449" t="str">
            <v>185/PV-MAR/2026</v>
          </cell>
          <cell r="H449" t="str">
            <v>Reimbursement Mr. Yoni periode 30/03 s.d 17/04 2026</v>
          </cell>
          <cell r="I449">
            <v>1295511</v>
          </cell>
          <cell r="K449">
            <v>0</v>
          </cell>
          <cell r="M449">
            <v>0</v>
          </cell>
          <cell r="P449">
            <v>1295511</v>
          </cell>
          <cell r="Q449">
            <v>46134</v>
          </cell>
        </row>
        <row r="450">
          <cell r="B450" t="str">
            <v>063/K/IV/26</v>
          </cell>
          <cell r="C450">
            <v>46133</v>
          </cell>
          <cell r="E450" t="str">
            <v>MAS NUROH YUSUF</v>
          </cell>
          <cell r="G450" t="str">
            <v>186/PV-MAR/2026</v>
          </cell>
          <cell r="H450" t="str">
            <v>Biaya operasional bongkar muat di jetty Talenta periode Maret 2026</v>
          </cell>
          <cell r="I450">
            <v>106000000</v>
          </cell>
          <cell r="K450">
            <v>0</v>
          </cell>
          <cell r="M450">
            <v>0</v>
          </cell>
          <cell r="N450">
            <v>2500</v>
          </cell>
          <cell r="P450">
            <v>106002500</v>
          </cell>
          <cell r="Q450">
            <v>46134</v>
          </cell>
        </row>
        <row r="451">
          <cell r="B451" t="str">
            <v>064/K/IV/26</v>
          </cell>
          <cell r="C451">
            <v>46133</v>
          </cell>
          <cell r="E451" t="str">
            <v>MAS NUROH YUSUF</v>
          </cell>
          <cell r="G451" t="str">
            <v>187/PV-MAR/2026</v>
          </cell>
          <cell r="H451" t="str">
            <v>Biaya operasional bongkar muat di Indramayu periode Maret 2026</v>
          </cell>
          <cell r="I451">
            <v>107550000</v>
          </cell>
          <cell r="K451">
            <v>0</v>
          </cell>
          <cell r="M451">
            <v>0</v>
          </cell>
          <cell r="N451">
            <v>2500</v>
          </cell>
          <cell r="P451">
            <v>107552500</v>
          </cell>
          <cell r="Q451">
            <v>46134</v>
          </cell>
        </row>
        <row r="452">
          <cell r="B452" t="str">
            <v>065/K/IV/26</v>
          </cell>
          <cell r="C452">
            <v>46133</v>
          </cell>
          <cell r="E452" t="str">
            <v>ANDI ARDI SAID</v>
          </cell>
          <cell r="G452" t="str">
            <v>135/OPS-Premi/2026</v>
          </cell>
          <cell r="H452" t="str">
            <v>Premi Crew TB Surya Segara 3 / BG Finacia 96 Voyage 135</v>
          </cell>
          <cell r="I452">
            <v>11464880</v>
          </cell>
          <cell r="K452">
            <v>0</v>
          </cell>
          <cell r="M452">
            <v>0</v>
          </cell>
          <cell r="N452">
            <v>2500</v>
          </cell>
          <cell r="P452">
            <v>11467380</v>
          </cell>
          <cell r="Q452">
            <v>46134</v>
          </cell>
        </row>
        <row r="453">
          <cell r="B453" t="str">
            <v>066/K/IV/26</v>
          </cell>
          <cell r="C453">
            <v>46133</v>
          </cell>
          <cell r="E453" t="str">
            <v>YUDIANTO</v>
          </cell>
          <cell r="G453" t="str">
            <v>123/OPS-Premi/2026</v>
          </cell>
          <cell r="H453" t="str">
            <v>Premi Crew TB Entebe Star 30 / BG Finacia 71 Voyage 123</v>
          </cell>
          <cell r="I453">
            <v>14807168</v>
          </cell>
          <cell r="K453">
            <v>0</v>
          </cell>
          <cell r="M453">
            <v>0</v>
          </cell>
          <cell r="P453">
            <v>14807168</v>
          </cell>
          <cell r="Q453">
            <v>46134</v>
          </cell>
        </row>
        <row r="454">
          <cell r="B454" t="str">
            <v>067/K/IV/26</v>
          </cell>
          <cell r="C454">
            <v>46133</v>
          </cell>
          <cell r="E454" t="str">
            <v>JAYA KESUMA</v>
          </cell>
          <cell r="G454" t="str">
            <v>133/OPS-Premi/2026</v>
          </cell>
          <cell r="H454" t="str">
            <v>Premi Crew TB Entebe Star 30 / BG Finacia 71 Voyage 133</v>
          </cell>
          <cell r="I454">
            <v>13295025</v>
          </cell>
          <cell r="K454">
            <v>0</v>
          </cell>
          <cell r="M454">
            <v>0</v>
          </cell>
          <cell r="N454">
            <v>2500</v>
          </cell>
          <cell r="P454">
            <v>13297525</v>
          </cell>
          <cell r="Q454">
            <v>46134</v>
          </cell>
        </row>
        <row r="455">
          <cell r="B455" t="str">
            <v>068/K/IV/26</v>
          </cell>
          <cell r="C455">
            <v>46133</v>
          </cell>
          <cell r="E455" t="str">
            <v>LASTE FERI KUSUMA</v>
          </cell>
          <cell r="G455" t="str">
            <v>132/OPS-Premi/2026</v>
          </cell>
          <cell r="H455" t="str">
            <v>Premi Crew TB APL 7 / BG Baiduri 70273 Voyage 132</v>
          </cell>
          <cell r="I455">
            <v>14120109</v>
          </cell>
          <cell r="K455">
            <v>0</v>
          </cell>
          <cell r="M455">
            <v>0</v>
          </cell>
          <cell r="P455">
            <v>14120109</v>
          </cell>
          <cell r="Q455">
            <v>46134</v>
          </cell>
        </row>
        <row r="456">
          <cell r="B456" t="str">
            <v>069/K/IV/26</v>
          </cell>
          <cell r="C456">
            <v>46133</v>
          </cell>
          <cell r="E456" t="str">
            <v>LASTE FERI KUSUMA</v>
          </cell>
          <cell r="G456" t="str">
            <v>139/OPS-Premi/2026</v>
          </cell>
          <cell r="H456" t="str">
            <v>Premi Crew TB APL 7 / BG Baiduri 70273 Voyage 139</v>
          </cell>
          <cell r="I456">
            <v>23745997</v>
          </cell>
          <cell r="K456">
            <v>0</v>
          </cell>
          <cell r="M456">
            <v>0</v>
          </cell>
          <cell r="P456">
            <v>23745997</v>
          </cell>
          <cell r="Q456">
            <v>46134</v>
          </cell>
        </row>
        <row r="457">
          <cell r="B457" t="str">
            <v>070/K/IV/26</v>
          </cell>
          <cell r="C457">
            <v>46133</v>
          </cell>
          <cell r="E457" t="str">
            <v>LASTE FERI KUSUMA</v>
          </cell>
          <cell r="G457" t="str">
            <v>142/OPS-Premi/2026</v>
          </cell>
          <cell r="H457" t="str">
            <v>Premi Crew TB APL 7 / BG Baiduri 70273 Voyage 142</v>
          </cell>
          <cell r="I457">
            <v>15936867</v>
          </cell>
          <cell r="K457">
            <v>0</v>
          </cell>
          <cell r="M457">
            <v>0</v>
          </cell>
          <cell r="P457">
            <v>15936867</v>
          </cell>
          <cell r="Q457">
            <v>46134</v>
          </cell>
        </row>
        <row r="458">
          <cell r="B458" t="str">
            <v>071/K/IV/26</v>
          </cell>
          <cell r="C458">
            <v>46133</v>
          </cell>
          <cell r="E458" t="str">
            <v>NURSANDI</v>
          </cell>
          <cell r="G458" t="str">
            <v>134/OPS-Premi/2026</v>
          </cell>
          <cell r="H458" t="str">
            <v>Premi Crew TB Michelle XV / BG Benami XV Voyage 134</v>
          </cell>
          <cell r="I458">
            <v>24357040</v>
          </cell>
          <cell r="K458">
            <v>0</v>
          </cell>
          <cell r="M458">
            <v>0</v>
          </cell>
          <cell r="P458">
            <v>24357040</v>
          </cell>
          <cell r="Q458">
            <v>46134</v>
          </cell>
        </row>
        <row r="459">
          <cell r="B459" t="str">
            <v>072/K/IV/26</v>
          </cell>
          <cell r="C459">
            <v>46133</v>
          </cell>
          <cell r="E459" t="str">
            <v>NURSANDI</v>
          </cell>
          <cell r="G459" t="str">
            <v>140/OPS-Premi/2026</v>
          </cell>
          <cell r="H459" t="str">
            <v>Premi Crew TB Michelle  XV / BG Benami XV Voyage 140</v>
          </cell>
          <cell r="I459">
            <v>16628804</v>
          </cell>
          <cell r="K459">
            <v>0</v>
          </cell>
          <cell r="M459">
            <v>0</v>
          </cell>
          <cell r="P459">
            <v>16628804</v>
          </cell>
          <cell r="Q459">
            <v>46134</v>
          </cell>
        </row>
        <row r="460">
          <cell r="B460" t="str">
            <v>073/K/IV/26</v>
          </cell>
          <cell r="C460">
            <v>46133</v>
          </cell>
          <cell r="E460" t="str">
            <v>NURSANDI</v>
          </cell>
          <cell r="G460" t="str">
            <v>143/OPS-Premi/2026</v>
          </cell>
          <cell r="H460" t="str">
            <v>Premi Crew TB Michelle XV / BG Benami XV Voyage 143</v>
          </cell>
          <cell r="I460">
            <v>23531109</v>
          </cell>
          <cell r="K460">
            <v>0</v>
          </cell>
          <cell r="M460">
            <v>0</v>
          </cell>
          <cell r="P460">
            <v>23531109</v>
          </cell>
          <cell r="Q460">
            <v>46134</v>
          </cell>
        </row>
        <row r="461">
          <cell r="B461" t="str">
            <v>074/K/IV/26</v>
          </cell>
          <cell r="C461">
            <v>46133</v>
          </cell>
          <cell r="E461" t="str">
            <v>PT DELTA POWER 88</v>
          </cell>
          <cell r="F461" t="str">
            <v>034/PF/04.26</v>
          </cell>
          <cell r="G461" t="str">
            <v>744/OPS-IV/2026</v>
          </cell>
          <cell r="H461" t="str">
            <v>Piston TB Surya Segara 3</v>
          </cell>
          <cell r="I461">
            <v>8480000</v>
          </cell>
          <cell r="J461">
            <v>932800</v>
          </cell>
          <cell r="K461">
            <v>0</v>
          </cell>
          <cell r="M461">
            <v>0</v>
          </cell>
          <cell r="N461">
            <v>2500</v>
          </cell>
          <cell r="P461">
            <v>9415300</v>
          </cell>
          <cell r="Q461">
            <v>46134</v>
          </cell>
        </row>
        <row r="462">
          <cell r="B462" t="str">
            <v>075/K/IV/26</v>
          </cell>
          <cell r="C462">
            <v>46133</v>
          </cell>
          <cell r="D462" t="str">
            <v>2602Q3P58</v>
          </cell>
          <cell r="E462" t="str">
            <v>PT MARITIM INDO RAYA</v>
          </cell>
          <cell r="F462" t="str">
            <v>032/INV/MIR-MAR/IV/2026, 032/DN/MIR-MAR/IV/2026</v>
          </cell>
          <cell r="G462" t="str">
            <v>738/OPS-IV/2026</v>
          </cell>
          <cell r="H462" t="str">
            <v>Biaya Keagenan TB Michelle XV Voyage 143</v>
          </cell>
          <cell r="I462">
            <v>92387598</v>
          </cell>
          <cell r="J462">
            <v>440000</v>
          </cell>
          <cell r="K462">
            <v>23</v>
          </cell>
          <cell r="M462">
            <v>-20000</v>
          </cell>
          <cell r="N462">
            <v>2500</v>
          </cell>
          <cell r="O462">
            <v>60000</v>
          </cell>
          <cell r="P462">
            <v>92870098</v>
          </cell>
          <cell r="Q462">
            <v>46134</v>
          </cell>
        </row>
        <row r="463">
          <cell r="B463" t="str">
            <v>076/K/IV/26</v>
          </cell>
          <cell r="C463">
            <v>46134</v>
          </cell>
          <cell r="E463" t="str">
            <v>PT DAIDAN UTAMA PIALANG ASURANSI</v>
          </cell>
          <cell r="F463" t="str">
            <v>0477/CPNI/03/26</v>
          </cell>
          <cell r="G463" t="str">
            <v>746/OPS-IV/2026</v>
          </cell>
          <cell r="H463" t="str">
            <v>Insurance P&amp;I TB Surya Segara 3 &amp; BG Finacia 96 periode 02/03/26 - 02/03/27</v>
          </cell>
          <cell r="I463">
            <v>26228625</v>
          </cell>
          <cell r="K463">
            <v>0</v>
          </cell>
          <cell r="M463">
            <v>0</v>
          </cell>
          <cell r="N463">
            <v>517500</v>
          </cell>
          <cell r="P463">
            <v>26746125</v>
          </cell>
          <cell r="Q463">
            <v>46135</v>
          </cell>
        </row>
        <row r="464">
          <cell r="B464" t="str">
            <v>077/K/IV/26</v>
          </cell>
          <cell r="C464">
            <v>46134</v>
          </cell>
          <cell r="E464" t="str">
            <v>CV CAHAYA ABADI</v>
          </cell>
          <cell r="G464" t="str">
            <v>748/OPS-IV/2026</v>
          </cell>
          <cell r="H464" t="str">
            <v xml:space="preserve">DP Terpal Plastik cap Rajawali TB Entebe Star 30 </v>
          </cell>
          <cell r="I464">
            <v>16650000</v>
          </cell>
          <cell r="K464">
            <v>0</v>
          </cell>
          <cell r="M464">
            <v>0</v>
          </cell>
          <cell r="N464">
            <v>2500</v>
          </cell>
          <cell r="P464">
            <v>16652500</v>
          </cell>
          <cell r="Q464">
            <v>46135</v>
          </cell>
        </row>
        <row r="465">
          <cell r="B465" t="str">
            <v>078/K/IV/26</v>
          </cell>
          <cell r="C465">
            <v>46136</v>
          </cell>
          <cell r="E465" t="str">
            <v>ENGGARINGTYAS DONYA WICAHYO LISWARI</v>
          </cell>
          <cell r="F465" t="str">
            <v xml:space="preserve">02/DW/INV/IV/2026 </v>
          </cell>
          <cell r="G465" t="str">
            <v>762/OPS-IV/2026</v>
          </cell>
          <cell r="H465" t="str">
            <v>DP Palet Kayu TB Entebe Star 30</v>
          </cell>
          <cell r="I465">
            <v>13000000</v>
          </cell>
          <cell r="K465">
            <v>0</v>
          </cell>
          <cell r="M465">
            <v>0</v>
          </cell>
          <cell r="N465">
            <v>2500</v>
          </cell>
          <cell r="P465">
            <v>13002500</v>
          </cell>
          <cell r="Q465">
            <v>46136</v>
          </cell>
        </row>
        <row r="466">
          <cell r="B466" t="str">
            <v>079/K/IV/26</v>
          </cell>
          <cell r="C466">
            <v>46136</v>
          </cell>
          <cell r="E466" t="str">
            <v>BPJS KETENAGAKERJAAN STAFF</v>
          </cell>
          <cell r="G466" t="str">
            <v>189/PV-MAR/2026</v>
          </cell>
          <cell r="H466" t="str">
            <v>BPJS Ketenagakerjaan staff periode April 2026</v>
          </cell>
          <cell r="I466">
            <v>10811736</v>
          </cell>
          <cell r="K466">
            <v>0</v>
          </cell>
          <cell r="M466">
            <v>0</v>
          </cell>
          <cell r="P466">
            <v>10811736</v>
          </cell>
          <cell r="Q466">
            <v>46136</v>
          </cell>
        </row>
        <row r="467">
          <cell r="B467" t="str">
            <v>080/K/IV/26</v>
          </cell>
          <cell r="C467">
            <v>46136</v>
          </cell>
          <cell r="E467" t="str">
            <v>BPJS KESEHATAN staff</v>
          </cell>
          <cell r="G467" t="str">
            <v>190/PV-MAR/2026</v>
          </cell>
          <cell r="H467" t="str">
            <v>BPJS Kesehatan crew dan staff periode April 2026</v>
          </cell>
          <cell r="I467">
            <v>6943964</v>
          </cell>
          <cell r="K467">
            <v>0</v>
          </cell>
          <cell r="M467">
            <v>0</v>
          </cell>
          <cell r="P467">
            <v>6943964</v>
          </cell>
          <cell r="Q467">
            <v>46136</v>
          </cell>
        </row>
        <row r="468">
          <cell r="B468" t="str">
            <v>081/K/IV/26</v>
          </cell>
          <cell r="C468">
            <v>46136</v>
          </cell>
          <cell r="E468" t="str">
            <v>BPJS KETENAGAKERJAAN Crew</v>
          </cell>
          <cell r="G468" t="str">
            <v>191/PV-MAR/2026</v>
          </cell>
          <cell r="H468" t="str">
            <v>BPJS Ketenagakerjaan crew kapal Entebe Star 30 periode April 2026</v>
          </cell>
          <cell r="I468">
            <v>1759000</v>
          </cell>
          <cell r="K468">
            <v>0</v>
          </cell>
          <cell r="M468">
            <v>0</v>
          </cell>
          <cell r="P468">
            <v>1759000</v>
          </cell>
          <cell r="Q468">
            <v>46136</v>
          </cell>
        </row>
        <row r="469">
          <cell r="B469" t="str">
            <v>082/K/IV/26</v>
          </cell>
          <cell r="C469">
            <v>46136</v>
          </cell>
          <cell r="E469" t="str">
            <v>DIREKSI DAN STAFF</v>
          </cell>
          <cell r="G469" t="str">
            <v>188/PV-MAR/2026</v>
          </cell>
          <cell r="H469" t="str">
            <v>Gaji Direksi dan staff periode April 2026 sesuai lampiran</v>
          </cell>
          <cell r="I469">
            <v>124799700</v>
          </cell>
          <cell r="K469">
            <v>0</v>
          </cell>
          <cell r="M469">
            <v>0</v>
          </cell>
          <cell r="P469">
            <v>124799700</v>
          </cell>
          <cell r="Q469">
            <v>46136</v>
          </cell>
        </row>
        <row r="470">
          <cell r="B470" t="str">
            <v>083/K/IV/26</v>
          </cell>
          <cell r="C470">
            <v>46136</v>
          </cell>
          <cell r="E470" t="str">
            <v>ZULFADHLI JUSUF</v>
          </cell>
          <cell r="G470" t="str">
            <v>194/PV-MAR/2026</v>
          </cell>
          <cell r="H470" t="str">
            <v>Biaya Operasional - Penggantian dana talangan</v>
          </cell>
          <cell r="I470">
            <v>500000000</v>
          </cell>
          <cell r="K470">
            <v>0</v>
          </cell>
          <cell r="M470">
            <v>0</v>
          </cell>
          <cell r="P470">
            <v>500000000</v>
          </cell>
          <cell r="Q470">
            <v>46139</v>
          </cell>
        </row>
        <row r="471">
          <cell r="B471" t="str">
            <v>084/K/IV/26</v>
          </cell>
          <cell r="C471">
            <v>46136</v>
          </cell>
          <cell r="D471" t="str">
            <v>2602RF99V</v>
          </cell>
          <cell r="E471" t="str">
            <v>PT DINASTI SAMUDERA ABADI</v>
          </cell>
          <cell r="F471" t="str">
            <v>84/INV-TK//MAR-DSA/IV/26</v>
          </cell>
          <cell r="G471" t="str">
            <v>193/PV-MAR/2026</v>
          </cell>
          <cell r="H471" t="str">
            <v>Biaya Freight Charter TB Emperor 1 / BG Dinasti 3001 ( Jetty Patratani - PLTU Paiton )</v>
          </cell>
          <cell r="I471">
            <v>1257267480</v>
          </cell>
          <cell r="K471">
            <v>15</v>
          </cell>
          <cell r="M471">
            <v>-15087209.76</v>
          </cell>
          <cell r="N471">
            <v>15000</v>
          </cell>
          <cell r="P471">
            <v>1242195270.24</v>
          </cell>
          <cell r="Q471">
            <v>46139</v>
          </cell>
        </row>
        <row r="472">
          <cell r="B472" t="str">
            <v>084/K/IV/26</v>
          </cell>
          <cell r="C472">
            <v>46136</v>
          </cell>
          <cell r="D472" t="str">
            <v>2602RF99V</v>
          </cell>
          <cell r="E472" t="str">
            <v>PT DINASTI SAMUDERA ABADI</v>
          </cell>
          <cell r="F472" t="str">
            <v>DN 084/MAR-DSA/IV/2026</v>
          </cell>
          <cell r="G472" t="str">
            <v>193/PV-MAR/2026</v>
          </cell>
          <cell r="H472" t="str">
            <v>Bunker TB Emperor 1</v>
          </cell>
          <cell r="I472">
            <v>-180000000</v>
          </cell>
          <cell r="K472">
            <v>0</v>
          </cell>
          <cell r="M472">
            <v>0</v>
          </cell>
          <cell r="P472">
            <v>-180000000</v>
          </cell>
          <cell r="Q472">
            <v>46139</v>
          </cell>
        </row>
        <row r="473">
          <cell r="B473" t="str">
            <v>085/K/IV/26</v>
          </cell>
          <cell r="C473">
            <v>46136</v>
          </cell>
          <cell r="D473" t="str">
            <v>2602RF99W</v>
          </cell>
          <cell r="E473" t="str">
            <v>PT ANDALAN LANCAR NIAGA</v>
          </cell>
          <cell r="F473" t="str">
            <v>00046/ALN-INV/III/2026</v>
          </cell>
          <cell r="G473" t="str">
            <v>192/PV-MAR/2026</v>
          </cell>
          <cell r="H473" t="str">
            <v>Biaya Freight Charter TB Michelle II / BG Benami II ( Jetty SDJ - Suralaya )</v>
          </cell>
          <cell r="I473">
            <v>815300970</v>
          </cell>
          <cell r="K473">
            <v>15</v>
          </cell>
          <cell r="M473">
            <v>-9783611.6400000006</v>
          </cell>
          <cell r="N473">
            <v>15000</v>
          </cell>
          <cell r="P473">
            <v>805532358.36000001</v>
          </cell>
          <cell r="Q473">
            <v>46139</v>
          </cell>
        </row>
        <row r="474">
          <cell r="B474" t="str">
            <v>087/K/IV/26</v>
          </cell>
          <cell r="C474">
            <v>46139</v>
          </cell>
          <cell r="E474" t="str">
            <v>PT BENAYA AMB MANDIRI</v>
          </cell>
          <cell r="F474" t="str">
            <v>28/BAM-MAR/INV/IV/2026</v>
          </cell>
          <cell r="G474" t="str">
            <v>753/OPS-IV/2026</v>
          </cell>
          <cell r="H474" t="str">
            <v>Solar HSD TB Michelle 219-08 Voyage 145L</v>
          </cell>
          <cell r="I474">
            <v>378378378</v>
          </cell>
          <cell r="J474">
            <v>41621621.579999998</v>
          </cell>
          <cell r="K474">
            <v>0</v>
          </cell>
          <cell r="M474">
            <v>0</v>
          </cell>
          <cell r="P474">
            <v>419999999.57999998</v>
          </cell>
          <cell r="Q474">
            <v>46140</v>
          </cell>
        </row>
        <row r="475">
          <cell r="B475" t="str">
            <v>088/K/IV/26</v>
          </cell>
          <cell r="C475">
            <v>46139</v>
          </cell>
          <cell r="E475" t="str">
            <v>PT MARITIM INDO RAYA</v>
          </cell>
          <cell r="F475" t="str">
            <v>042/PRO/MIR-MAR/IV/2026 DP</v>
          </cell>
          <cell r="G475" t="str">
            <v>776/OPS-IV/2026</v>
          </cell>
          <cell r="H475" t="str">
            <v>DP 70% Operasional TB APL 7 / BG Baiduri 70273</v>
          </cell>
          <cell r="I475">
            <v>60374600</v>
          </cell>
          <cell r="K475">
            <v>15</v>
          </cell>
          <cell r="M475">
            <v>-20000</v>
          </cell>
          <cell r="N475">
            <v>2500</v>
          </cell>
          <cell r="O475">
            <v>20000</v>
          </cell>
          <cell r="P475">
            <v>60377100</v>
          </cell>
          <cell r="Q475">
            <v>46140</v>
          </cell>
        </row>
        <row r="476">
          <cell r="B476" t="str">
            <v>089/K/IV/26</v>
          </cell>
          <cell r="C476">
            <v>46140</v>
          </cell>
          <cell r="E476" t="str">
            <v>HILMAN KHAMIL</v>
          </cell>
          <cell r="G476" t="str">
            <v>202/PV-MAR/2026</v>
          </cell>
          <cell r="H476" t="str">
            <v>Biaya operasional di Talenta periode April 2026</v>
          </cell>
          <cell r="I476">
            <v>122935000</v>
          </cell>
          <cell r="K476">
            <v>0</v>
          </cell>
          <cell r="M476">
            <v>0</v>
          </cell>
          <cell r="N476">
            <v>2500</v>
          </cell>
          <cell r="P476">
            <v>122937500</v>
          </cell>
          <cell r="Q476">
            <v>46140</v>
          </cell>
        </row>
        <row r="477">
          <cell r="B477" t="str">
            <v>090/K/IV/26</v>
          </cell>
          <cell r="C477">
            <v>46140</v>
          </cell>
          <cell r="E477" t="str">
            <v>ALI KASIM</v>
          </cell>
          <cell r="G477" t="str">
            <v>201/PV-MAR/2026</v>
          </cell>
          <cell r="H477" t="str">
            <v>Biaya operasional di Talenta periode Februari 2026</v>
          </cell>
          <cell r="I477">
            <v>212700000</v>
          </cell>
          <cell r="K477">
            <v>0</v>
          </cell>
          <cell r="M477">
            <v>0</v>
          </cell>
          <cell r="N477">
            <v>2500</v>
          </cell>
          <cell r="P477">
            <v>212702500</v>
          </cell>
          <cell r="Q477">
            <v>46140</v>
          </cell>
        </row>
        <row r="478">
          <cell r="B478" t="str">
            <v>091/K/IV/26</v>
          </cell>
          <cell r="C478">
            <v>46140</v>
          </cell>
          <cell r="E478" t="str">
            <v>ISMA NUAENI</v>
          </cell>
          <cell r="F478" t="str">
            <v xml:space="preserve">     </v>
          </cell>
          <cell r="G478" t="str">
            <v>200/PV-MAR/2026</v>
          </cell>
          <cell r="H478" t="str">
            <v>Biaya operasional di Lontar periode April 2026</v>
          </cell>
          <cell r="I478">
            <v>189175000</v>
          </cell>
          <cell r="K478">
            <v>0</v>
          </cell>
          <cell r="M478">
            <v>0</v>
          </cell>
          <cell r="N478">
            <v>2500</v>
          </cell>
          <cell r="P478">
            <v>189177500</v>
          </cell>
          <cell r="Q478">
            <v>46140</v>
          </cell>
        </row>
        <row r="479">
          <cell r="B479" t="str">
            <v>092/K/IV/26</v>
          </cell>
          <cell r="C479">
            <v>46140</v>
          </cell>
          <cell r="E479" t="str">
            <v>CV PARNA MAKMUR BERSAMA</v>
          </cell>
          <cell r="F479" t="str">
            <v>09/INV-02/PMB/2026</v>
          </cell>
          <cell r="G479" t="str">
            <v>758/OPS-IV/2026</v>
          </cell>
          <cell r="H479" t="str">
            <v>Filter Racor FO AE TB Michelle 219-08 / BG Angeline 219-08 Voyage 131L</v>
          </cell>
          <cell r="I479">
            <v>8630000</v>
          </cell>
          <cell r="K479">
            <v>0</v>
          </cell>
          <cell r="M479">
            <v>0</v>
          </cell>
          <cell r="P479">
            <v>8630000</v>
          </cell>
          <cell r="Q479">
            <v>46141</v>
          </cell>
        </row>
        <row r="480">
          <cell r="B480" t="str">
            <v>093/K/IV/26</v>
          </cell>
          <cell r="C480">
            <v>46140</v>
          </cell>
          <cell r="E480" t="str">
            <v>PT CAHAYA SAMODERA BERSAUDARA</v>
          </cell>
          <cell r="F480" t="str">
            <v>CSB/INV/MRDCS/26/03457</v>
          </cell>
          <cell r="G480" t="str">
            <v>769/OPS-IV/2026</v>
          </cell>
          <cell r="H480" t="str">
            <v>Sirius S4 15W-40 TB Surya Segara 3 Voyage 137D</v>
          </cell>
          <cell r="I480">
            <v>14100000</v>
          </cell>
          <cell r="K480">
            <v>0</v>
          </cell>
          <cell r="M480">
            <v>0</v>
          </cell>
          <cell r="N480">
            <v>6500</v>
          </cell>
          <cell r="P480">
            <v>14106500</v>
          </cell>
          <cell r="Q480">
            <v>46141</v>
          </cell>
        </row>
        <row r="481">
          <cell r="B481" t="str">
            <v>094/K/IV/26</v>
          </cell>
          <cell r="C481">
            <v>46140</v>
          </cell>
          <cell r="E481" t="str">
            <v>PT GENTA MARITIM PRATAMA</v>
          </cell>
          <cell r="F481" t="str">
            <v>INV/2026/1315</v>
          </cell>
          <cell r="G481" t="str">
            <v>757/OPS-IV/2026</v>
          </cell>
          <cell r="H481" t="str">
            <v>Peta 62, 36, dan KPL TB Entebe Star 30</v>
          </cell>
          <cell r="I481">
            <v>1441000</v>
          </cell>
          <cell r="K481">
            <v>0</v>
          </cell>
          <cell r="M481">
            <v>0</v>
          </cell>
          <cell r="P481">
            <v>1441000</v>
          </cell>
          <cell r="Q481">
            <v>46141</v>
          </cell>
        </row>
        <row r="482">
          <cell r="B482" t="str">
            <v>095/K/IV/26</v>
          </cell>
          <cell r="C482">
            <v>46140</v>
          </cell>
          <cell r="E482" t="str">
            <v>PT ADIKARYA BAHARI GEMILANG</v>
          </cell>
          <cell r="F482" t="str">
            <v>083/INV/ABG-MAR/VI/2025-DP</v>
          </cell>
          <cell r="G482" t="str">
            <v>195/PV-MAR/2026</v>
          </cell>
          <cell r="H482" t="str">
            <v>DP Biaya Freight Charter TB Cipta 2001 - BG Satria 3001 ( Jetty Tuks - Bunati )</v>
          </cell>
          <cell r="I482">
            <v>146250000</v>
          </cell>
          <cell r="K482">
            <v>0</v>
          </cell>
          <cell r="M482">
            <v>0</v>
          </cell>
          <cell r="N482">
            <v>15000</v>
          </cell>
          <cell r="P482">
            <v>146265000</v>
          </cell>
          <cell r="Q482">
            <v>46141</v>
          </cell>
        </row>
        <row r="483">
          <cell r="B483" t="str">
            <v>096/K/IV/26</v>
          </cell>
          <cell r="C483">
            <v>46140</v>
          </cell>
          <cell r="D483" t="str">
            <v>2602S9FEO</v>
          </cell>
          <cell r="E483" t="str">
            <v>PT ADHI GUNA PUTERA (Paiton)</v>
          </cell>
          <cell r="F483" t="str">
            <v>K0105/INV-PTN/III/2026</v>
          </cell>
          <cell r="G483" t="str">
            <v>751/OPS-IV/2026</v>
          </cell>
          <cell r="H483" t="str">
            <v>Biaya Keagenan TB APL 7 - BG Baiduri 70273 Voyage 139D</v>
          </cell>
          <cell r="I483">
            <v>8493940</v>
          </cell>
          <cell r="J483">
            <v>220000</v>
          </cell>
          <cell r="K483">
            <v>15</v>
          </cell>
          <cell r="M483">
            <v>-50000</v>
          </cell>
          <cell r="N483">
            <v>2500</v>
          </cell>
          <cell r="P483">
            <v>8666440</v>
          </cell>
          <cell r="Q483">
            <v>46142</v>
          </cell>
        </row>
        <row r="484">
          <cell r="B484" t="str">
            <v>097/K/IV/26</v>
          </cell>
          <cell r="C484">
            <v>46140</v>
          </cell>
          <cell r="D484" t="str">
            <v>2602S9L8C</v>
          </cell>
          <cell r="E484" t="str">
            <v>PT SUMMER TEKNIK</v>
          </cell>
          <cell r="F484" t="str">
            <v>029/ST/INV/III/26</v>
          </cell>
          <cell r="G484" t="str">
            <v>755/OPS-IV/2026</v>
          </cell>
          <cell r="H484" t="str">
            <v>Perbaikan TB Surya Segara 3 Voyage 137D</v>
          </cell>
          <cell r="I484">
            <v>19000000</v>
          </cell>
          <cell r="K484">
            <v>15</v>
          </cell>
          <cell r="M484">
            <v>-45000</v>
          </cell>
          <cell r="N484">
            <v>2500</v>
          </cell>
          <cell r="O484">
            <v>1000</v>
          </cell>
          <cell r="P484">
            <v>18958500</v>
          </cell>
          <cell r="Q484">
            <v>46142</v>
          </cell>
        </row>
        <row r="485">
          <cell r="B485" t="str">
            <v>098/K/IV/26</v>
          </cell>
          <cell r="C485">
            <v>46140</v>
          </cell>
          <cell r="E485" t="str">
            <v>PD MARINDO JAYA</v>
          </cell>
          <cell r="F485" t="str">
            <v>0389</v>
          </cell>
          <cell r="G485" t="str">
            <v>756/OPS-IV/2026</v>
          </cell>
          <cell r="H485" t="str">
            <v>Perlengkapan kapal TB Surya Segara 3 Voyage 137D</v>
          </cell>
          <cell r="I485">
            <v>8692000</v>
          </cell>
          <cell r="K485">
            <v>21</v>
          </cell>
          <cell r="M485">
            <v>-3300</v>
          </cell>
          <cell r="P485">
            <v>8688700</v>
          </cell>
          <cell r="Q485">
            <v>46142</v>
          </cell>
        </row>
        <row r="486">
          <cell r="B486" t="str">
            <v>099/K/IV/26</v>
          </cell>
          <cell r="C486">
            <v>46140</v>
          </cell>
          <cell r="D486" t="str">
            <v>2602SABZZ</v>
          </cell>
          <cell r="E486" t="str">
            <v>PT ADIKARYA BAHARI GEMILANG</v>
          </cell>
          <cell r="F486" t="str">
            <v>083/INV/ABG-MAR/VI/2025</v>
          </cell>
          <cell r="G486" t="str">
            <v>196/PV-MAR/2026</v>
          </cell>
          <cell r="H486" t="str">
            <v>Pembayaran Freight Charter TB Cipta 2001 / BG Satria 3001 ( Jetty Tuks - Bunati ) Pelunasan</v>
          </cell>
          <cell r="I486">
            <v>142175280</v>
          </cell>
          <cell r="K486">
            <v>15</v>
          </cell>
          <cell r="M486">
            <v>-3461103</v>
          </cell>
          <cell r="N486">
            <v>15000</v>
          </cell>
          <cell r="P486">
            <v>138729177</v>
          </cell>
          <cell r="Q486">
            <v>46142</v>
          </cell>
        </row>
        <row r="487">
          <cell r="B487" t="str">
            <v>100/K/IV/26</v>
          </cell>
          <cell r="C487">
            <v>46140</v>
          </cell>
          <cell r="D487" t="str">
            <v>2602SAC00</v>
          </cell>
          <cell r="E487" t="str">
            <v>PT ANDALAN LANCAR NIAGA</v>
          </cell>
          <cell r="F487" t="str">
            <v>00070/ALN-INV/IV/2026</v>
          </cell>
          <cell r="G487" t="str">
            <v>197/PV-MAR/2026</v>
          </cell>
          <cell r="H487" t="str">
            <v>Biaya Time Charter TB Michelle XV / Bg Benami XV Periode 25 April - 24 Mei 2026</v>
          </cell>
          <cell r="I487">
            <v>850000000</v>
          </cell>
          <cell r="K487">
            <v>15</v>
          </cell>
          <cell r="M487">
            <v>-10200000</v>
          </cell>
          <cell r="N487">
            <v>15000</v>
          </cell>
          <cell r="P487">
            <v>839815000</v>
          </cell>
          <cell r="Q487">
            <v>46142</v>
          </cell>
        </row>
        <row r="488">
          <cell r="B488" t="str">
            <v>101/K/IV/26</v>
          </cell>
          <cell r="C488">
            <v>46140</v>
          </cell>
          <cell r="D488" t="str">
            <v>2602SABZY</v>
          </cell>
          <cell r="E488" t="str">
            <v>PT KRAKATAU SAMUDRA SOLUSI</v>
          </cell>
          <cell r="F488" t="str">
            <v>KSS.SI.260245</v>
          </cell>
          <cell r="G488" t="str">
            <v>198/PV-MAR/2026</v>
          </cell>
          <cell r="H488" t="str">
            <v>Biaya Freight Charter TB Entebe Poewe 10 / BG Segara 68 ( Kintap -PLTU Lontar )</v>
          </cell>
          <cell r="I488">
            <v>1351462980</v>
          </cell>
          <cell r="K488">
            <v>15</v>
          </cell>
          <cell r="M488">
            <v>-16217555.76</v>
          </cell>
          <cell r="P488">
            <v>1335245424.24</v>
          </cell>
          <cell r="Q488">
            <v>46142</v>
          </cell>
        </row>
        <row r="489">
          <cell r="B489" t="str">
            <v>102/K/IV/26</v>
          </cell>
          <cell r="C489">
            <v>46140</v>
          </cell>
          <cell r="D489" t="str">
            <v>2602S9FER</v>
          </cell>
          <cell r="E489" t="str">
            <v>PT GLOBAL LOGISTIK AGENSI</v>
          </cell>
          <cell r="F489" t="str">
            <v>INV-2602-042</v>
          </cell>
          <cell r="G489" t="str">
            <v>761/OPS-IV/2026</v>
          </cell>
          <cell r="H489" t="str">
            <v>Biaya Operasional TB Michelle XV / BBG Benami XV Voyage 134D</v>
          </cell>
          <cell r="I489">
            <v>10500000</v>
          </cell>
          <cell r="J489">
            <v>1155000</v>
          </cell>
          <cell r="K489">
            <v>23</v>
          </cell>
          <cell r="M489">
            <v>-50000</v>
          </cell>
          <cell r="N489">
            <v>2500</v>
          </cell>
          <cell r="P489">
            <v>11607500</v>
          </cell>
          <cell r="Q489">
            <v>46142</v>
          </cell>
        </row>
        <row r="490">
          <cell r="B490" t="str">
            <v>103/K/IV/26</v>
          </cell>
          <cell r="C490">
            <v>46140</v>
          </cell>
          <cell r="D490" t="str">
            <v>2602S9FEN</v>
          </cell>
          <cell r="E490" t="str">
            <v>PT DUTA BAHTERA SEMESTA</v>
          </cell>
          <cell r="F490" t="str">
            <v>0317/III/FDA/DBS-MRK/FP/2026</v>
          </cell>
          <cell r="G490" t="str">
            <v>760/OPS-IV/2026</v>
          </cell>
          <cell r="H490" t="str">
            <v>Agency Fee TB APL 7 / BG Baiduri 70273 Voyage 142D</v>
          </cell>
          <cell r="I490">
            <v>19388300</v>
          </cell>
          <cell r="J490">
            <v>330000</v>
          </cell>
          <cell r="K490">
            <v>23</v>
          </cell>
          <cell r="M490">
            <v>-70000</v>
          </cell>
          <cell r="P490">
            <v>19648300</v>
          </cell>
          <cell r="Q490">
            <v>46142</v>
          </cell>
        </row>
        <row r="491">
          <cell r="B491" t="str">
            <v>104/K/IV/26</v>
          </cell>
          <cell r="C491">
            <v>46140</v>
          </cell>
          <cell r="D491" t="str">
            <v>2602S9FEM</v>
          </cell>
          <cell r="E491" t="str">
            <v>PT HANANIA SAMUDERA JAYA</v>
          </cell>
          <cell r="F491" t="str">
            <v>010/INV/HSJ/II/26</v>
          </cell>
          <cell r="G491" t="str">
            <v>754/OPS-IV/2026</v>
          </cell>
          <cell r="H491" t="str">
            <v>Peta Laut No. 160 TB Michelle 219-08</v>
          </cell>
          <cell r="I491">
            <v>3710000</v>
          </cell>
          <cell r="K491">
            <v>0</v>
          </cell>
          <cell r="M491">
            <v>0</v>
          </cell>
          <cell r="P491">
            <v>3710000</v>
          </cell>
          <cell r="Q491">
            <v>46142</v>
          </cell>
        </row>
        <row r="492">
          <cell r="B492" t="str">
            <v>104/K/IV/26</v>
          </cell>
          <cell r="C492">
            <v>46140</v>
          </cell>
          <cell r="D492" t="str">
            <v>2602S9FEM</v>
          </cell>
          <cell r="E492" t="str">
            <v>PT HANANIA SAMUDERA JAYA</v>
          </cell>
          <cell r="F492" t="str">
            <v>011/INV/HSJ/III/26</v>
          </cell>
          <cell r="G492" t="str">
            <v>754/OPS-IV/2026</v>
          </cell>
          <cell r="H492" t="str">
            <v>Biaya Pengiriman Barang PO TB Entebe Star 30</v>
          </cell>
          <cell r="I492">
            <v>500000</v>
          </cell>
          <cell r="K492">
            <v>23</v>
          </cell>
          <cell r="M492">
            <v>-10000</v>
          </cell>
          <cell r="P492">
            <v>490000</v>
          </cell>
          <cell r="Q492">
            <v>46142</v>
          </cell>
        </row>
        <row r="493">
          <cell r="B493" t="str">
            <v>104/K/IV/26</v>
          </cell>
          <cell r="C493">
            <v>46140</v>
          </cell>
          <cell r="D493" t="str">
            <v>2602S9FEM</v>
          </cell>
          <cell r="E493" t="str">
            <v>PT HANANIA SAMUDERA JAYA</v>
          </cell>
          <cell r="F493" t="str">
            <v>012/INV/HSJ/III/26</v>
          </cell>
          <cell r="G493" t="str">
            <v>754/OPS-IV/2026</v>
          </cell>
          <cell r="H493" t="str">
            <v>Biaya Pengiriman Barang PO TB Entebe Star 30</v>
          </cell>
          <cell r="I493">
            <v>500000</v>
          </cell>
          <cell r="K493">
            <v>23</v>
          </cell>
          <cell r="M493">
            <v>-10000</v>
          </cell>
          <cell r="P493">
            <v>490000</v>
          </cell>
          <cell r="Q493">
            <v>46142</v>
          </cell>
        </row>
        <row r="494">
          <cell r="B494" t="str">
            <v>104/K/IV/26</v>
          </cell>
          <cell r="C494">
            <v>46140</v>
          </cell>
          <cell r="D494" t="str">
            <v>2602S9FEM</v>
          </cell>
          <cell r="E494" t="str">
            <v>PT HANANIA SAMUDERA JAYA</v>
          </cell>
          <cell r="F494" t="str">
            <v>014/INV/HSJ/III/26</v>
          </cell>
          <cell r="G494" t="str">
            <v>754/OPS-IV/2026</v>
          </cell>
          <cell r="H494" t="str">
            <v>Biaya Pengiriman Barang PO TB Surya Segara 3</v>
          </cell>
          <cell r="I494">
            <v>500000</v>
          </cell>
          <cell r="K494">
            <v>23</v>
          </cell>
          <cell r="M494">
            <v>-10000</v>
          </cell>
          <cell r="P494">
            <v>490000</v>
          </cell>
          <cell r="Q494">
            <v>46142</v>
          </cell>
        </row>
        <row r="495">
          <cell r="B495" t="str">
            <v>105/K/IV/26</v>
          </cell>
          <cell r="C495">
            <v>46140</v>
          </cell>
          <cell r="D495" t="str">
            <v>2602S9FEL</v>
          </cell>
          <cell r="E495" t="str">
            <v>PT AGENCY PELAYARAN INDONESIA</v>
          </cell>
          <cell r="F495" t="str">
            <v>INV-003/KTP-LTR/MAR/III/2026</v>
          </cell>
          <cell r="G495" t="str">
            <v>759/OPS-IV/2026</v>
          </cell>
          <cell r="H495" t="str">
            <v>Agency Fee TB Michelle XV / BG Benami XV Voyage 140D</v>
          </cell>
          <cell r="I495">
            <v>12815480</v>
          </cell>
          <cell r="J495">
            <v>385000</v>
          </cell>
          <cell r="K495">
            <v>23</v>
          </cell>
          <cell r="M495">
            <v>-70000</v>
          </cell>
          <cell r="P495">
            <v>13130480</v>
          </cell>
          <cell r="Q495">
            <v>46142</v>
          </cell>
        </row>
        <row r="496">
          <cell r="B496" t="str">
            <v>106/K/IV/26</v>
          </cell>
          <cell r="C496">
            <v>46140</v>
          </cell>
          <cell r="D496" t="str">
            <v>2602S9FEP</v>
          </cell>
          <cell r="E496" t="str">
            <v>PT ADHI GUNA PUTERA (Jabar)</v>
          </cell>
          <cell r="F496" t="str">
            <v>033/DN-JBR/III/AST-IM/2026</v>
          </cell>
          <cell r="G496" t="str">
            <v>752/OPS-IV/2026</v>
          </cell>
          <cell r="H496" t="str">
            <v>Jasa Pilotage &amp; Assist Tug TB Michelle 219-08 / BG Angeline 219-08 Voyage 136D</v>
          </cell>
          <cell r="I496">
            <v>20998586</v>
          </cell>
          <cell r="K496">
            <v>23</v>
          </cell>
          <cell r="M496">
            <v>-419971.72000000003</v>
          </cell>
          <cell r="N496">
            <v>2500</v>
          </cell>
          <cell r="P496">
            <v>20581114.280000001</v>
          </cell>
          <cell r="Q496">
            <v>46142</v>
          </cell>
        </row>
        <row r="497">
          <cell r="B497" t="str">
            <v>107/K/IV/26</v>
          </cell>
          <cell r="C497">
            <v>46135</v>
          </cell>
          <cell r="D497" t="str">
            <v>2602S9FF4</v>
          </cell>
          <cell r="E497" t="str">
            <v>PT TIRTA SAMUDRA AGENCY</v>
          </cell>
          <cell r="F497" t="str">
            <v>300/TSA-INV/IDMY/IV/2026</v>
          </cell>
          <cell r="G497" t="str">
            <v>749/OPS-IV/2026</v>
          </cell>
          <cell r="H497" t="str">
            <v>Agency Fee TB Michelle 219-08 / BG Angeline 219-08 Voyage 141D</v>
          </cell>
          <cell r="I497">
            <v>1500000</v>
          </cell>
          <cell r="J497">
            <v>165000</v>
          </cell>
          <cell r="K497">
            <v>23</v>
          </cell>
          <cell r="M497">
            <v>-30000</v>
          </cell>
          <cell r="N497">
            <v>2500</v>
          </cell>
          <cell r="P497">
            <v>1637500</v>
          </cell>
          <cell r="Q497">
            <v>46142</v>
          </cell>
        </row>
        <row r="498">
          <cell r="B498" t="str">
            <v>107/K/IV/26</v>
          </cell>
          <cell r="C498">
            <v>46135</v>
          </cell>
          <cell r="D498" t="str">
            <v>2602S9FF4</v>
          </cell>
          <cell r="E498" t="str">
            <v>PT TIRTA SAMUDRA AGENCY</v>
          </cell>
          <cell r="F498" t="str">
            <v>300A/TSA-INV/IDMY/IV/2026</v>
          </cell>
          <cell r="G498" t="str">
            <v>749/OPS-IV/2026</v>
          </cell>
          <cell r="H498" t="str">
            <v>Biaya Port Clearance TB Michelle 219-08 / BG Angeline 219-08 Voyage 141D</v>
          </cell>
          <cell r="I498">
            <v>10500000</v>
          </cell>
          <cell r="K498">
            <v>0</v>
          </cell>
          <cell r="M498">
            <v>0</v>
          </cell>
          <cell r="P498">
            <v>10500000</v>
          </cell>
          <cell r="Q498">
            <v>46142</v>
          </cell>
        </row>
        <row r="499">
          <cell r="B499" t="str">
            <v>108/K/IV/26</v>
          </cell>
          <cell r="C499">
            <v>46140</v>
          </cell>
          <cell r="D499" t="str">
            <v>2602S9FF2</v>
          </cell>
          <cell r="E499" t="str">
            <v>PT SINARMAS LDA USAHA PELABUHAN</v>
          </cell>
          <cell r="F499" t="str">
            <v>CI26-01688</v>
          </cell>
          <cell r="G499" t="str">
            <v>766/OPS-IV/2026</v>
          </cell>
          <cell r="H499" t="str">
            <v xml:space="preserve"> Pilotage Fixed Tariff TB APL 7 / BG Baiduri 70273 Voyage 139D</v>
          </cell>
          <cell r="I499">
            <v>21499789.5</v>
          </cell>
          <cell r="K499">
            <v>23</v>
          </cell>
          <cell r="M499">
            <v>-429995.79000000004</v>
          </cell>
          <cell r="N499">
            <v>2500</v>
          </cell>
          <cell r="O499">
            <v>-3</v>
          </cell>
          <cell r="P499">
            <v>21072290.710000001</v>
          </cell>
          <cell r="Q499">
            <v>46142</v>
          </cell>
        </row>
        <row r="500">
          <cell r="B500" t="str">
            <v>108/K/IV/26</v>
          </cell>
          <cell r="C500">
            <v>46140</v>
          </cell>
          <cell r="D500" t="str">
            <v>2602S9FF2</v>
          </cell>
          <cell r="E500" t="str">
            <v>PT SINARMAS LDA USAHA PELABUHAN</v>
          </cell>
          <cell r="F500" t="str">
            <v>CI26-02222</v>
          </cell>
          <cell r="G500" t="str">
            <v>767/OPS-IV/2026</v>
          </cell>
          <cell r="H500" t="str">
            <v>Assist Tug &amp; Pilotage TB Michelle XV / BG Benami XV Voyage 143D</v>
          </cell>
          <cell r="I500">
            <v>21490308</v>
          </cell>
          <cell r="K500">
            <v>23</v>
          </cell>
          <cell r="M500">
            <v>-429806.16000000003</v>
          </cell>
          <cell r="P500">
            <v>21060501.84</v>
          </cell>
          <cell r="Q500">
            <v>46142</v>
          </cell>
        </row>
        <row r="501">
          <cell r="B501" t="str">
            <v>108/K/IV/26</v>
          </cell>
          <cell r="C501">
            <v>46140</v>
          </cell>
          <cell r="D501" t="str">
            <v>2602S9FF2</v>
          </cell>
          <cell r="E501" t="str">
            <v>PT SINARMAS LDA USAHA PELABUHAN</v>
          </cell>
          <cell r="F501" t="str">
            <v>CI26-02256</v>
          </cell>
          <cell r="G501" t="str">
            <v>768/OPS-IV/2026</v>
          </cell>
          <cell r="H501" t="str">
            <v>Assist Tug &amp; Pilotage TB Entebe Star 30 / BG Finacia 71 Voyage 148D</v>
          </cell>
          <cell r="I501">
            <v>21483472.5</v>
          </cell>
          <cell r="K501">
            <v>23</v>
          </cell>
          <cell r="M501">
            <v>-429669.45</v>
          </cell>
          <cell r="P501">
            <v>21053803.050000001</v>
          </cell>
          <cell r="Q501">
            <v>46142</v>
          </cell>
        </row>
        <row r="502">
          <cell r="B502" t="str">
            <v>109/K/IV/26</v>
          </cell>
          <cell r="C502">
            <v>46140</v>
          </cell>
          <cell r="D502" t="str">
            <v>2603EQ047</v>
          </cell>
          <cell r="E502" t="str">
            <v>PT SURVEYOR INDONESIA</v>
          </cell>
          <cell r="F502" t="str">
            <v>INT-INV-2603-0032</v>
          </cell>
          <cell r="G502" t="str">
            <v>773/OPS-IV/2026</v>
          </cell>
          <cell r="H502" t="str">
            <v>Jasa Survey Vetting Inspection TB Intan Megah 17 / BG Intan Kelana 1</v>
          </cell>
          <cell r="I502">
            <v>20000000</v>
          </cell>
          <cell r="J502">
            <v>2200000</v>
          </cell>
          <cell r="K502">
            <v>23</v>
          </cell>
          <cell r="M502">
            <v>-380000</v>
          </cell>
          <cell r="P502">
            <v>21820000</v>
          </cell>
          <cell r="Q502">
            <v>46142</v>
          </cell>
        </row>
        <row r="503">
          <cell r="B503" t="str">
            <v>109/K/IV/26</v>
          </cell>
          <cell r="C503">
            <v>46140</v>
          </cell>
          <cell r="D503" t="str">
            <v>2603EQ047</v>
          </cell>
          <cell r="E503" t="str">
            <v>PT SURVEYOR INDONESIA</v>
          </cell>
          <cell r="F503" t="str">
            <v>INT-INV-2603-0020</v>
          </cell>
          <cell r="G503" t="str">
            <v>774/OPS-IV/2026</v>
          </cell>
          <cell r="H503" t="str">
            <v>Jasa Survey Vetting Inspection TB Michelle 219-08 / BG Angeline 219-08</v>
          </cell>
          <cell r="I503">
            <v>20000000</v>
          </cell>
          <cell r="J503">
            <v>2200000</v>
          </cell>
          <cell r="K503">
            <v>23</v>
          </cell>
          <cell r="M503">
            <v>-380000</v>
          </cell>
          <cell r="P503">
            <v>21820000</v>
          </cell>
          <cell r="Q503">
            <v>46142</v>
          </cell>
        </row>
        <row r="504">
          <cell r="B504" t="str">
            <v>110/K/IV/26</v>
          </cell>
          <cell r="C504">
            <v>46140</v>
          </cell>
          <cell r="D504" t="str">
            <v>2602S9FEQ</v>
          </cell>
          <cell r="E504" t="str">
            <v>PT MARITIM BATUBARA PERTAMA</v>
          </cell>
          <cell r="F504" t="str">
            <v xml:space="preserve"> </v>
          </cell>
          <cell r="G504" t="str">
            <v>763/OPS-IV/2026</v>
          </cell>
          <cell r="H504" t="str">
            <v>Mooring &amp; Unmooring Services TB APL 7 - BG Baiduri 70273 Voyage 139D</v>
          </cell>
          <cell r="I504">
            <v>2000000</v>
          </cell>
          <cell r="K504">
            <v>23</v>
          </cell>
          <cell r="M504">
            <v>-40000</v>
          </cell>
          <cell r="N504">
            <v>2500</v>
          </cell>
          <cell r="P504">
            <v>1962500</v>
          </cell>
          <cell r="Q504">
            <v>46142</v>
          </cell>
        </row>
        <row r="505">
          <cell r="B505" t="str">
            <v>110/K/IV/26</v>
          </cell>
          <cell r="C505">
            <v>46140</v>
          </cell>
          <cell r="D505" t="str">
            <v>2602S9FEQ</v>
          </cell>
          <cell r="E505" t="str">
            <v>PT MARITIM BATUBARA PERTAMA</v>
          </cell>
          <cell r="F505" t="str">
            <v>MBP/IV-26/0126</v>
          </cell>
          <cell r="G505" t="str">
            <v>765/OPS-IV/2026</v>
          </cell>
          <cell r="H505" t="str">
            <v>Mooring &amp; Unmooring TB Entebe Star 30 / BG Finacia 71 Voyage 138D</v>
          </cell>
          <cell r="I505">
            <v>2000000</v>
          </cell>
          <cell r="K505">
            <v>23</v>
          </cell>
          <cell r="M505">
            <v>-40000</v>
          </cell>
          <cell r="P505">
            <v>1960000</v>
          </cell>
          <cell r="Q505">
            <v>46142</v>
          </cell>
        </row>
        <row r="506">
          <cell r="B506" t="str">
            <v>110/K/IV/26</v>
          </cell>
          <cell r="C506">
            <v>46140</v>
          </cell>
          <cell r="D506" t="str">
            <v>2602S9FEQ</v>
          </cell>
          <cell r="E506" t="str">
            <v>PT MARITIM BATUBARA PERTAMA</v>
          </cell>
          <cell r="F506" t="str">
            <v>MBP/IV-26/0119</v>
          </cell>
          <cell r="G506" t="str">
            <v>764/OPS-IV/2026</v>
          </cell>
          <cell r="H506" t="str">
            <v>Mooring &amp; Unmooring TB Michelle XV / BG Benami XV Voyage 143D</v>
          </cell>
          <cell r="I506">
            <v>2000000</v>
          </cell>
          <cell r="K506">
            <v>23</v>
          </cell>
          <cell r="M506">
            <v>-40000</v>
          </cell>
          <cell r="P506">
            <v>1960000</v>
          </cell>
          <cell r="Q506">
            <v>46142</v>
          </cell>
        </row>
        <row r="507">
          <cell r="B507" t="str">
            <v>111/K/IV/26</v>
          </cell>
          <cell r="C507">
            <v>46141</v>
          </cell>
          <cell r="E507" t="str">
            <v>YONI FIRDAUS WIBOWO</v>
          </cell>
          <cell r="G507" t="str">
            <v>203/PV-MAR/2026</v>
          </cell>
          <cell r="H507" t="str">
            <v>Reimburse Mr. Yoni periode 22-23/04/2026</v>
          </cell>
          <cell r="I507">
            <v>1228460</v>
          </cell>
          <cell r="K507">
            <v>0</v>
          </cell>
          <cell r="M507">
            <v>0</v>
          </cell>
          <cell r="P507">
            <v>1228460</v>
          </cell>
          <cell r="Q507">
            <v>46142</v>
          </cell>
        </row>
        <row r="508">
          <cell r="B508" t="str">
            <v>002/K/IV/26 CAV</v>
          </cell>
          <cell r="C508">
            <v>46141</v>
          </cell>
          <cell r="E508" t="str">
            <v>YONI FIRDAUS WIBOWO</v>
          </cell>
          <cell r="G508" t="str">
            <v>204/PV-MAR/2026</v>
          </cell>
          <cell r="H508" t="str">
            <v>Cash Advance survey pemuatan semen di pelabuhan Conch, Lolak periode 30 April s.d 04 Mei 2026</v>
          </cell>
          <cell r="I508">
            <v>10000000</v>
          </cell>
          <cell r="K508">
            <v>0</v>
          </cell>
          <cell r="M508">
            <v>0</v>
          </cell>
          <cell r="P508">
            <v>10000000</v>
          </cell>
          <cell r="Q508">
            <v>46142</v>
          </cell>
        </row>
        <row r="509">
          <cell r="B509" t="str">
            <v>113/K/IV/26</v>
          </cell>
          <cell r="C509">
            <v>46141</v>
          </cell>
          <cell r="E509" t="str">
            <v>ENGGARINGTYAS DONYA WICAHYO LISWARI</v>
          </cell>
          <cell r="F509" t="str">
            <v>03/DW/INV/IV/2026</v>
          </cell>
          <cell r="G509" t="str">
            <v>779/OPS-IV/2026</v>
          </cell>
          <cell r="H509" t="str">
            <v>Transportasi TB Entebe Star 30</v>
          </cell>
          <cell r="I509">
            <v>20000000</v>
          </cell>
          <cell r="K509">
            <v>0</v>
          </cell>
          <cell r="M509">
            <v>0</v>
          </cell>
          <cell r="N509">
            <v>2500</v>
          </cell>
          <cell r="P509">
            <v>20002500</v>
          </cell>
          <cell r="Q509">
            <v>46142</v>
          </cell>
        </row>
        <row r="510">
          <cell r="B510" t="str">
            <v>113/K/IV/26</v>
          </cell>
          <cell r="C510">
            <v>46141</v>
          </cell>
          <cell r="E510" t="str">
            <v>ENGGARINGTYAS DONYA WICAHYO LISWARI</v>
          </cell>
          <cell r="F510" t="str">
            <v>004/RB/INV/III/2026</v>
          </cell>
          <cell r="G510" t="str">
            <v>779/OPS-IV/2026</v>
          </cell>
          <cell r="H510" t="str">
            <v>Tali 10mm TB Entebe Star 30</v>
          </cell>
          <cell r="I510">
            <v>5800000</v>
          </cell>
          <cell r="K510">
            <v>0</v>
          </cell>
          <cell r="M510">
            <v>0</v>
          </cell>
          <cell r="P510">
            <v>5800000</v>
          </cell>
          <cell r="Q510">
            <v>46142</v>
          </cell>
        </row>
        <row r="511">
          <cell r="B511" t="str">
            <v>114/K/IV/26</v>
          </cell>
          <cell r="C511">
            <v>46141</v>
          </cell>
          <cell r="E511" t="str">
            <v>DIRJEN PAJAK</v>
          </cell>
          <cell r="G511" t="str">
            <v>205/PV-MAR/2026</v>
          </cell>
          <cell r="H511" t="str">
            <v>Pembayaran PPN periode Maret 2026</v>
          </cell>
          <cell r="I511">
            <v>1442801430</v>
          </cell>
          <cell r="K511">
            <v>0</v>
          </cell>
          <cell r="M511">
            <v>0</v>
          </cell>
          <cell r="P511">
            <v>1442801430</v>
          </cell>
          <cell r="Q511">
            <v>46142</v>
          </cell>
        </row>
        <row r="512">
          <cell r="B512" t="str">
            <v>115/K/IV/26</v>
          </cell>
          <cell r="C512">
            <v>46141</v>
          </cell>
          <cell r="E512" t="str">
            <v>DIRJEN PAJAK</v>
          </cell>
          <cell r="G512" t="str">
            <v>206/PV-MAR/2026</v>
          </cell>
          <cell r="H512" t="str">
            <v>STP PPN PT Poernama Samudera Lines masa Februari 2026 - 0029/107/26/024/CT/26</v>
          </cell>
          <cell r="I512">
            <v>500000</v>
          </cell>
          <cell r="K512">
            <v>0</v>
          </cell>
          <cell r="M512">
            <v>0</v>
          </cell>
          <cell r="P512">
            <v>500000</v>
          </cell>
          <cell r="Q512">
            <v>46142</v>
          </cell>
        </row>
        <row r="513">
          <cell r="B513" t="str">
            <v>116/K/IV/26</v>
          </cell>
          <cell r="C513">
            <v>46142</v>
          </cell>
          <cell r="E513" t="str">
            <v>HILMAN KHAMIL</v>
          </cell>
          <cell r="G513" t="str">
            <v>199/PV-MAR/2026</v>
          </cell>
          <cell r="H513" t="str">
            <v>Biaya operational di Lontar periode Februari 2026</v>
          </cell>
          <cell r="I513">
            <v>212800000</v>
          </cell>
          <cell r="K513">
            <v>0</v>
          </cell>
          <cell r="M513">
            <v>0</v>
          </cell>
          <cell r="N513">
            <v>15000</v>
          </cell>
          <cell r="P513">
            <v>212815000</v>
          </cell>
          <cell r="Q513">
            <v>46142</v>
          </cell>
        </row>
        <row r="514">
          <cell r="B514" t="str">
            <v>117/K/IV/26</v>
          </cell>
          <cell r="C514">
            <v>46142</v>
          </cell>
          <cell r="E514" t="str">
            <v>CREW ENTEBE STAR 30 / FINACIA 71</v>
          </cell>
          <cell r="G514" t="str">
            <v>207/PV-MAR/2026</v>
          </cell>
          <cell r="H514" t="str">
            <v>Gaji crew Entebe Star 30 / BG Finacia 71 periode April 2026</v>
          </cell>
          <cell r="I514">
            <v>68500000</v>
          </cell>
          <cell r="K514">
            <v>0</v>
          </cell>
          <cell r="M514">
            <v>0</v>
          </cell>
          <cell r="N514">
            <v>26000</v>
          </cell>
          <cell r="P514">
            <v>68526000</v>
          </cell>
          <cell r="Q514">
            <v>46142</v>
          </cell>
        </row>
        <row r="515">
          <cell r="B515" t="str">
            <v>118/K/IV/26</v>
          </cell>
          <cell r="C515">
            <v>46142</v>
          </cell>
          <cell r="E515" t="str">
            <v>CREW SURYA SEGARA 3 / FINACIA 96</v>
          </cell>
          <cell r="G515" t="str">
            <v>208/PV-MAR/2026</v>
          </cell>
          <cell r="H515" t="str">
            <v>Gaji crew Surya Segara 3 / BG Finacia 96 periode April 2026</v>
          </cell>
          <cell r="I515">
            <v>68500000</v>
          </cell>
          <cell r="K515">
            <v>0</v>
          </cell>
          <cell r="M515">
            <v>0</v>
          </cell>
          <cell r="N515">
            <v>39000</v>
          </cell>
          <cell r="P515">
            <v>68539000</v>
          </cell>
          <cell r="Q515">
            <v>46142</v>
          </cell>
        </row>
        <row r="516">
          <cell r="B516" t="str">
            <v>119/K/IV/26</v>
          </cell>
          <cell r="C516">
            <v>46142</v>
          </cell>
          <cell r="E516" t="str">
            <v>CREW MICHELLE 219-08 / ANGELINE 219-08</v>
          </cell>
          <cell r="G516" t="str">
            <v>209/PV-MAR/2026</v>
          </cell>
          <cell r="H516" t="str">
            <v>Gaji crew Michelle 219-08 / BG Angeline 219-08 periode April 2026</v>
          </cell>
          <cell r="I516">
            <v>68500000</v>
          </cell>
          <cell r="K516">
            <v>0</v>
          </cell>
          <cell r="M516">
            <v>0</v>
          </cell>
          <cell r="N516">
            <v>19500</v>
          </cell>
          <cell r="P516">
            <v>68519500</v>
          </cell>
          <cell r="Q516">
            <v>46142</v>
          </cell>
        </row>
        <row r="517">
          <cell r="B517" t="str">
            <v>120/K/IV/26</v>
          </cell>
          <cell r="C517">
            <v>46142</v>
          </cell>
          <cell r="E517" t="str">
            <v>JAYA KESUMA</v>
          </cell>
          <cell r="G517" t="str">
            <v>210/PV-MAR/2026</v>
          </cell>
          <cell r="H517" t="str">
            <v>Uang makan crew Entebe Star 31 /BG Finacia 71 periode Mei 2026</v>
          </cell>
          <cell r="I517">
            <v>16500000</v>
          </cell>
          <cell r="K517">
            <v>0</v>
          </cell>
          <cell r="M517">
            <v>0</v>
          </cell>
          <cell r="N517">
            <v>2500</v>
          </cell>
          <cell r="P517">
            <v>16502500</v>
          </cell>
          <cell r="Q517">
            <v>46142</v>
          </cell>
        </row>
        <row r="518">
          <cell r="B518" t="str">
            <v>121/K/IV/26</v>
          </cell>
          <cell r="C518">
            <v>46142</v>
          </cell>
          <cell r="E518" t="str">
            <v>ANDI ARDI SAID</v>
          </cell>
          <cell r="G518" t="str">
            <v>211/PV-MAR/2026</v>
          </cell>
          <cell r="H518" t="str">
            <v>Uang makan crew Surya Segara 3 / BG Finacia 96 periode Mei 2026</v>
          </cell>
          <cell r="I518">
            <v>16500000</v>
          </cell>
          <cell r="K518">
            <v>0</v>
          </cell>
          <cell r="M518">
            <v>0</v>
          </cell>
          <cell r="N518">
            <v>2500</v>
          </cell>
          <cell r="P518">
            <v>16502500</v>
          </cell>
          <cell r="Q518">
            <v>46142</v>
          </cell>
        </row>
        <row r="519">
          <cell r="B519" t="str">
            <v>122/K/IV/26</v>
          </cell>
          <cell r="C519">
            <v>46142</v>
          </cell>
          <cell r="E519" t="str">
            <v>JUSNAEKA</v>
          </cell>
          <cell r="G519" t="str">
            <v>212/PV-MAR/2026</v>
          </cell>
          <cell r="H519" t="str">
            <v>Uang makan crew Michelle 218-08 / BG Angeline 219-08 periode Mei 2026</v>
          </cell>
          <cell r="I519">
            <v>16500000</v>
          </cell>
          <cell r="K519">
            <v>0</v>
          </cell>
          <cell r="M519">
            <v>0</v>
          </cell>
          <cell r="P519">
            <v>16500000</v>
          </cell>
          <cell r="Q519">
            <v>46142</v>
          </cell>
        </row>
        <row r="520">
          <cell r="B520" t="str">
            <v>123/K/IV/26</v>
          </cell>
          <cell r="C520">
            <v>46142</v>
          </cell>
          <cell r="E520" t="str">
            <v>ZULFADHLI JUSUF</v>
          </cell>
          <cell r="G520" t="str">
            <v>213/PV-MAR/2026</v>
          </cell>
          <cell r="H520" t="str">
            <v>Biaya Gathering dengan customer</v>
          </cell>
          <cell r="I520">
            <v>130500000</v>
          </cell>
          <cell r="K520">
            <v>0</v>
          </cell>
          <cell r="M520">
            <v>0</v>
          </cell>
          <cell r="P520">
            <v>130500000</v>
          </cell>
          <cell r="Q520">
            <v>46142</v>
          </cell>
        </row>
        <row r="521">
          <cell r="B521" t="str">
            <v>124/K/IV/26</v>
          </cell>
          <cell r="C521">
            <v>46142</v>
          </cell>
          <cell r="E521" t="str">
            <v>CV CAHAYA ABADI</v>
          </cell>
          <cell r="F521" t="str">
            <v>000196</v>
          </cell>
          <cell r="G521" t="str">
            <v>780/OPS-IV/2026</v>
          </cell>
          <cell r="H521" t="str">
            <v>Pelunasan Terpal Plastik TB Entebe Star 30</v>
          </cell>
          <cell r="I521">
            <v>13350000</v>
          </cell>
          <cell r="J521">
            <v>3300000</v>
          </cell>
          <cell r="K521">
            <v>0</v>
          </cell>
          <cell r="M521">
            <v>0</v>
          </cell>
          <cell r="N521">
            <v>2500</v>
          </cell>
          <cell r="P521">
            <v>16652500</v>
          </cell>
          <cell r="Q521">
            <v>46142</v>
          </cell>
        </row>
        <row r="522">
          <cell r="B522" t="str">
            <v>125/K/IV/26</v>
          </cell>
          <cell r="C522">
            <v>46142</v>
          </cell>
          <cell r="E522" t="str">
            <v>DIREKSI DAN STAFF</v>
          </cell>
          <cell r="G522" t="str">
            <v>214/PV-MAR/2026</v>
          </cell>
          <cell r="H522" t="str">
            <v>Bonus periode 2026 - sesuai lampiran</v>
          </cell>
          <cell r="I522">
            <v>254880000</v>
          </cell>
          <cell r="K522">
            <v>0</v>
          </cell>
          <cell r="M522">
            <v>0</v>
          </cell>
          <cell r="P522">
            <v>254880000</v>
          </cell>
          <cell r="Q522">
            <v>46142</v>
          </cell>
        </row>
        <row r="523">
          <cell r="K523">
            <v>0</v>
          </cell>
          <cell r="M523">
            <v>0</v>
          </cell>
          <cell r="P523">
            <v>0</v>
          </cell>
        </row>
        <row r="524">
          <cell r="B524" t="str">
            <v>001/K/V/26</v>
          </cell>
          <cell r="C524">
            <v>46143</v>
          </cell>
          <cell r="E524" t="str">
            <v>ZULFADHLI JUSUF</v>
          </cell>
          <cell r="G524" t="str">
            <v>215/PV-MAR/2026</v>
          </cell>
          <cell r="H524" t="str">
            <v>Penambahan petty cash periode April 2026</v>
          </cell>
          <cell r="I524">
            <v>217500000</v>
          </cell>
          <cell r="K524">
            <v>0</v>
          </cell>
          <cell r="M524">
            <v>0</v>
          </cell>
          <cell r="P524">
            <v>217500000</v>
          </cell>
          <cell r="Q524">
            <v>46148</v>
          </cell>
        </row>
        <row r="525">
          <cell r="B525" t="str">
            <v>002/K/V/26</v>
          </cell>
          <cell r="C525">
            <v>46146</v>
          </cell>
          <cell r="D525" t="str">
            <v>2602U4DGQ</v>
          </cell>
          <cell r="E525" t="str">
            <v>PT RAYA KALISTA SAMUDERA</v>
          </cell>
          <cell r="F525" t="str">
            <v>035/INV-MAR/V-2026</v>
          </cell>
          <cell r="G525" t="str">
            <v>216/PV-MAR/2026</v>
          </cell>
          <cell r="H525" t="str">
            <v>Biaya Freight Charter TB Warrior 03 / BG Victory 301 (Jetty SBL - Jetty BAP)</v>
          </cell>
          <cell r="I525">
            <v>493000000</v>
          </cell>
          <cell r="K525">
            <v>23</v>
          </cell>
          <cell r="M525">
            <v>-9860000</v>
          </cell>
          <cell r="P525">
            <v>483140000</v>
          </cell>
          <cell r="Q525">
            <v>46148</v>
          </cell>
        </row>
        <row r="526">
          <cell r="B526" t="str">
            <v>003/K/V/26</v>
          </cell>
          <cell r="C526">
            <v>46148</v>
          </cell>
          <cell r="E526" t="str">
            <v>ZULFADHLI JUSUF</v>
          </cell>
          <cell r="G526" t="str">
            <v>217/PV-MAR/2026</v>
          </cell>
          <cell r="H526" t="str">
            <v>Biaya Operasional - Penggantian dana talangan</v>
          </cell>
          <cell r="I526">
            <v>500000000</v>
          </cell>
          <cell r="K526">
            <v>0</v>
          </cell>
          <cell r="M526">
            <v>0</v>
          </cell>
          <cell r="P526">
            <v>500000000</v>
          </cell>
          <cell r="Q526">
            <v>46148</v>
          </cell>
        </row>
        <row r="527">
          <cell r="B527" t="str">
            <v>004/K/V/26</v>
          </cell>
          <cell r="C527">
            <v>46148</v>
          </cell>
          <cell r="E527" t="str">
            <v>PT PINUS MULIA ABADI</v>
          </cell>
          <cell r="F527" t="str">
            <v>0036/INV-PMA/V/2026</v>
          </cell>
          <cell r="G527" t="str">
            <v>792/OPS-V/2026</v>
          </cell>
          <cell r="H527" t="str">
            <v>BBM Solar B40 Voyage 147D</v>
          </cell>
          <cell r="I527">
            <v>408360320</v>
          </cell>
          <cell r="J527">
            <v>39639635</v>
          </cell>
          <cell r="K527">
            <v>0</v>
          </cell>
          <cell r="M527">
            <v>0</v>
          </cell>
          <cell r="P527">
            <v>447999955</v>
          </cell>
          <cell r="Q527">
            <v>46148</v>
          </cell>
        </row>
        <row r="528">
          <cell r="B528" t="str">
            <v>005/K/V/26</v>
          </cell>
          <cell r="C528">
            <v>46148</v>
          </cell>
          <cell r="E528" t="str">
            <v>CELVITA TRIASTUTI</v>
          </cell>
          <cell r="G528" t="str">
            <v>793/OPS-V/2026</v>
          </cell>
          <cell r="H528" t="str">
            <v>Sewa Gangway TB Entebe Star 30</v>
          </cell>
          <cell r="I528">
            <v>40000000</v>
          </cell>
          <cell r="K528">
            <v>0</v>
          </cell>
          <cell r="M528">
            <v>0</v>
          </cell>
          <cell r="P528">
            <v>40000000</v>
          </cell>
          <cell r="Q528">
            <v>46148</v>
          </cell>
        </row>
        <row r="529">
          <cell r="B529" t="str">
            <v>006/K/V/26</v>
          </cell>
          <cell r="C529">
            <v>46147</v>
          </cell>
          <cell r="E529" t="str">
            <v>KHARISMA DUTA</v>
          </cell>
          <cell r="G529" t="str">
            <v>791/OPS-V/2026</v>
          </cell>
          <cell r="H529" t="str">
            <v>Karung Terpal 6 Koli TB Entebe Star 30</v>
          </cell>
          <cell r="I529">
            <v>5960000</v>
          </cell>
          <cell r="K529">
            <v>21</v>
          </cell>
          <cell r="M529">
            <v>-149000</v>
          </cell>
          <cell r="N529">
            <v>2500</v>
          </cell>
          <cell r="O529">
            <v>149000</v>
          </cell>
          <cell r="P529">
            <v>5962500</v>
          </cell>
          <cell r="Q529">
            <v>46150</v>
          </cell>
        </row>
        <row r="530">
          <cell r="B530" t="str">
            <v>007/K/V/26</v>
          </cell>
          <cell r="C530">
            <v>46147</v>
          </cell>
          <cell r="E530" t="str">
            <v>CELEBES TEKNIK</v>
          </cell>
          <cell r="F530" t="str">
            <v>06052026-01</v>
          </cell>
          <cell r="G530" t="str">
            <v>783/OPS-V/2026</v>
          </cell>
          <cell r="H530" t="str">
            <v>DP 70% Terpal TB Entebe Star 30</v>
          </cell>
          <cell r="I530">
            <v>16800000</v>
          </cell>
          <cell r="K530">
            <v>0</v>
          </cell>
          <cell r="M530">
            <v>0</v>
          </cell>
          <cell r="N530">
            <v>2500</v>
          </cell>
          <cell r="P530">
            <v>16802500</v>
          </cell>
          <cell r="Q530">
            <v>46150</v>
          </cell>
        </row>
        <row r="531">
          <cell r="B531" t="str">
            <v>008/K/V/26</v>
          </cell>
          <cell r="C531">
            <v>46149</v>
          </cell>
          <cell r="E531" t="str">
            <v>CREW ENTEBE STAR 30 / FINACIA 71</v>
          </cell>
          <cell r="G531" t="str">
            <v>220/PV-MAR/2026</v>
          </cell>
          <cell r="H531" t="str">
            <v>Reimburse transport &amp; akomodasi crew Entebe Star 30 / Finacia 71 periode Nov 25 &amp; Feb 26</v>
          </cell>
          <cell r="I531">
            <v>3087100</v>
          </cell>
          <cell r="K531">
            <v>0</v>
          </cell>
          <cell r="M531">
            <v>0</v>
          </cell>
          <cell r="N531">
            <v>2500</v>
          </cell>
          <cell r="P531">
            <v>3089600</v>
          </cell>
          <cell r="Q531">
            <v>46150</v>
          </cell>
        </row>
        <row r="532">
          <cell r="B532" t="str">
            <v>008/K/V/26</v>
          </cell>
          <cell r="C532">
            <v>46149</v>
          </cell>
          <cell r="E532" t="str">
            <v>CREW ENTEBE STAR 30 / FINACIA 71</v>
          </cell>
          <cell r="G532" t="str">
            <v>220/PV-MAR/2026</v>
          </cell>
          <cell r="H532" t="str">
            <v>Reimbursement crew change ES 30 - Mr. Andika Eka. S periode Nov 2025</v>
          </cell>
          <cell r="I532">
            <v>1140814</v>
          </cell>
          <cell r="K532">
            <v>0</v>
          </cell>
          <cell r="M532">
            <v>0</v>
          </cell>
          <cell r="P532">
            <v>1140814</v>
          </cell>
          <cell r="Q532">
            <v>46150</v>
          </cell>
        </row>
        <row r="533">
          <cell r="B533" t="str">
            <v>009/K/V/26</v>
          </cell>
          <cell r="C533">
            <v>46149</v>
          </cell>
          <cell r="E533" t="str">
            <v>TRI HANDOYO</v>
          </cell>
          <cell r="G533" t="str">
            <v>219/PV-MAR/2026</v>
          </cell>
          <cell r="H533" t="str">
            <v>Reimbursement service dan ganti 4 unit ban mobil operasional - B 2234 TYB</v>
          </cell>
          <cell r="I533">
            <v>4210000</v>
          </cell>
          <cell r="K533">
            <v>0</v>
          </cell>
          <cell r="M533">
            <v>0</v>
          </cell>
          <cell r="N533">
            <v>2500</v>
          </cell>
          <cell r="P533">
            <v>4212500</v>
          </cell>
          <cell r="Q533">
            <v>46150</v>
          </cell>
        </row>
        <row r="534">
          <cell r="B534" t="str">
            <v>010/K/V/26</v>
          </cell>
          <cell r="C534">
            <v>46149</v>
          </cell>
          <cell r="E534" t="str">
            <v>PT MARITIM INDO RAYA</v>
          </cell>
          <cell r="F534" t="str">
            <v>44/PRO/MIR-MAR/IV/2026</v>
          </cell>
          <cell r="G534" t="str">
            <v>778/OPS-IV/2026</v>
          </cell>
          <cell r="H534" t="str">
            <v>DP 70% Operasional TB Michelle 219-08 / BG Angeline 210-08</v>
          </cell>
          <cell r="I534">
            <v>72233000</v>
          </cell>
          <cell r="K534">
            <v>0</v>
          </cell>
          <cell r="M534">
            <v>0</v>
          </cell>
          <cell r="N534">
            <v>2500</v>
          </cell>
          <cell r="P534">
            <v>72235500</v>
          </cell>
          <cell r="Q534">
            <v>46150</v>
          </cell>
        </row>
        <row r="535">
          <cell r="B535" t="str">
            <v>011/K/V/26</v>
          </cell>
          <cell r="C535">
            <v>46149</v>
          </cell>
          <cell r="E535" t="str">
            <v>PT MARITIM INDO RAYA</v>
          </cell>
          <cell r="F535" t="str">
            <v>43/PRO/MIR-MAR/IV/2026</v>
          </cell>
          <cell r="G535" t="str">
            <v>777/OPS-IV/2026</v>
          </cell>
          <cell r="H535" t="str">
            <v>DP 70% Operasional TB Michelle XV / BG Benami XV</v>
          </cell>
          <cell r="I535">
            <v>60394600</v>
          </cell>
          <cell r="K535">
            <v>0</v>
          </cell>
          <cell r="M535">
            <v>0</v>
          </cell>
          <cell r="N535">
            <v>2500</v>
          </cell>
          <cell r="P535">
            <v>60397100</v>
          </cell>
          <cell r="Q535">
            <v>46150</v>
          </cell>
        </row>
        <row r="536">
          <cell r="B536" t="str">
            <v>012/K/V/26</v>
          </cell>
          <cell r="C536">
            <v>46149</v>
          </cell>
          <cell r="E536" t="str">
            <v>CREW MICHELLE 219-08 / ANGELINE 219-08</v>
          </cell>
          <cell r="G536" t="str">
            <v>221/PV-MAR/2026</v>
          </cell>
          <cell r="H536" t="str">
            <v>Reimbursement transport &amp; Akomodasi crew Michelle 219-08 / Angeline 219-08 periode Januari 2026</v>
          </cell>
          <cell r="I536">
            <v>1918501</v>
          </cell>
          <cell r="K536">
            <v>0</v>
          </cell>
          <cell r="M536">
            <v>0</v>
          </cell>
          <cell r="N536">
            <v>7500</v>
          </cell>
          <cell r="P536">
            <v>1926001</v>
          </cell>
          <cell r="Q536">
            <v>46150</v>
          </cell>
        </row>
        <row r="537">
          <cell r="B537" t="str">
            <v>012/K/V/26</v>
          </cell>
          <cell r="C537">
            <v>46149</v>
          </cell>
          <cell r="E537" t="str">
            <v>CREW MICHELLE 219-08 / ANGELINE 219-09</v>
          </cell>
          <cell r="G537" t="str">
            <v>221/PV-MAR/2026</v>
          </cell>
          <cell r="H537" t="str">
            <v>Reimbursement transport &amp; Akomodasi crew Michelle 219-08 / Angeline 219-08 periode Januari 2026</v>
          </cell>
          <cell r="I537">
            <v>780000</v>
          </cell>
          <cell r="K537">
            <v>0</v>
          </cell>
          <cell r="M537">
            <v>0</v>
          </cell>
          <cell r="P537">
            <v>780000</v>
          </cell>
          <cell r="Q537">
            <v>46150</v>
          </cell>
        </row>
        <row r="538">
          <cell r="B538" t="str">
            <v>012/K/V/26</v>
          </cell>
          <cell r="C538">
            <v>46149</v>
          </cell>
          <cell r="E538" t="str">
            <v>CREW MICHELLE 219-08 / ANGELINE 219-10</v>
          </cell>
          <cell r="G538" t="str">
            <v>221/PV-MAR/2026</v>
          </cell>
          <cell r="H538" t="str">
            <v>Reimbursement transport &amp; Akomodasi crew Michelle 219-08 / Angeline 219-08 periode Januari 2026</v>
          </cell>
          <cell r="I538">
            <v>3412701</v>
          </cell>
          <cell r="K538">
            <v>0</v>
          </cell>
          <cell r="M538">
            <v>0</v>
          </cell>
          <cell r="P538">
            <v>3412701</v>
          </cell>
          <cell r="Q538">
            <v>46150</v>
          </cell>
        </row>
        <row r="539">
          <cell r="B539" t="str">
            <v>012/K/V/26</v>
          </cell>
          <cell r="C539">
            <v>46149</v>
          </cell>
          <cell r="E539" t="str">
            <v>CREW MICHELLE 219-08 / ANGELINE 219-11</v>
          </cell>
          <cell r="G539" t="str">
            <v>221/PV-MAR/2026</v>
          </cell>
          <cell r="H539" t="str">
            <v>Reimbursement transport &amp; Akomodasi crew Michelle 219-08 / Angeline 219-08 periode Januari 2026</v>
          </cell>
          <cell r="I539">
            <v>2405913</v>
          </cell>
          <cell r="K539">
            <v>0</v>
          </cell>
          <cell r="M539">
            <v>0</v>
          </cell>
          <cell r="P539">
            <v>2405913</v>
          </cell>
          <cell r="Q539">
            <v>46150</v>
          </cell>
        </row>
        <row r="540">
          <cell r="B540" t="str">
            <v>012/K/V/26</v>
          </cell>
          <cell r="C540">
            <v>46149</v>
          </cell>
          <cell r="E540" t="str">
            <v>CREW MICHELLE 219-08 / ANGELINE 219-12</v>
          </cell>
          <cell r="G540" t="str">
            <v>221/PV-MAR/2026</v>
          </cell>
          <cell r="H540" t="str">
            <v>Reimbursement transport &amp; Akomodasi crew Michelle 219-08 / Angeline 219-08 periode Januari 2026</v>
          </cell>
          <cell r="I540">
            <v>500000</v>
          </cell>
          <cell r="K540">
            <v>0</v>
          </cell>
          <cell r="M540">
            <v>0</v>
          </cell>
          <cell r="P540">
            <v>500000</v>
          </cell>
          <cell r="Q540">
            <v>46150</v>
          </cell>
        </row>
        <row r="541">
          <cell r="B541" t="str">
            <v>012/K/V/26</v>
          </cell>
          <cell r="C541">
            <v>46149</v>
          </cell>
          <cell r="E541" t="str">
            <v>CREW MICHELLE 219-08 / ANGELINE 219-13</v>
          </cell>
          <cell r="G541" t="str">
            <v>221/PV-MAR/2026</v>
          </cell>
          <cell r="H541" t="str">
            <v>Reimbursement transport &amp; Akomodasi crew Michelle 219-08 / Angeline 219-08 periode Januari 2026</v>
          </cell>
          <cell r="I541">
            <v>375000</v>
          </cell>
          <cell r="K541">
            <v>0</v>
          </cell>
          <cell r="M541">
            <v>0</v>
          </cell>
          <cell r="P541">
            <v>375000</v>
          </cell>
          <cell r="Q541">
            <v>46150</v>
          </cell>
        </row>
        <row r="542">
          <cell r="B542" t="str">
            <v>012/K/V/26</v>
          </cell>
          <cell r="C542">
            <v>46149</v>
          </cell>
          <cell r="E542" t="str">
            <v>CREW MICHELLE 219-08 / ANGELINE 219-14</v>
          </cell>
          <cell r="G542" t="str">
            <v>221/PV-MAR/2026</v>
          </cell>
          <cell r="H542" t="str">
            <v>Reimbursement transport &amp; Akomodasi crew Michelle 219-08 / Angeline 219-08 periode Januari 2026</v>
          </cell>
          <cell r="I542">
            <v>2874541</v>
          </cell>
          <cell r="K542">
            <v>0</v>
          </cell>
          <cell r="M542">
            <v>0</v>
          </cell>
          <cell r="P542">
            <v>2874541</v>
          </cell>
          <cell r="Q542">
            <v>46150</v>
          </cell>
        </row>
        <row r="543">
          <cell r="B543" t="str">
            <v>012/K/V/26</v>
          </cell>
          <cell r="C543">
            <v>46149</v>
          </cell>
          <cell r="E543" t="str">
            <v>CREW MICHELLE 219-08 / ANGELINE 219-15</v>
          </cell>
          <cell r="G543" t="str">
            <v>221/PV-MAR/2026</v>
          </cell>
          <cell r="H543" t="str">
            <v>Reimbursement transport &amp; Akomodasi crew Michelle 219-08 / Angeline 219-08 periode Januari 2026</v>
          </cell>
          <cell r="I543">
            <v>1698600</v>
          </cell>
          <cell r="K543">
            <v>0</v>
          </cell>
          <cell r="M543">
            <v>0</v>
          </cell>
          <cell r="P543">
            <v>1698600</v>
          </cell>
          <cell r="Q543">
            <v>46150</v>
          </cell>
        </row>
        <row r="544">
          <cell r="B544" t="str">
            <v>012/K/V/26</v>
          </cell>
          <cell r="C544">
            <v>46149</v>
          </cell>
          <cell r="E544" t="str">
            <v>CREW MICHELLE 219-08 / ANGELINE 219-16</v>
          </cell>
          <cell r="G544" t="str">
            <v>221/PV-MAR/2026</v>
          </cell>
          <cell r="H544" t="str">
            <v>Reimbursement transport &amp; Akomodasi crew Michelle 219-08 / Angeline 219-08 periode Januari 2026</v>
          </cell>
          <cell r="I544">
            <v>215000</v>
          </cell>
          <cell r="K544">
            <v>0</v>
          </cell>
          <cell r="M544">
            <v>0</v>
          </cell>
          <cell r="P544">
            <v>215000</v>
          </cell>
          <cell r="Q544">
            <v>46150</v>
          </cell>
        </row>
        <row r="545">
          <cell r="B545" t="str">
            <v>012/K/V/26</v>
          </cell>
          <cell r="C545">
            <v>46149</v>
          </cell>
          <cell r="E545" t="str">
            <v>CREW MICHELLE 219-08 / ANGELINE 219-17</v>
          </cell>
          <cell r="G545" t="str">
            <v>221/PV-MAR/2026</v>
          </cell>
          <cell r="H545" t="str">
            <v>Reimbursement transport &amp; Akomodasi crew Michelle 219-08 / Angeline 219-08 periode Januari 2026</v>
          </cell>
          <cell r="I545">
            <v>510000</v>
          </cell>
          <cell r="K545">
            <v>0</v>
          </cell>
          <cell r="M545">
            <v>0</v>
          </cell>
          <cell r="P545">
            <v>510000</v>
          </cell>
          <cell r="Q545">
            <v>46150</v>
          </cell>
        </row>
        <row r="546">
          <cell r="B546" t="str">
            <v>013/K/V/26</v>
          </cell>
          <cell r="C546">
            <v>46149</v>
          </cell>
          <cell r="E546" t="str">
            <v>MASUDI</v>
          </cell>
          <cell r="G546" t="str">
            <v>218/PV-MAR/2026</v>
          </cell>
          <cell r="H546" t="str">
            <v>Visit TB Surya Segara 3 periode 07/04/26 - Troubleshooting AE1</v>
          </cell>
          <cell r="I546">
            <v>6396340</v>
          </cell>
          <cell r="K546">
            <v>0</v>
          </cell>
          <cell r="M546">
            <v>0</v>
          </cell>
          <cell r="P546">
            <v>6396340</v>
          </cell>
          <cell r="Q546">
            <v>46150</v>
          </cell>
        </row>
        <row r="547">
          <cell r="B547" t="str">
            <v>014/K/V/26</v>
          </cell>
          <cell r="C547">
            <v>46150</v>
          </cell>
          <cell r="D547" t="str">
            <v>26039H9R2</v>
          </cell>
          <cell r="E547" t="str">
            <v>PT KRAKATAU SAMUDRA SOLUSI</v>
          </cell>
          <cell r="F547" t="str">
            <v>KSS.SI.260247</v>
          </cell>
          <cell r="G547" t="str">
            <v>222/PV-MAR/2026</v>
          </cell>
          <cell r="H547" t="str">
            <v>Biaya Freight Charter TB Trans Entranda 3 / BG Entranda 3002 ( Jetty Talenta - PLTU Lontar )</v>
          </cell>
          <cell r="I547">
            <v>1123110780</v>
          </cell>
          <cell r="K547">
            <v>15</v>
          </cell>
          <cell r="M547">
            <v>-13477329.359999999</v>
          </cell>
          <cell r="O547">
            <v>-1</v>
          </cell>
          <cell r="P547">
            <v>1109633449.6400001</v>
          </cell>
          <cell r="Q547">
            <v>46153</v>
          </cell>
        </row>
        <row r="548">
          <cell r="B548" t="str">
            <v>015/K/V/26</v>
          </cell>
          <cell r="C548">
            <v>46150</v>
          </cell>
          <cell r="D548" t="str">
            <v>26039H9R5</v>
          </cell>
          <cell r="E548" t="str">
            <v>PT ANDALAN LANCAR NIAGA</v>
          </cell>
          <cell r="F548" t="str">
            <v>00047/ALN-INV/III/2026</v>
          </cell>
          <cell r="G548" t="str">
            <v>223/PV-MAR/2026</v>
          </cell>
          <cell r="H548" t="str">
            <v>Biaya Freight Charter TB Michelle IX / BG Benami IX ( Jetty SDJ - Suralaya )</v>
          </cell>
          <cell r="I548">
            <v>825090970</v>
          </cell>
          <cell r="K548">
            <v>15</v>
          </cell>
          <cell r="M548">
            <v>-9901091.6400000006</v>
          </cell>
          <cell r="N548">
            <v>15000</v>
          </cell>
          <cell r="P548">
            <v>815204878.36000001</v>
          </cell>
          <cell r="Q548">
            <v>46153</v>
          </cell>
        </row>
        <row r="549">
          <cell r="B549" t="str">
            <v>016/K/V/26</v>
          </cell>
          <cell r="C549">
            <v>46150</v>
          </cell>
          <cell r="E549" t="str">
            <v>ENGGARINGTYAS DONYA WICAHYO LISWARI</v>
          </cell>
          <cell r="F549" t="str">
            <v>01/DW/INV/IV/2026 FP</v>
          </cell>
          <cell r="G549" t="str">
            <v>797/OPS-V/2026</v>
          </cell>
          <cell r="H549" t="str">
            <v>Pelunasan Palet Kayu TB Entebe Star 30</v>
          </cell>
          <cell r="I549">
            <v>45000000</v>
          </cell>
          <cell r="K549">
            <v>0</v>
          </cell>
          <cell r="M549">
            <v>0</v>
          </cell>
          <cell r="N549">
            <v>2500</v>
          </cell>
          <cell r="P549">
            <v>45002500</v>
          </cell>
          <cell r="Q549">
            <v>46153</v>
          </cell>
        </row>
        <row r="550">
          <cell r="B550" t="str">
            <v>017/K/V/26</v>
          </cell>
          <cell r="C550">
            <v>46150</v>
          </cell>
          <cell r="D550" t="str">
            <v>26039HCS5</v>
          </cell>
          <cell r="E550" t="str">
            <v>CV JAYA AGUNG MARINE</v>
          </cell>
          <cell r="F550" t="str">
            <v xml:space="preserve">INV/JAM/059/IV/2026 </v>
          </cell>
          <cell r="G550" t="str">
            <v>787/OPS-V/2026</v>
          </cell>
          <cell r="H550" t="str">
            <v>Blok Mesin TB Surya Segara 3</v>
          </cell>
          <cell r="I550">
            <v>12520000</v>
          </cell>
          <cell r="K550">
            <v>23</v>
          </cell>
          <cell r="M550">
            <v>-250400</v>
          </cell>
          <cell r="P550">
            <v>12269600</v>
          </cell>
          <cell r="Q550">
            <v>46153</v>
          </cell>
        </row>
        <row r="551">
          <cell r="B551" t="str">
            <v>017/K/V/26</v>
          </cell>
          <cell r="C551">
            <v>46150</v>
          </cell>
          <cell r="D551" t="str">
            <v>26039HCS5</v>
          </cell>
          <cell r="E551" t="str">
            <v>CV JAYA AGUNG MARINE</v>
          </cell>
          <cell r="F551" t="str">
            <v>INV/JAM/053/IV/2026 FP</v>
          </cell>
          <cell r="G551" t="str">
            <v>786/OPS-V/2026</v>
          </cell>
          <cell r="H551" t="str">
            <v>Jasa Over Haul Engine TB Surya Segara 3</v>
          </cell>
          <cell r="I551">
            <v>9800000</v>
          </cell>
          <cell r="K551">
            <v>23</v>
          </cell>
          <cell r="M551">
            <v>-280000</v>
          </cell>
          <cell r="P551">
            <v>9520000</v>
          </cell>
          <cell r="Q551">
            <v>46153</v>
          </cell>
        </row>
        <row r="552">
          <cell r="B552" t="str">
            <v>018/K/V/26</v>
          </cell>
          <cell r="C552">
            <v>46150</v>
          </cell>
          <cell r="E552" t="str">
            <v>PT SURYA BANJAR UTAMA</v>
          </cell>
          <cell r="F552" t="str">
            <v>INV-SBU.275/IV.2026</v>
          </cell>
          <cell r="G552" t="str">
            <v>775/OPS-IV/2026</v>
          </cell>
          <cell r="H552" t="str">
            <v>Filter Donaldson Voyage 147L</v>
          </cell>
          <cell r="I552">
            <v>14821000</v>
          </cell>
          <cell r="J552">
            <v>1630310</v>
          </cell>
          <cell r="K552">
            <v>0</v>
          </cell>
          <cell r="M552">
            <v>0</v>
          </cell>
          <cell r="N552">
            <v>2500</v>
          </cell>
          <cell r="P552">
            <v>16453810</v>
          </cell>
          <cell r="Q552">
            <v>46153</v>
          </cell>
        </row>
        <row r="553">
          <cell r="B553" t="str">
            <v>019/K/V/26</v>
          </cell>
          <cell r="C553">
            <v>46150</v>
          </cell>
          <cell r="D553" t="str">
            <v>26039H9R6</v>
          </cell>
          <cell r="E553" t="str">
            <v>PT ZIO JAYA BAHARI</v>
          </cell>
          <cell r="F553" t="str">
            <v>DN 057/ZIO-CRB/IV/2026</v>
          </cell>
          <cell r="G553" t="str">
            <v>790/OPS-V/2026</v>
          </cell>
          <cell r="H553" t="str">
            <v>Biaya Lumpsum Keagenan TB Surya Segara 3 / BG Finacia 96 Voyage 137D</v>
          </cell>
          <cell r="I553">
            <v>43184731</v>
          </cell>
          <cell r="K553">
            <v>23</v>
          </cell>
          <cell r="M553">
            <v>-200000</v>
          </cell>
          <cell r="P553">
            <v>42984731</v>
          </cell>
          <cell r="Q553">
            <v>46153</v>
          </cell>
        </row>
        <row r="554">
          <cell r="B554" t="str">
            <v>020/K/V/26</v>
          </cell>
          <cell r="C554">
            <v>46150</v>
          </cell>
          <cell r="D554" t="str">
            <v>26039H9R4</v>
          </cell>
          <cell r="E554" t="str">
            <v>PT ADHI GUNA PUTERA (Banten)</v>
          </cell>
          <cell r="F554" t="str">
            <v>146/INV-ASS/LTR/III/2026</v>
          </cell>
          <cell r="G554" t="str">
            <v>771/OPS-IV/2026</v>
          </cell>
          <cell r="H554" t="str">
            <v>Biaya Agency TB Michelle XV / BG Benami XV Voyage 140D</v>
          </cell>
          <cell r="I554">
            <v>20727516</v>
          </cell>
          <cell r="K554">
            <v>23</v>
          </cell>
          <cell r="M554">
            <v>-414550.32</v>
          </cell>
          <cell r="N554">
            <v>2500</v>
          </cell>
          <cell r="O554">
            <v>-1</v>
          </cell>
          <cell r="P554">
            <v>20315464.68</v>
          </cell>
          <cell r="Q554">
            <v>46153</v>
          </cell>
        </row>
        <row r="555">
          <cell r="B555" t="str">
            <v>020/K/V/26</v>
          </cell>
          <cell r="C555">
            <v>46150</v>
          </cell>
          <cell r="D555" t="str">
            <v>26039H9R4</v>
          </cell>
          <cell r="E555" t="str">
            <v>PT ADHI GUNA PUTERA (Banten)</v>
          </cell>
          <cell r="F555" t="str">
            <v>140/INV-ASS/LTR/III/2026</v>
          </cell>
          <cell r="G555" t="str">
            <v>772/OPS-IV/2026</v>
          </cell>
          <cell r="H555" t="str">
            <v>Jasa Pilotage &amp; Assist Tug TB APL 7 / BG Baiduri 70273 Voyage 142D</v>
          </cell>
          <cell r="I555">
            <v>20805862</v>
          </cell>
          <cell r="K555">
            <v>23</v>
          </cell>
          <cell r="M555">
            <v>-416117.24</v>
          </cell>
          <cell r="P555">
            <v>20389744.760000002</v>
          </cell>
          <cell r="Q555">
            <v>46153</v>
          </cell>
        </row>
        <row r="556">
          <cell r="B556" t="str">
            <v>021/K/V/26</v>
          </cell>
          <cell r="C556">
            <v>46150</v>
          </cell>
          <cell r="D556" t="str">
            <v>26039H9R7</v>
          </cell>
          <cell r="E556" t="str">
            <v>PT ADHI GUNA PUTERA (Jabar)</v>
          </cell>
          <cell r="F556" t="str">
            <v>024/DN-JBR/II/AST-IM/2026</v>
          </cell>
          <cell r="G556" t="str">
            <v>708/OPS-III/2026</v>
          </cell>
          <cell r="H556" t="str">
            <v>Jasa Pilotage &amp; Assist Tug TB Entebe Star 30 / BG Finacia 71 Voyage 133D</v>
          </cell>
          <cell r="I556">
            <v>21206994</v>
          </cell>
          <cell r="K556">
            <v>23</v>
          </cell>
          <cell r="M556">
            <v>-424139.88</v>
          </cell>
          <cell r="N556">
            <v>2500</v>
          </cell>
          <cell r="P556">
            <v>20785354.120000001</v>
          </cell>
          <cell r="Q556">
            <v>46153</v>
          </cell>
        </row>
        <row r="557">
          <cell r="B557" t="str">
            <v>022/K/V/26</v>
          </cell>
          <cell r="C557">
            <v>46150</v>
          </cell>
          <cell r="D557" t="str">
            <v>26039H9R3</v>
          </cell>
          <cell r="E557" t="str">
            <v>PT CAHAYA SAMODERA BERSAUDARA</v>
          </cell>
          <cell r="F557" t="str">
            <v>CSB/INV/MRDCS/26/03458</v>
          </cell>
          <cell r="G557" t="str">
            <v>770/OPS-IV/2026</v>
          </cell>
          <cell r="H557" t="str">
            <v>Delivery Charge TB Surya Segara 3 Voyage 137D</v>
          </cell>
          <cell r="I557">
            <v>1200000</v>
          </cell>
          <cell r="J557">
            <v>132000</v>
          </cell>
          <cell r="K557">
            <v>23</v>
          </cell>
          <cell r="M557">
            <v>-24000</v>
          </cell>
          <cell r="N557">
            <v>6500</v>
          </cell>
          <cell r="P557">
            <v>1314500</v>
          </cell>
          <cell r="Q557">
            <v>46153</v>
          </cell>
        </row>
        <row r="558">
          <cell r="B558" t="str">
            <v>022/K/V/26</v>
          </cell>
          <cell r="C558">
            <v>46150</v>
          </cell>
          <cell r="D558" t="str">
            <v>26039H9R3</v>
          </cell>
          <cell r="E558" t="str">
            <v>PT CAHAYA SAMODERA BERSAUDARA</v>
          </cell>
          <cell r="F558" t="str">
            <v>CSB/INV/BJSCS/26/03619</v>
          </cell>
          <cell r="G558" t="str">
            <v>789/OPS-V/2026</v>
          </cell>
          <cell r="H558" t="str">
            <v>Delivery Charge TB Entebe Star 30</v>
          </cell>
          <cell r="I558">
            <v>5800000</v>
          </cell>
          <cell r="J558">
            <v>638000</v>
          </cell>
          <cell r="K558">
            <v>23</v>
          </cell>
          <cell r="M558">
            <v>-116000</v>
          </cell>
          <cell r="P558">
            <v>6322000</v>
          </cell>
          <cell r="Q558">
            <v>46153</v>
          </cell>
        </row>
        <row r="559">
          <cell r="B559" t="str">
            <v>022/K/V/26</v>
          </cell>
          <cell r="C559">
            <v>46150</v>
          </cell>
          <cell r="E559" t="str">
            <v>PT CAHAYA SAMODERA BERSAUDARA</v>
          </cell>
          <cell r="F559" t="str">
            <v>CSB/INV/BJSCS/26/03618</v>
          </cell>
          <cell r="G559" t="str">
            <v>788/OPS-V/2026</v>
          </cell>
          <cell r="H559" t="str">
            <v>Sirius S4 15W-40 TB Entebe Star 30</v>
          </cell>
          <cell r="I559">
            <v>13450000</v>
          </cell>
          <cell r="K559">
            <v>0</v>
          </cell>
          <cell r="M559">
            <v>0</v>
          </cell>
          <cell r="P559">
            <v>13450000</v>
          </cell>
          <cell r="Q559">
            <v>46153</v>
          </cell>
        </row>
        <row r="560">
          <cell r="B560" t="str">
            <v>023/K/V/26</v>
          </cell>
          <cell r="C560">
            <v>46150</v>
          </cell>
          <cell r="D560" t="str">
            <v>26039H9TB</v>
          </cell>
          <cell r="E560" t="str">
            <v>PT TIRTA SAMUDRA AGENCY</v>
          </cell>
          <cell r="F560" t="str">
            <v>014/PT.TSA/INV/III/26, 013/PT.TSA/INV/III/26</v>
          </cell>
          <cell r="G560" t="str">
            <v>750/OPS-IV/2026</v>
          </cell>
          <cell r="H560" t="str">
            <v>Biaya Keagenan TB Michelle XV / BG Benami XV Voyage 140D</v>
          </cell>
          <cell r="I560">
            <v>19438125</v>
          </cell>
          <cell r="J560">
            <v>220000</v>
          </cell>
          <cell r="K560">
            <v>23</v>
          </cell>
          <cell r="M560">
            <v>-40000</v>
          </cell>
          <cell r="N560">
            <v>2500</v>
          </cell>
          <cell r="P560">
            <v>19620625</v>
          </cell>
          <cell r="Q560">
            <v>46153</v>
          </cell>
        </row>
        <row r="561">
          <cell r="B561" t="str">
            <v>023/K/V/26</v>
          </cell>
          <cell r="C561">
            <v>46150</v>
          </cell>
          <cell r="D561" t="str">
            <v>26039H9TB</v>
          </cell>
          <cell r="E561" t="str">
            <v>PT TIRTA SAMUDRA AGENCY</v>
          </cell>
          <cell r="F561" t="str">
            <v>013/PT.TSA/INV/III/26</v>
          </cell>
          <cell r="G561" t="str">
            <v>750/OPS-IV/2026</v>
          </cell>
          <cell r="H561" t="str">
            <v>Agency Fee TB Michelle XV / BG Benami XV</v>
          </cell>
          <cell r="K561">
            <v>0</v>
          </cell>
          <cell r="M561">
            <v>0</v>
          </cell>
          <cell r="P561">
            <v>0</v>
          </cell>
          <cell r="Q561">
            <v>46153</v>
          </cell>
        </row>
        <row r="562">
          <cell r="B562" t="str">
            <v>024/K/V/26</v>
          </cell>
          <cell r="C562">
            <v>46153</v>
          </cell>
          <cell r="D562" t="str">
            <v>26039H9R1</v>
          </cell>
          <cell r="E562" t="str">
            <v>PT MASADA JAYA LINES</v>
          </cell>
          <cell r="F562" t="str">
            <v>MJL2604-260410081</v>
          </cell>
          <cell r="G562" t="str">
            <v>224/PV-MAR/2026</v>
          </cell>
          <cell r="H562" t="str">
            <v>Biaya Freight Charter TB Masada 29 / BG Jauhar ( Jetty BOCT - PLTU Pel. Ratu )</v>
          </cell>
          <cell r="I562">
            <v>1501614000</v>
          </cell>
          <cell r="K562">
            <v>15</v>
          </cell>
          <cell r="M562">
            <v>-18019368</v>
          </cell>
          <cell r="P562">
            <v>1483594632</v>
          </cell>
          <cell r="Q562">
            <v>46154</v>
          </cell>
        </row>
        <row r="563">
          <cell r="B563" t="str">
            <v>025/K/V/26</v>
          </cell>
          <cell r="C563">
            <v>46154</v>
          </cell>
          <cell r="D563" t="str">
            <v>2603HBNFN</v>
          </cell>
          <cell r="E563" t="str">
            <v>PT SAMUDERA PASIFIC TOTABUAN</v>
          </cell>
          <cell r="F563" t="str">
            <v>29/SPT/V/2026</v>
          </cell>
          <cell r="G563" t="str">
            <v>799/OPS-V/2026</v>
          </cell>
          <cell r="H563" t="str">
            <v>Biaya Keagenan Lumpsum TB Entebe Star 30 Voyage 147D</v>
          </cell>
          <cell r="I563">
            <v>28438000</v>
          </cell>
          <cell r="K563">
            <v>23</v>
          </cell>
          <cell r="M563">
            <v>-300000</v>
          </cell>
          <cell r="P563">
            <v>28138000</v>
          </cell>
          <cell r="Q563">
            <v>46160</v>
          </cell>
        </row>
        <row r="564">
          <cell r="B564" t="str">
            <v>026/K/V/26</v>
          </cell>
          <cell r="C564">
            <v>46154</v>
          </cell>
          <cell r="E564" t="str">
            <v>PT SAMUDERA PASIFIC TOTABUAN</v>
          </cell>
          <cell r="F564" t="str">
            <v>16/SPT/V/2026</v>
          </cell>
          <cell r="G564" t="str">
            <v>798/OPS-V/2026</v>
          </cell>
          <cell r="H564" t="str">
            <v>Perpanjang Sertifikat NTR TB Entebe Star 30 Voyage 147D</v>
          </cell>
          <cell r="I564">
            <v>18380000</v>
          </cell>
          <cell r="K564">
            <v>0</v>
          </cell>
          <cell r="M564">
            <v>0</v>
          </cell>
          <cell r="P564">
            <v>18380000</v>
          </cell>
          <cell r="Q564">
            <v>46160</v>
          </cell>
        </row>
        <row r="565">
          <cell r="B565" t="str">
            <v>027/K/V/26</v>
          </cell>
          <cell r="C565">
            <v>46154</v>
          </cell>
          <cell r="E565" t="str">
            <v>YONI FIRDAUS WIBOWO</v>
          </cell>
          <cell r="G565" t="str">
            <v>226/PV-MAR/2026</v>
          </cell>
          <cell r="H565" t="str">
            <v>Balance biztrip survey pelabuhan Conch, Lolak Sul-Ut periode 30/04 - 07/05 2026</v>
          </cell>
          <cell r="I565">
            <v>2443354</v>
          </cell>
          <cell r="K565">
            <v>0</v>
          </cell>
          <cell r="M565">
            <v>0</v>
          </cell>
          <cell r="P565">
            <v>2443354</v>
          </cell>
          <cell r="Q565">
            <v>46160</v>
          </cell>
        </row>
        <row r="566">
          <cell r="B566" t="str">
            <v>028/K/V/26</v>
          </cell>
          <cell r="C566">
            <v>46154</v>
          </cell>
          <cell r="E566" t="str">
            <v>BINA SARANA INFORMATIKA</v>
          </cell>
          <cell r="F566" t="str">
            <v>128.02/Y-BSI/IV/2026</v>
          </cell>
          <cell r="G566" t="str">
            <v>225/PV-MAR/2026</v>
          </cell>
          <cell r="H566" t="str">
            <v>Pembayaran parkir member 2 unit mobil &amp; 7 unit motor periode 10/05 s.d 09/06 2026</v>
          </cell>
          <cell r="I566">
            <v>3300000</v>
          </cell>
          <cell r="K566">
            <v>0</v>
          </cell>
          <cell r="M566">
            <v>0</v>
          </cell>
          <cell r="N566">
            <v>2500</v>
          </cell>
          <cell r="P566">
            <v>3302500</v>
          </cell>
          <cell r="Q566">
            <v>46160</v>
          </cell>
        </row>
        <row r="567">
          <cell r="B567" t="str">
            <v>029/K/V/26</v>
          </cell>
          <cell r="C567">
            <v>46159</v>
          </cell>
          <cell r="E567" t="str">
            <v>PT MULTI ARTHA SEGORO</v>
          </cell>
          <cell r="F567" t="str">
            <v>038/MAS-MAR/HSD/V/2026</v>
          </cell>
          <cell r="G567" t="str">
            <v>804/OPS-V/2026</v>
          </cell>
          <cell r="H567" t="str">
            <v>Solar B40 TB Warrior 03</v>
          </cell>
          <cell r="I567">
            <v>600000000</v>
          </cell>
          <cell r="J567">
            <v>66000000</v>
          </cell>
          <cell r="K567">
            <v>0</v>
          </cell>
          <cell r="M567">
            <v>0</v>
          </cell>
          <cell r="P567">
            <v>666000000</v>
          </cell>
          <cell r="Q567">
            <v>46161</v>
          </cell>
        </row>
        <row r="568">
          <cell r="B568" t="str">
            <v>030/K/V/26</v>
          </cell>
          <cell r="C568">
            <v>46159</v>
          </cell>
          <cell r="E568" t="str">
            <v>CELEBES TEKNIK</v>
          </cell>
          <cell r="F568" t="str">
            <v>06052026-01</v>
          </cell>
          <cell r="G568" t="str">
            <v>803/OPS-V/2026</v>
          </cell>
          <cell r="H568" t="str">
            <v>Pelunasan Terpal 30 x 35m TB Entebe Star 30</v>
          </cell>
          <cell r="I568">
            <v>7200000</v>
          </cell>
          <cell r="K568">
            <v>0</v>
          </cell>
          <cell r="M568">
            <v>0</v>
          </cell>
          <cell r="N568">
            <v>2500</v>
          </cell>
          <cell r="P568">
            <v>7202500</v>
          </cell>
          <cell r="Q568">
            <v>46161</v>
          </cell>
        </row>
        <row r="569">
          <cell r="B569" t="str">
            <v>031/K/V/26</v>
          </cell>
          <cell r="C569">
            <v>46159</v>
          </cell>
          <cell r="E569" t="str">
            <v>ENGGARINGTYAS DONYA WICAHYO LISWARI</v>
          </cell>
          <cell r="F569" t="str">
            <v>007/DW/INV/V/2026</v>
          </cell>
          <cell r="G569" t="str">
            <v>805/OPS-V/2026</v>
          </cell>
          <cell r="H569" t="str">
            <v>DP Palet Kayu TB Entebe Star 30</v>
          </cell>
          <cell r="I569">
            <v>6500000</v>
          </cell>
          <cell r="K569">
            <v>0</v>
          </cell>
          <cell r="M569">
            <v>0</v>
          </cell>
          <cell r="N569">
            <v>2500</v>
          </cell>
          <cell r="P569">
            <v>6502500</v>
          </cell>
          <cell r="Q569">
            <v>46161</v>
          </cell>
        </row>
        <row r="570">
          <cell r="B570" t="str">
            <v>032/K/V/26</v>
          </cell>
          <cell r="C570">
            <v>46159</v>
          </cell>
          <cell r="D570" t="str">
            <v>2603HBHJV</v>
          </cell>
          <cell r="E570" t="str">
            <v>PT ELISHA MILAN TANKERS</v>
          </cell>
          <cell r="F570" t="str">
            <v>044/INV/EMT-MAR/V/2026</v>
          </cell>
          <cell r="G570" t="str">
            <v>227/PV-MAR/2026</v>
          </cell>
          <cell r="H570" t="str">
            <v>Biaya Time Charter TB Abhiprama 107 / BG Alara 107 Periode 13 Mei - 13 Juni 2026</v>
          </cell>
          <cell r="I570">
            <v>700000000</v>
          </cell>
          <cell r="K570">
            <v>15</v>
          </cell>
          <cell r="M570">
            <v>-8400000</v>
          </cell>
          <cell r="N570">
            <v>15000</v>
          </cell>
          <cell r="P570">
            <v>691615000</v>
          </cell>
          <cell r="Q570">
            <v>46161</v>
          </cell>
        </row>
        <row r="571">
          <cell r="B571" t="str">
            <v>033/K/V/26</v>
          </cell>
          <cell r="C571">
            <v>46159</v>
          </cell>
          <cell r="D571" t="str">
            <v>2606OQE0D</v>
          </cell>
          <cell r="E571" t="str">
            <v>KHARISMA DUTA</v>
          </cell>
          <cell r="G571" t="str">
            <v>800/OPS-V/2026</v>
          </cell>
          <cell r="H571" t="str">
            <v>Transport Terpal TB Entebe Star 30</v>
          </cell>
          <cell r="I571">
            <v>2625000</v>
          </cell>
          <cell r="K571">
            <v>0</v>
          </cell>
          <cell r="M571">
            <v>-65625</v>
          </cell>
          <cell r="N571">
            <v>2500</v>
          </cell>
          <cell r="O571">
            <v>65625</v>
          </cell>
          <cell r="P571">
            <v>2627500</v>
          </cell>
          <cell r="Q571">
            <v>46161</v>
          </cell>
        </row>
        <row r="572">
          <cell r="B572" t="str">
            <v>034/K/V/26</v>
          </cell>
          <cell r="C572">
            <v>46158</v>
          </cell>
          <cell r="E572" t="str">
            <v>PT BENAYA AMB MANDIRI</v>
          </cell>
          <cell r="F572" t="str">
            <v>30/BAM-MAR/INV/IV/2026</v>
          </cell>
          <cell r="G572" t="str">
            <v>795/OPS-V/2026</v>
          </cell>
          <cell r="H572" t="str">
            <v>Solar HSD TB APL 7 Voyage 149L</v>
          </cell>
          <cell r="I572">
            <v>660000000</v>
          </cell>
          <cell r="J572">
            <v>72600000</v>
          </cell>
          <cell r="K572">
            <v>0</v>
          </cell>
          <cell r="M572">
            <v>0</v>
          </cell>
          <cell r="P572">
            <v>732600000</v>
          </cell>
          <cell r="Q572">
            <v>46161</v>
          </cell>
        </row>
        <row r="573">
          <cell r="B573" t="str">
            <v>035/K/V/26</v>
          </cell>
          <cell r="C573">
            <v>46160</v>
          </cell>
          <cell r="E573" t="str">
            <v>DIRJEN PAJAK</v>
          </cell>
          <cell r="G573" t="str">
            <v>228/PV-MAR/2026</v>
          </cell>
          <cell r="H573" t="str">
            <v>Pembayaran PPh Psl 15, 23, dan 21 periode April 2026</v>
          </cell>
          <cell r="I573">
            <v>232842779</v>
          </cell>
          <cell r="K573">
            <v>0</v>
          </cell>
          <cell r="M573">
            <v>0</v>
          </cell>
          <cell r="P573">
            <v>232842779</v>
          </cell>
          <cell r="Q573">
            <v>46161</v>
          </cell>
        </row>
        <row r="574">
          <cell r="B574" t="str">
            <v>036/K/V/26</v>
          </cell>
          <cell r="C574">
            <v>46160</v>
          </cell>
          <cell r="D574" t="str">
            <v>2603EOYAI</v>
          </cell>
          <cell r="E574" t="str">
            <v>PT ANDALAN LANCAR NIAGA</v>
          </cell>
          <cell r="F574" t="str">
            <v>00061/ALN-INV/IV/2026</v>
          </cell>
          <cell r="G574" t="str">
            <v>229/PV-MAR/2026</v>
          </cell>
          <cell r="H574" t="str">
            <v xml:space="preserve">Biaya Freight Charter TB Michelle IX / BG Benami IX ( Jetty Patratani - PLTU Paiton ) </v>
          </cell>
          <cell r="I574">
            <v>1277720000</v>
          </cell>
          <cell r="K574">
            <v>15</v>
          </cell>
          <cell r="M574">
            <v>-15332640</v>
          </cell>
          <cell r="N574">
            <v>15000</v>
          </cell>
          <cell r="P574">
            <v>1262402360</v>
          </cell>
          <cell r="Q574">
            <v>46161</v>
          </cell>
        </row>
        <row r="575">
          <cell r="B575" t="str">
            <v>037/K/V/26</v>
          </cell>
          <cell r="C575">
            <v>46160</v>
          </cell>
          <cell r="D575" t="str">
            <v>2603EOYAJ</v>
          </cell>
          <cell r="E575" t="str">
            <v>PT KRAKATAU SAMUDRA SOLUSI</v>
          </cell>
          <cell r="F575" t="str">
            <v>KSS.SI.260286</v>
          </cell>
          <cell r="G575" t="str">
            <v>230/PV-MAR/2026</v>
          </cell>
          <cell r="H575" t="str">
            <v>Demurrage TB Cahaya Raya Anugrah / BG CRA ( Jetty SBA - MV Nefeli )</v>
          </cell>
          <cell r="I575">
            <v>36895833</v>
          </cell>
          <cell r="K575">
            <v>15</v>
          </cell>
          <cell r="M575">
            <v>-442749.99599999998</v>
          </cell>
          <cell r="P575">
            <v>36453083.004000001</v>
          </cell>
          <cell r="Q575">
            <v>46161</v>
          </cell>
        </row>
        <row r="576">
          <cell r="B576" t="str">
            <v>038/K/V/26</v>
          </cell>
          <cell r="C576">
            <v>46160</v>
          </cell>
          <cell r="D576" t="str">
            <v>2603EOYAH</v>
          </cell>
          <cell r="E576" t="str">
            <v>PT KRAKATAU SAMUDRA SOLUSI</v>
          </cell>
          <cell r="F576" t="str">
            <v>KSS.SI.260308</v>
          </cell>
          <cell r="G576" t="str">
            <v>231/PV-MAR/2026</v>
          </cell>
          <cell r="H576" t="str">
            <v xml:space="preserve">Demurrage TB Grace 05 / BG BU 307 ( Jetty SBA - MV Nefeli ) </v>
          </cell>
          <cell r="I576">
            <v>46687500</v>
          </cell>
          <cell r="K576">
            <v>15</v>
          </cell>
          <cell r="M576">
            <v>-560250</v>
          </cell>
          <cell r="P576">
            <v>46127250</v>
          </cell>
          <cell r="Q576">
            <v>46161</v>
          </cell>
        </row>
        <row r="577">
          <cell r="B577" t="str">
            <v>039/K/V/26</v>
          </cell>
          <cell r="C577">
            <v>46160</v>
          </cell>
          <cell r="D577" t="str">
            <v>2603EOYAF</v>
          </cell>
          <cell r="E577" t="str">
            <v>PT IMC PELITA LOGISTIK TBK</v>
          </cell>
          <cell r="F577" t="str">
            <v>PLOG/TNBF2604/016</v>
          </cell>
          <cell r="G577" t="str">
            <v>233/PV-MAR/2026</v>
          </cell>
          <cell r="H577" t="str">
            <v>Biaya Freight Charter TB Intan Megah 17 / BG Intan Kelana 1 ( Jetty SDJ - IPP Jawa 9-10 )</v>
          </cell>
          <cell r="I577">
            <v>839527485</v>
          </cell>
          <cell r="K577">
            <v>15</v>
          </cell>
          <cell r="M577">
            <v>-10074329.82</v>
          </cell>
          <cell r="N577">
            <v>15000</v>
          </cell>
          <cell r="P577">
            <v>829468155.17999995</v>
          </cell>
          <cell r="Q577">
            <v>46161</v>
          </cell>
        </row>
        <row r="578">
          <cell r="B578" t="str">
            <v>040/K/V/26</v>
          </cell>
          <cell r="C578">
            <v>46160</v>
          </cell>
          <cell r="D578" t="str">
            <v>2603EOYAE</v>
          </cell>
          <cell r="E578" t="str">
            <v>PT ALPHA PACIFIC LINE</v>
          </cell>
          <cell r="F578" t="str">
            <v>001/APL-F/V/2026</v>
          </cell>
          <cell r="G578" t="str">
            <v>234/PV-MAR/2026</v>
          </cell>
          <cell r="H578" t="str">
            <v>Biaya Time Charter TB APL 7 / BG Baiduri 70273 Periode 11/05 - 10/06</v>
          </cell>
          <cell r="I578">
            <v>875000000</v>
          </cell>
          <cell r="K578">
            <v>15</v>
          </cell>
          <cell r="M578">
            <v>-10500000</v>
          </cell>
          <cell r="P578">
            <v>864500000</v>
          </cell>
          <cell r="Q578">
            <v>46161</v>
          </cell>
        </row>
        <row r="579">
          <cell r="B579" t="str">
            <v>041/K/V/26</v>
          </cell>
          <cell r="C579">
            <v>46160</v>
          </cell>
          <cell r="D579" t="str">
            <v>2603EOYAG</v>
          </cell>
          <cell r="E579" t="str">
            <v>PT PELNAS SABANG RAYA INDAH</v>
          </cell>
          <cell r="F579" t="str">
            <v>2026/SRI/089</v>
          </cell>
          <cell r="G579" t="str">
            <v>235/PV-MAR/2026</v>
          </cell>
          <cell r="H579" t="str">
            <v>Biaya Freught Charter TB Sabang 71 / BG Sumber Jaya 3020 ( Marabahan - PLTU Lontar )</v>
          </cell>
          <cell r="I579">
            <v>1109523350</v>
          </cell>
          <cell r="K579">
            <v>15</v>
          </cell>
          <cell r="M579">
            <v>-13314280.200000001</v>
          </cell>
          <cell r="P579">
            <v>1096209069.8</v>
          </cell>
          <cell r="Q579">
            <v>46161</v>
          </cell>
        </row>
        <row r="580">
          <cell r="B580" t="str">
            <v>042/K/V/26</v>
          </cell>
          <cell r="C580">
            <v>46162</v>
          </cell>
          <cell r="E580" t="str">
            <v>YONI FIRDAUS WIBOWO</v>
          </cell>
          <cell r="G580" t="str">
            <v>236/PV-MAR/2026</v>
          </cell>
          <cell r="H580" t="str">
            <v>Reimbursement periode April 2026</v>
          </cell>
          <cell r="I580">
            <v>2208097</v>
          </cell>
          <cell r="K580">
            <v>0</v>
          </cell>
          <cell r="M580">
            <v>0</v>
          </cell>
          <cell r="P580">
            <v>2208097</v>
          </cell>
          <cell r="Q580">
            <v>46163</v>
          </cell>
        </row>
        <row r="581">
          <cell r="B581" t="str">
            <v>043/K/V/26</v>
          </cell>
          <cell r="C581">
            <v>46162</v>
          </cell>
          <cell r="E581" t="str">
            <v>PT MITRABAHTERA SEGARA SEJATI</v>
          </cell>
          <cell r="F581" t="str">
            <v>INV/01-2511-0041</v>
          </cell>
          <cell r="G581" t="str">
            <v>232/PV-MAR/2026</v>
          </cell>
          <cell r="H581" t="str">
            <v>DP 10% Pembelian BG Angeline 219-08</v>
          </cell>
          <cell r="I581">
            <v>1500000000</v>
          </cell>
          <cell r="K581">
            <v>0</v>
          </cell>
          <cell r="M581">
            <v>0</v>
          </cell>
          <cell r="N581">
            <v>15000</v>
          </cell>
          <cell r="P581">
            <v>1500015000</v>
          </cell>
          <cell r="Q581">
            <v>46163</v>
          </cell>
        </row>
        <row r="582">
          <cell r="B582" t="str">
            <v>001/K/V/26 CAV</v>
          </cell>
          <cell r="C582">
            <v>46162</v>
          </cell>
          <cell r="E582" t="str">
            <v>MUHAMMAD ZAKI</v>
          </cell>
          <cell r="G582" t="str">
            <v>CAV 008/OPS-V/2026</v>
          </cell>
          <cell r="H582" t="str">
            <v>Advance Operasional</v>
          </cell>
          <cell r="I582">
            <v>19765131</v>
          </cell>
          <cell r="K582">
            <v>0</v>
          </cell>
          <cell r="M582">
            <v>0</v>
          </cell>
          <cell r="N582">
            <v>2500</v>
          </cell>
          <cell r="P582">
            <v>19767631</v>
          </cell>
          <cell r="Q582">
            <v>46163</v>
          </cell>
        </row>
        <row r="583">
          <cell r="B583" t="str">
            <v>044/K/V/26</v>
          </cell>
          <cell r="C583">
            <v>46162</v>
          </cell>
          <cell r="E583" t="str">
            <v>PT GOLDEN RAMA EXPRESS</v>
          </cell>
          <cell r="F583" t="str">
            <v>DP GRT0126007627</v>
          </cell>
          <cell r="G583" t="str">
            <v>237/PV-MAR/2026</v>
          </cell>
          <cell r="H583" t="str">
            <v>DP Gathering PT MAR Korea Nami Island - Eunpyong Hanok Village &amp; Starfield Library</v>
          </cell>
          <cell r="I583">
            <v>178980000</v>
          </cell>
          <cell r="K583">
            <v>0</v>
          </cell>
          <cell r="M583">
            <v>0</v>
          </cell>
          <cell r="P583">
            <v>178980000</v>
          </cell>
          <cell r="Q583">
            <v>46163</v>
          </cell>
        </row>
        <row r="584">
          <cell r="B584" t="str">
            <v>045/K/V/26</v>
          </cell>
          <cell r="C584">
            <v>46162</v>
          </cell>
          <cell r="E584" t="str">
            <v>PT AMBANG BARITO NUSA PERSADA</v>
          </cell>
          <cell r="G584" t="str">
            <v>809/OPS-V/2026</v>
          </cell>
          <cell r="H584" t="str">
            <v>Chanel Fee TB Surya Segara  3 Voyage CF-003</v>
          </cell>
          <cell r="I584">
            <v>31745821</v>
          </cell>
          <cell r="J584">
            <v>3492040.31</v>
          </cell>
          <cell r="K584">
            <v>0</v>
          </cell>
          <cell r="M584">
            <v>0</v>
          </cell>
          <cell r="N584">
            <v>2500</v>
          </cell>
          <cell r="P584">
            <v>35240361.310000002</v>
          </cell>
          <cell r="Q584">
            <v>46163</v>
          </cell>
        </row>
        <row r="585">
          <cell r="B585" t="str">
            <v>046/K/V/26</v>
          </cell>
          <cell r="C585">
            <v>46162</v>
          </cell>
          <cell r="E585" t="str">
            <v>PT BENAYA AMB MANDIRI</v>
          </cell>
          <cell r="F585" t="str">
            <v>31/BAM-MAR/INV/V/2026</v>
          </cell>
          <cell r="G585" t="str">
            <v>794/OPS-V/2026</v>
          </cell>
          <cell r="H585" t="str">
            <v>Solar HSD TB Michelle XV Voyage 151L</v>
          </cell>
          <cell r="I585">
            <v>660000000</v>
          </cell>
          <cell r="J585">
            <v>72600000</v>
          </cell>
          <cell r="K585">
            <v>0</v>
          </cell>
          <cell r="M585">
            <v>0</v>
          </cell>
          <cell r="P585">
            <v>732600000</v>
          </cell>
          <cell r="Q585">
            <v>46163</v>
          </cell>
        </row>
        <row r="586">
          <cell r="B586" t="str">
            <v>047/K/V/26</v>
          </cell>
          <cell r="C586">
            <v>46162</v>
          </cell>
          <cell r="E586" t="str">
            <v>PT BENAYA AMB MANDIRI</v>
          </cell>
          <cell r="F586" t="str">
            <v>32/BAM-MAR/INV/V/2026</v>
          </cell>
          <cell r="G586" t="str">
            <v>796/OPS-V/2026</v>
          </cell>
          <cell r="H586" t="str">
            <v>Solar HSD TB Michelle 219-08 Voyage 150L</v>
          </cell>
          <cell r="I586">
            <v>150000000</v>
          </cell>
          <cell r="J586">
            <v>16500000</v>
          </cell>
          <cell r="K586">
            <v>0</v>
          </cell>
          <cell r="M586">
            <v>0</v>
          </cell>
          <cell r="P586">
            <v>166500000</v>
          </cell>
          <cell r="Q586">
            <v>46163</v>
          </cell>
        </row>
        <row r="587">
          <cell r="B587" t="str">
            <v>048/K/V/26</v>
          </cell>
          <cell r="C587">
            <v>46173</v>
          </cell>
          <cell r="E587" t="str">
            <v>ANDI ARDI SAID</v>
          </cell>
          <cell r="G587" t="str">
            <v>137/OPS-Premi/2026</v>
          </cell>
          <cell r="H587" t="str">
            <v>Premi Crew TB Surya Segara 3 / BG Finacia 96 Voyage 137</v>
          </cell>
          <cell r="I587">
            <v>15576142</v>
          </cell>
          <cell r="N587">
            <v>2500</v>
          </cell>
        </row>
        <row r="588">
          <cell r="B588" t="str">
            <v>049/K/V/26</v>
          </cell>
          <cell r="C588">
            <v>46162</v>
          </cell>
          <cell r="D588" t="str">
            <v>2603HBHJW</v>
          </cell>
          <cell r="E588" t="str">
            <v>PT WHS GLOBAL MANDIRI</v>
          </cell>
          <cell r="F588" t="str">
            <v>191/TC/WGM-MAR/IV/2026</v>
          </cell>
          <cell r="G588" t="str">
            <v>240/PV-MAR/2026</v>
          </cell>
          <cell r="H588" t="str">
            <v>Biaya Freight Charetr TB WGM 207 / BG Pb 3202 ( Talenta Bumi - Morosi )</v>
          </cell>
          <cell r="I588">
            <v>1254121050</v>
          </cell>
          <cell r="K588">
            <v>15</v>
          </cell>
          <cell r="M588">
            <v>-15049452.6</v>
          </cell>
          <cell r="P588">
            <v>1239071597.4000001</v>
          </cell>
          <cell r="Q588">
            <v>46164</v>
          </cell>
        </row>
        <row r="589">
          <cell r="B589" t="str">
            <v>050/K/V/26</v>
          </cell>
          <cell r="C589">
            <v>46160</v>
          </cell>
          <cell r="D589" t="str">
            <v>2603HBHJT</v>
          </cell>
          <cell r="E589" t="str">
            <v>PT MARITIM INDO RAYA</v>
          </cell>
          <cell r="F589" t="str">
            <v>043/INV/MIR-MAR/V/2026</v>
          </cell>
          <cell r="G589" t="str">
            <v>812/OPS-V/2026</v>
          </cell>
          <cell r="H589" t="str">
            <v>Biaya Keagenan TB Michelle XV / BG Benami XV Voyage 151</v>
          </cell>
          <cell r="I589">
            <v>32836866</v>
          </cell>
          <cell r="J589">
            <v>440000</v>
          </cell>
          <cell r="K589">
            <v>0</v>
          </cell>
          <cell r="M589">
            <v>-20000</v>
          </cell>
          <cell r="N589">
            <v>15000</v>
          </cell>
          <cell r="P589">
            <v>33271866</v>
          </cell>
          <cell r="Q589">
            <v>46164</v>
          </cell>
        </row>
        <row r="590">
          <cell r="B590" t="str">
            <v>050/K/V/26</v>
          </cell>
          <cell r="C590">
            <v>46160</v>
          </cell>
          <cell r="E590" t="str">
            <v>PT MARITIM INDO RAYA</v>
          </cell>
          <cell r="F590" t="str">
            <v>048B/DN/MIR-MAR/V/2026</v>
          </cell>
          <cell r="G590" t="str">
            <v>813/OPS-V/2026</v>
          </cell>
          <cell r="H590" t="str">
            <v>Jasa Pelayanan DES TB Maju Daya 91 / BG Marcopolo 3022</v>
          </cell>
          <cell r="I590">
            <v>13598731</v>
          </cell>
          <cell r="K590">
            <v>0</v>
          </cell>
          <cell r="M590">
            <v>0</v>
          </cell>
          <cell r="P590">
            <v>13598731</v>
          </cell>
          <cell r="Q590">
            <v>46164</v>
          </cell>
        </row>
        <row r="591">
          <cell r="B591" t="str">
            <v>050/K/V/26</v>
          </cell>
          <cell r="C591">
            <v>46160</v>
          </cell>
          <cell r="E591" t="str">
            <v>PT MARITIM INDO RAYA</v>
          </cell>
          <cell r="F591" t="str">
            <v>052/PRO/MIR-MAR/V/2026</v>
          </cell>
          <cell r="G591" t="str">
            <v>814/OPS-V/2026</v>
          </cell>
          <cell r="H591" t="str">
            <v>Agency Fee TV Michelle 219-08 / BG Angeline 219-08</v>
          </cell>
          <cell r="I591">
            <v>63658000</v>
          </cell>
          <cell r="K591">
            <v>0</v>
          </cell>
          <cell r="M591">
            <v>0</v>
          </cell>
          <cell r="P591">
            <v>63658000</v>
          </cell>
          <cell r="Q591">
            <v>46164</v>
          </cell>
        </row>
        <row r="592">
          <cell r="B592" t="str">
            <v>050/K/V/26</v>
          </cell>
          <cell r="C592">
            <v>46160</v>
          </cell>
          <cell r="E592" t="str">
            <v>PT MARITIM INDO RAYA</v>
          </cell>
          <cell r="F592" t="str">
            <v>053/PRO/MIR-MAR/V/2026</v>
          </cell>
          <cell r="G592" t="str">
            <v>815/OPS-V/2026</v>
          </cell>
          <cell r="H592" t="str">
            <v>DP Agency Fee TB Abhiprama 107 / BG Alara 107</v>
          </cell>
          <cell r="I592">
            <v>63658000</v>
          </cell>
          <cell r="K592">
            <v>0</v>
          </cell>
          <cell r="M592">
            <v>0</v>
          </cell>
          <cell r="P592">
            <v>63658000</v>
          </cell>
          <cell r="Q592">
            <v>46164</v>
          </cell>
        </row>
        <row r="593">
          <cell r="B593" t="str">
            <v>051/K/V/26</v>
          </cell>
          <cell r="C593">
            <v>46157</v>
          </cell>
          <cell r="D593" t="str">
            <v>2602X9PMQ</v>
          </cell>
          <cell r="E593" t="str">
            <v>PT MARITIM INDO RAYA</v>
          </cell>
          <cell r="F593" t="str">
            <v>042/INV/MIR-MAR/IV/2026</v>
          </cell>
          <cell r="G593" t="str">
            <v>802/OPS-V/2026</v>
          </cell>
          <cell r="H593" t="str">
            <v>Biaya Keagenan TB APL 7 - BG Baiduri 70273 Voyage 149</v>
          </cell>
          <cell r="I593">
            <v>39295308</v>
          </cell>
          <cell r="J593">
            <v>440000</v>
          </cell>
          <cell r="K593">
            <v>0</v>
          </cell>
          <cell r="M593">
            <v>-20000</v>
          </cell>
          <cell r="N593">
            <v>2500</v>
          </cell>
          <cell r="P593">
            <v>39717808</v>
          </cell>
          <cell r="Q593">
            <v>46164</v>
          </cell>
        </row>
        <row r="594">
          <cell r="B594" t="str">
            <v>051/K/V/26</v>
          </cell>
          <cell r="C594">
            <v>46157</v>
          </cell>
          <cell r="E594" t="str">
            <v>PT MARITIM INDO RAYA</v>
          </cell>
          <cell r="F594" t="str">
            <v>042A/DN/MIR-MAR/IV/2026</v>
          </cell>
          <cell r="G594" t="str">
            <v>801/OPS-V/2026</v>
          </cell>
          <cell r="H594" t="str">
            <v xml:space="preserve">Penbelian dan Pemasangan Terpal TB APL 5 / BG Amethhys 8300 </v>
          </cell>
          <cell r="I594">
            <v>32000000</v>
          </cell>
          <cell r="K594">
            <v>0</v>
          </cell>
          <cell r="M594">
            <v>0</v>
          </cell>
          <cell r="P594">
            <v>32000000</v>
          </cell>
          <cell r="Q594">
            <v>46164</v>
          </cell>
        </row>
        <row r="595">
          <cell r="B595" t="str">
            <v>052/K/V/26</v>
          </cell>
          <cell r="C595">
            <v>46161</v>
          </cell>
          <cell r="D595" t="str">
            <v>2603HBHJU</v>
          </cell>
          <cell r="E595" t="str">
            <v>PT MARITIM INDO RAYA</v>
          </cell>
          <cell r="F595" t="str">
            <v>038/INV/MIR-MAR/IV/2026</v>
          </cell>
          <cell r="G595" t="str">
            <v>782/OPS-V/2026</v>
          </cell>
          <cell r="H595" t="str">
            <v>Biaya Keagenan TB Michelle 219-08 / BG Angeline 219-08 Voyage 145</v>
          </cell>
          <cell r="I595">
            <v>87907600</v>
          </cell>
          <cell r="J595">
            <v>440000</v>
          </cell>
          <cell r="K595">
            <v>0</v>
          </cell>
          <cell r="M595">
            <v>-20000</v>
          </cell>
          <cell r="N595">
            <v>2500</v>
          </cell>
          <cell r="P595">
            <v>88330100</v>
          </cell>
          <cell r="Q595">
            <v>46164</v>
          </cell>
        </row>
        <row r="596">
          <cell r="B596" t="str">
            <v>052/K/V/26</v>
          </cell>
          <cell r="C596">
            <v>46161</v>
          </cell>
          <cell r="E596" t="str">
            <v>PT MARITIM INDO RAYA</v>
          </cell>
          <cell r="F596" t="str">
            <v>038/PRO/MIR-MAR/III/2026</v>
          </cell>
          <cell r="G596" t="str">
            <v>721/OPS-III/2026</v>
          </cell>
          <cell r="H596" t="str">
            <v>DP Agency Cost TB Michelle 219-08 / BG Angeline 219-09</v>
          </cell>
          <cell r="I596">
            <v>-66458000</v>
          </cell>
          <cell r="K596">
            <v>0</v>
          </cell>
          <cell r="M596">
            <v>0</v>
          </cell>
          <cell r="P596">
            <v>-66458000</v>
          </cell>
          <cell r="Q596">
            <v>46164</v>
          </cell>
        </row>
        <row r="597">
          <cell r="B597" t="str">
            <v>052/K/V/26</v>
          </cell>
          <cell r="C597">
            <v>46161</v>
          </cell>
          <cell r="D597" t="str">
            <v>2603HBHJS</v>
          </cell>
          <cell r="E597" t="str">
            <v>PT MARITIM INDO RAYA</v>
          </cell>
          <cell r="F597" t="str">
            <v>037/INV/MIR-MAR/IV/2026</v>
          </cell>
          <cell r="G597" t="str">
            <v>781/OPS-V/2026</v>
          </cell>
          <cell r="H597" t="str">
            <v>Biaya Keagenan TB APL 7 / BG Baiduri 70273 Voyage 144</v>
          </cell>
          <cell r="I597">
            <v>76485019</v>
          </cell>
          <cell r="J597">
            <v>440000</v>
          </cell>
          <cell r="M597">
            <v>-20000</v>
          </cell>
          <cell r="P597">
            <v>76905019</v>
          </cell>
          <cell r="Q597">
            <v>46164</v>
          </cell>
        </row>
        <row r="598">
          <cell r="B598" t="str">
            <v>052/K/V/26</v>
          </cell>
          <cell r="C598">
            <v>46161</v>
          </cell>
          <cell r="E598" t="str">
            <v>PT MARITIM INDO RAYA</v>
          </cell>
          <cell r="F598" t="str">
            <v>037/PRO/MIR-MAR/III/2026</v>
          </cell>
          <cell r="G598" t="str">
            <v>720/OPS-III/2026</v>
          </cell>
          <cell r="H598" t="str">
            <v>DP Agency Cost TB APL 7n/ BG Baiduri 70273</v>
          </cell>
          <cell r="I598">
            <v>-59458000</v>
          </cell>
          <cell r="P598">
            <v>-59458000</v>
          </cell>
          <cell r="Q598">
            <v>46164</v>
          </cell>
        </row>
        <row r="599">
          <cell r="B599" t="str">
            <v>053/K/V/26</v>
          </cell>
          <cell r="C599">
            <v>46157</v>
          </cell>
          <cell r="E599" t="str">
            <v>MANDIRI KARADENAN</v>
          </cell>
          <cell r="H599" t="str">
            <v>Angsuran Pinjaman ke-24 Limit 7.800.000.000</v>
          </cell>
          <cell r="I599">
            <v>359031069.83999997</v>
          </cell>
          <cell r="K599">
            <v>0</v>
          </cell>
          <cell r="M599">
            <v>0</v>
          </cell>
          <cell r="P599">
            <v>359031069.83999997</v>
          </cell>
          <cell r="Q599">
            <v>46164</v>
          </cell>
        </row>
        <row r="600">
          <cell r="B600" t="str">
            <v>054/K/V/26</v>
          </cell>
          <cell r="C600">
            <v>46157</v>
          </cell>
          <cell r="E600" t="str">
            <v>MANDIRI KARADENAN</v>
          </cell>
          <cell r="H600" t="str">
            <v>Angsuran Pinjaman ke-7 Limit 11.500.000.000</v>
          </cell>
          <cell r="I600">
            <v>395362499.57999998</v>
          </cell>
          <cell r="K600">
            <v>0</v>
          </cell>
          <cell r="M600">
            <v>0</v>
          </cell>
          <cell r="P600">
            <v>395362499.57999998</v>
          </cell>
          <cell r="Q600">
            <v>46164</v>
          </cell>
        </row>
        <row r="601">
          <cell r="B601" t="str">
            <v>055/K/V/26</v>
          </cell>
          <cell r="C601">
            <v>46163</v>
          </cell>
          <cell r="D601" t="str">
            <v>2603I34GD</v>
          </cell>
          <cell r="E601" t="str">
            <v>PT PATRIA MARITIME LINES</v>
          </cell>
          <cell r="F601">
            <v>9231002325</v>
          </cell>
          <cell r="G601" t="str">
            <v>241/PV-MAR/2026</v>
          </cell>
          <cell r="H601" t="str">
            <v>Biaya Freight Charter TB SML 10A / BG SML 3010A ( Jetty SBL - Banyuasin )</v>
          </cell>
          <cell r="I601">
            <v>380265950</v>
          </cell>
          <cell r="K601">
            <v>15</v>
          </cell>
          <cell r="M601">
            <v>-4563191.4000000004</v>
          </cell>
          <cell r="P601">
            <v>375702758.60000002</v>
          </cell>
          <cell r="Q601">
            <v>46167</v>
          </cell>
        </row>
        <row r="602">
          <cell r="B602" t="str">
            <v>056/K/V/26</v>
          </cell>
          <cell r="C602">
            <v>46163</v>
          </cell>
          <cell r="E602" t="str">
            <v>ZULFADHLI JUSUF</v>
          </cell>
          <cell r="G602" t="str">
            <v>242/PV-MAR/2026</v>
          </cell>
          <cell r="H602" t="str">
            <v>Biaya Operasional - Penggantian dana talangan</v>
          </cell>
          <cell r="I602">
            <v>500000000</v>
          </cell>
          <cell r="K602">
            <v>0</v>
          </cell>
          <cell r="M602">
            <v>0</v>
          </cell>
          <cell r="P602">
            <v>500000000</v>
          </cell>
          <cell r="Q602">
            <v>46167</v>
          </cell>
        </row>
        <row r="603">
          <cell r="B603" t="str">
            <v>057/K/V/26</v>
          </cell>
          <cell r="C603">
            <v>46163</v>
          </cell>
          <cell r="D603" t="str">
            <v>2603I34GE</v>
          </cell>
          <cell r="E603" t="str">
            <v>PT ADIKARYA BAHARI GEMILANG</v>
          </cell>
          <cell r="F603" t="str">
            <v>087/INV/ABG-MAR/VII/2025 FP</v>
          </cell>
          <cell r="G603" t="str">
            <v>239/PV-MAR/2026</v>
          </cell>
          <cell r="H603" t="str">
            <v>Biaya Freight Charter TB Harlina 12 / BG Soekawati 2710 ( Jetty Kutai Energi - MV Pan Glory )</v>
          </cell>
          <cell r="I603">
            <v>119738000</v>
          </cell>
          <cell r="K603">
            <v>15</v>
          </cell>
          <cell r="M603">
            <v>-2816856</v>
          </cell>
          <cell r="N603">
            <v>15000</v>
          </cell>
          <cell r="P603">
            <v>116936144</v>
          </cell>
          <cell r="Q603">
            <v>46167</v>
          </cell>
        </row>
        <row r="604">
          <cell r="B604" t="str">
            <v>058/K/V/26</v>
          </cell>
          <cell r="C604">
            <v>46163</v>
          </cell>
          <cell r="E604" t="str">
            <v>ENGGARINGTYAS DONYA WICAHYO LISWARI</v>
          </cell>
          <cell r="F604" t="str">
            <v>009/DW/INV/V/2026</v>
          </cell>
          <cell r="G604" t="str">
            <v>820/OPS-V/2026</v>
          </cell>
          <cell r="H604" t="str">
            <v>Pelunasan Palet Kayu TB Entebe Star 30</v>
          </cell>
          <cell r="I604">
            <v>5000000</v>
          </cell>
          <cell r="K604">
            <v>0</v>
          </cell>
          <cell r="M604">
            <v>0</v>
          </cell>
          <cell r="N604">
            <v>2500</v>
          </cell>
          <cell r="P604">
            <v>5002500</v>
          </cell>
          <cell r="Q604">
            <v>46167</v>
          </cell>
        </row>
        <row r="605">
          <cell r="B605" t="str">
            <v>059/K/V/26</v>
          </cell>
          <cell r="C605">
            <v>46163</v>
          </cell>
          <cell r="E605" t="str">
            <v>PT ADIKARYA BAHARI GEMILANG</v>
          </cell>
          <cell r="F605" t="str">
            <v>087/INV/ABG-MAR/VII/2025-DP</v>
          </cell>
          <cell r="G605" t="str">
            <v>238/PV-MAR/2026</v>
          </cell>
          <cell r="H605" t="str">
            <v>Biaya Freight Charter TB Harlina 12 / BG Soekawati 2710 ( Jetty Kutai Energi - MV Pan Glory )</v>
          </cell>
          <cell r="I605">
            <v>115000000</v>
          </cell>
          <cell r="K605">
            <v>0</v>
          </cell>
          <cell r="M605">
            <v>0</v>
          </cell>
          <cell r="N605">
            <v>15000</v>
          </cell>
          <cell r="P605">
            <v>115015000</v>
          </cell>
          <cell r="Q605">
            <v>46167</v>
          </cell>
        </row>
        <row r="606">
          <cell r="B606" t="str">
            <v>060/K/V/26</v>
          </cell>
          <cell r="C606">
            <v>46163</v>
          </cell>
          <cell r="D606" t="str">
            <v>2603I3IP6</v>
          </cell>
          <cell r="E606" t="str">
            <v>PT ANDALAN LANCAR NIAGA</v>
          </cell>
          <cell r="F606" t="str">
            <v>00062/ALN-INV/IV/2026</v>
          </cell>
          <cell r="G606" t="str">
            <v>248/PV-MAR/2026</v>
          </cell>
          <cell r="H606" t="str">
            <v>Biaya Freight Charter TB Michelle II / BG Benami II ( Jetty SDJ - Suralaya )</v>
          </cell>
          <cell r="I606">
            <v>815352230</v>
          </cell>
          <cell r="K606">
            <v>15</v>
          </cell>
          <cell r="M606">
            <v>-9784226.7599999998</v>
          </cell>
          <cell r="N606">
            <v>15000</v>
          </cell>
          <cell r="P606">
            <v>805583003.24000001</v>
          </cell>
          <cell r="Q606">
            <v>46167</v>
          </cell>
        </row>
        <row r="607">
          <cell r="B607" t="str">
            <v>061/K/V/26</v>
          </cell>
          <cell r="C607">
            <v>46163</v>
          </cell>
          <cell r="E607" t="str">
            <v>BPJS KESEHATAN</v>
          </cell>
          <cell r="G607" t="str">
            <v>244/PV-MAR/2026</v>
          </cell>
          <cell r="H607" t="str">
            <v>BPJS Kesehatan crew ES30 dan staff periode Mei 2026</v>
          </cell>
          <cell r="I607">
            <v>6943964</v>
          </cell>
          <cell r="K607">
            <v>0</v>
          </cell>
          <cell r="M607">
            <v>0</v>
          </cell>
          <cell r="P607">
            <v>6943964</v>
          </cell>
          <cell r="Q607">
            <v>46167</v>
          </cell>
        </row>
        <row r="608">
          <cell r="B608" t="str">
            <v>062/K/V/26</v>
          </cell>
          <cell r="C608">
            <v>46163</v>
          </cell>
          <cell r="E608" t="str">
            <v>BPJS KETENAGAKERJAAN CREW</v>
          </cell>
          <cell r="G608" t="str">
            <v>245/PV-MAR/2026</v>
          </cell>
          <cell r="H608" t="str">
            <v>BPJS Ketenagakerjaan crew kapal Entebe Star 30 periode Mei 2026</v>
          </cell>
          <cell r="I608">
            <v>1759000</v>
          </cell>
          <cell r="K608">
            <v>0</v>
          </cell>
          <cell r="M608">
            <v>0</v>
          </cell>
          <cell r="P608">
            <v>1759000</v>
          </cell>
          <cell r="Q608">
            <v>46167</v>
          </cell>
        </row>
        <row r="609">
          <cell r="B609" t="str">
            <v>063/K/V/26</v>
          </cell>
          <cell r="C609">
            <v>46163</v>
          </cell>
          <cell r="E609" t="str">
            <v>BPJS KETENAGAKERJAAN STAFF</v>
          </cell>
          <cell r="G609" t="str">
            <v>243/PV-MAR/2026</v>
          </cell>
          <cell r="H609" t="str">
            <v>BPJS Ketenagakerjaan staff periode Mei 2026</v>
          </cell>
          <cell r="I609">
            <v>11560536</v>
          </cell>
          <cell r="K609">
            <v>0</v>
          </cell>
          <cell r="M609">
            <v>0</v>
          </cell>
          <cell r="P609">
            <v>11560536</v>
          </cell>
          <cell r="Q609">
            <v>46167</v>
          </cell>
        </row>
        <row r="610">
          <cell r="B610" t="str">
            <v>064/K/V/26</v>
          </cell>
          <cell r="C610">
            <v>46163</v>
          </cell>
          <cell r="D610" t="str">
            <v>2603I3IP7</v>
          </cell>
          <cell r="E610" t="str">
            <v>PT SAMUDERA CAPIT HITAM</v>
          </cell>
          <cell r="F610" t="str">
            <v>01/INV-TB/SCH-MAR/05/26</v>
          </cell>
          <cell r="G610" t="str">
            <v>247/PV-MAR/2026</v>
          </cell>
          <cell r="H610" t="str">
            <v>Biaya Freight Charter TB Maju Daya 91 / BG Marcopolo 3022 ( Jetty SBL - Jetty Borneo )</v>
          </cell>
          <cell r="I610">
            <v>886206078</v>
          </cell>
          <cell r="K610">
            <v>15</v>
          </cell>
          <cell r="M610">
            <v>-10634472.936000001</v>
          </cell>
          <cell r="N610">
            <v>15000</v>
          </cell>
          <cell r="P610">
            <v>875586605.06400001</v>
          </cell>
          <cell r="Q610">
            <v>46167</v>
          </cell>
        </row>
        <row r="611">
          <cell r="B611" t="str">
            <v>065/K/V/26</v>
          </cell>
          <cell r="C611">
            <v>46166</v>
          </cell>
          <cell r="D611" t="str">
            <v>2603I3IP8</v>
          </cell>
          <cell r="E611" t="str">
            <v>PT MARITIM INDO RAYA</v>
          </cell>
          <cell r="F611" t="str">
            <v>044/INV/MIR-MAR/V/2026, 044/DN/MIR-MAR/V/2026</v>
          </cell>
          <cell r="G611" t="str">
            <v>822/OPS-V/2026</v>
          </cell>
          <cell r="H611" t="str">
            <v>Biaya Keagenan TB Michelle 219-08 / BG Angeline 219-08 Voyage 150</v>
          </cell>
          <cell r="I611">
            <v>36016383</v>
          </cell>
          <cell r="J611">
            <v>440000</v>
          </cell>
          <cell r="K611">
            <v>23</v>
          </cell>
          <cell r="M611">
            <v>-20000</v>
          </cell>
          <cell r="N611">
            <v>2500</v>
          </cell>
          <cell r="P611">
            <v>36438883</v>
          </cell>
          <cell r="Q611">
            <v>46167</v>
          </cell>
        </row>
        <row r="612">
          <cell r="B612" t="str">
            <v>066/K/V/26</v>
          </cell>
          <cell r="C612">
            <v>46167</v>
          </cell>
          <cell r="E612" t="str">
            <v>BAMBU OJU</v>
          </cell>
          <cell r="G612" t="str">
            <v>249/PV-MAR/2026</v>
          </cell>
          <cell r="H612" t="str">
            <v>Makan siang bersama staff tanggal 25 Mei 2026</v>
          </cell>
          <cell r="I612">
            <v>1568600</v>
          </cell>
          <cell r="M612">
            <v>0</v>
          </cell>
          <cell r="P612">
            <v>1568600</v>
          </cell>
          <cell r="Q612">
            <v>46167</v>
          </cell>
        </row>
        <row r="613">
          <cell r="B613" t="str">
            <v>067/K/V/26</v>
          </cell>
          <cell r="C613">
            <v>46167</v>
          </cell>
          <cell r="E613" t="str">
            <v>DIREKSI DAN STAFF</v>
          </cell>
          <cell r="G613" t="str">
            <v>250/PV-MAR/2026</v>
          </cell>
          <cell r="H613" t="str">
            <v>Gaji Direksi dan staff periode Mei 2026 sesuai lampiran</v>
          </cell>
          <cell r="I613">
            <v>139363874</v>
          </cell>
          <cell r="K613">
            <v>0</v>
          </cell>
          <cell r="M613">
            <v>0</v>
          </cell>
          <cell r="P613">
            <v>139363874</v>
          </cell>
          <cell r="Q613">
            <v>46167</v>
          </cell>
        </row>
        <row r="614">
          <cell r="B614" t="str">
            <v>068/K/V/26</v>
          </cell>
          <cell r="C614">
            <v>46168</v>
          </cell>
          <cell r="E614" t="str">
            <v>PT BENAYA AMB MANDIRI</v>
          </cell>
          <cell r="F614" t="str">
            <v>35/BAM-MAR/INV/V/2026</v>
          </cell>
          <cell r="G614" t="str">
            <v>825/OPS-V/2026</v>
          </cell>
          <cell r="H614" t="str">
            <v>Solar HSD TB Sutra Bhakti 1 Voyage BFOL-16</v>
          </cell>
          <cell r="I614">
            <v>380180180</v>
          </cell>
          <cell r="J614">
            <v>41819819.799999997</v>
          </cell>
          <cell r="K614">
            <v>0</v>
          </cell>
          <cell r="M614">
            <v>0</v>
          </cell>
          <cell r="P614">
            <v>421999999.80000001</v>
          </cell>
          <cell r="Q614">
            <v>46168</v>
          </cell>
        </row>
        <row r="615">
          <cell r="B615" t="str">
            <v>069/K/V/26</v>
          </cell>
          <cell r="C615">
            <v>46168</v>
          </cell>
          <cell r="E615" t="str">
            <v>PT BENAYA AMB MANDIRI</v>
          </cell>
          <cell r="F615" t="str">
            <v>36/BAM-MAR/INV/V/2026</v>
          </cell>
          <cell r="G615" t="str">
            <v>826/OPS-V/2026</v>
          </cell>
          <cell r="H615" t="str">
            <v>Solar HSD TB Emperor 3 Voyage BFOL-17</v>
          </cell>
          <cell r="I615">
            <v>380180180</v>
          </cell>
          <cell r="J615">
            <v>41819819.799999997</v>
          </cell>
          <cell r="K615">
            <v>0</v>
          </cell>
          <cell r="M615">
            <v>0</v>
          </cell>
          <cell r="P615">
            <v>421999999.80000001</v>
          </cell>
          <cell r="Q615">
            <v>46168</v>
          </cell>
        </row>
        <row r="616">
          <cell r="B616" t="str">
            <v>070/K/V/26</v>
          </cell>
          <cell r="C616">
            <v>46164</v>
          </cell>
          <cell r="E616" t="str">
            <v>BINA SARANA INFORMATIKA</v>
          </cell>
          <cell r="F616" t="str">
            <v>119.02/Y-BSI/IV/2026</v>
          </cell>
          <cell r="G616" t="str">
            <v>246/PV-MAR/2026</v>
          </cell>
          <cell r="H616" t="str">
            <v>Pembayaran Listrik kantor periode 16/03-15/04 2026</v>
          </cell>
          <cell r="I616">
            <v>5151650</v>
          </cell>
          <cell r="K616">
            <v>0</v>
          </cell>
          <cell r="M616">
            <v>0</v>
          </cell>
          <cell r="N616">
            <v>2500</v>
          </cell>
          <cell r="P616">
            <v>5154150</v>
          </cell>
          <cell r="Q616">
            <v>46171</v>
          </cell>
        </row>
        <row r="617">
          <cell r="B617" t="str">
            <v>071/K/V/26</v>
          </cell>
          <cell r="C617">
            <v>46168</v>
          </cell>
          <cell r="E617" t="str">
            <v>PT AMBANG BARITO NUSA PERSADA</v>
          </cell>
          <cell r="F617">
            <v>2605000992</v>
          </cell>
          <cell r="G617" t="str">
            <v>828/OPS-V/2026</v>
          </cell>
          <cell r="H617" t="str">
            <v>Chanel Fee TB APL 7 Voyage CF-004</v>
          </cell>
          <cell r="I617">
            <v>32283592</v>
          </cell>
          <cell r="J617">
            <v>3551195.12</v>
          </cell>
          <cell r="K617">
            <v>0</v>
          </cell>
          <cell r="M617">
            <v>0</v>
          </cell>
          <cell r="N617">
            <v>2500</v>
          </cell>
          <cell r="P617">
            <v>35837287.119999997</v>
          </cell>
          <cell r="Q617">
            <v>46171</v>
          </cell>
        </row>
        <row r="618">
          <cell r="B618" t="str">
            <v>072/K/V/26</v>
          </cell>
          <cell r="C618">
            <v>46168</v>
          </cell>
          <cell r="E618" t="str">
            <v>ANDI DEWI CAMANDINI</v>
          </cell>
          <cell r="F618" t="str">
            <v>02/PT.MAR/26/V/2026</v>
          </cell>
          <cell r="G618" t="str">
            <v>827/OPS-V/2026</v>
          </cell>
          <cell r="H618" t="str">
            <v>Las TB Entebe Star 30 / BG Finacia 71</v>
          </cell>
          <cell r="I618">
            <v>8000000</v>
          </cell>
          <cell r="K618">
            <v>0</v>
          </cell>
          <cell r="M618">
            <v>0</v>
          </cell>
          <cell r="N618">
            <v>2500</v>
          </cell>
          <cell r="P618">
            <v>8002500</v>
          </cell>
          <cell r="Q618">
            <v>46171</v>
          </cell>
        </row>
        <row r="619">
          <cell r="B619" t="str">
            <v>073/K/V/26</v>
          </cell>
          <cell r="C619">
            <v>46168</v>
          </cell>
          <cell r="E619" t="str">
            <v>PT DAIDAN UTAMA PIALANG ASURANSI</v>
          </cell>
          <cell r="F619" t="str">
            <v>0469/CPNI/03/26</v>
          </cell>
          <cell r="G619" t="str">
            <v>806/OPS-V/2026</v>
          </cell>
          <cell r="H619" t="str">
            <v xml:space="preserve">Insurance P&amp;I TB Entebe Star 30 &amp; BG Finacia 71 </v>
          </cell>
          <cell r="I619">
            <v>27510277.5</v>
          </cell>
          <cell r="K619">
            <v>0</v>
          </cell>
          <cell r="M619">
            <v>0</v>
          </cell>
          <cell r="P619">
            <v>27510277.5</v>
          </cell>
          <cell r="Q619">
            <v>46171</v>
          </cell>
        </row>
        <row r="620">
          <cell r="B620" t="str">
            <v>074/K/V/26</v>
          </cell>
          <cell r="C620">
            <v>46168</v>
          </cell>
          <cell r="E620" t="str">
            <v>PT DAIDAN UTAMA PIALANG ASURANSI</v>
          </cell>
          <cell r="F620" t="str">
            <v>0477/CPNI/03/26</v>
          </cell>
          <cell r="G620" t="str">
            <v>807/OPS-V/2026</v>
          </cell>
          <cell r="H620" t="str">
            <v>Insurance P&amp;I TB Surya Segara 3 / BG Finacia 96</v>
          </cell>
          <cell r="I620">
            <v>27510277.5</v>
          </cell>
          <cell r="K620">
            <v>0</v>
          </cell>
          <cell r="M620">
            <v>0</v>
          </cell>
          <cell r="P620">
            <v>27510277.5</v>
          </cell>
          <cell r="Q620">
            <v>46171</v>
          </cell>
        </row>
        <row r="621">
          <cell r="B621" t="str">
            <v>075/K/V/26</v>
          </cell>
          <cell r="C621">
            <v>46168</v>
          </cell>
          <cell r="E621" t="str">
            <v>PT BGIB INSURANCE BROKERS</v>
          </cell>
          <cell r="F621" t="str">
            <v>DN 032163</v>
          </cell>
          <cell r="G621" t="str">
            <v>745/OPS-IV/2026</v>
          </cell>
          <cell r="H621" t="str">
            <v xml:space="preserve">Insurance TB Michelle 219-08 / BG Angeline 219-08 </v>
          </cell>
          <cell r="I621">
            <v>168100000</v>
          </cell>
          <cell r="K621">
            <v>0</v>
          </cell>
          <cell r="M621">
            <v>0</v>
          </cell>
          <cell r="P621">
            <v>168100000</v>
          </cell>
          <cell r="Q621">
            <v>46171</v>
          </cell>
        </row>
        <row r="622">
          <cell r="B622" t="str">
            <v>076/K/V/26</v>
          </cell>
          <cell r="C622">
            <v>46168</v>
          </cell>
          <cell r="E622" t="str">
            <v>PT HOKARI LINEX PRATAMA</v>
          </cell>
          <cell r="F622" t="str">
            <v>010/HLP-BPN/V/2026</v>
          </cell>
          <cell r="G622" t="str">
            <v>810/OPS-V/2026</v>
          </cell>
          <cell r="H622" t="str">
            <v>Bio Solar TB Entebe Star 30 / BG Finacia 71 Voyage 153L</v>
          </cell>
          <cell r="I622">
            <v>940540545</v>
          </cell>
          <cell r="J622">
            <v>103459455</v>
          </cell>
          <cell r="K622">
            <v>0</v>
          </cell>
          <cell r="M622">
            <v>0</v>
          </cell>
          <cell r="P622">
            <v>1044000000</v>
          </cell>
          <cell r="Q622">
            <v>46171</v>
          </cell>
        </row>
        <row r="623">
          <cell r="B623" t="str">
            <v>077/K/V/26</v>
          </cell>
          <cell r="C623">
            <v>46168</v>
          </cell>
          <cell r="E623" t="str">
            <v>JAYA KESUMA</v>
          </cell>
          <cell r="G623" t="str">
            <v>251/PV-MAR/2026</v>
          </cell>
          <cell r="H623" t="str">
            <v>Uang makan crew Entebe Star 30 / BG Finacia 71 periode Juni 2026</v>
          </cell>
          <cell r="I623">
            <v>16500000</v>
          </cell>
          <cell r="K623">
            <v>0</v>
          </cell>
          <cell r="M623">
            <v>0</v>
          </cell>
          <cell r="N623">
            <v>2500</v>
          </cell>
          <cell r="P623">
            <v>16502500</v>
          </cell>
          <cell r="Q623">
            <v>46171</v>
          </cell>
        </row>
        <row r="624">
          <cell r="B624" t="str">
            <v>078/K/V/26</v>
          </cell>
          <cell r="C624">
            <v>46168</v>
          </cell>
          <cell r="E624" t="str">
            <v>PT DAIDAN UTAMA PIALANG ASURANSI</v>
          </cell>
          <cell r="F624" t="str">
            <v>0468/CPNI/03/26</v>
          </cell>
          <cell r="G624" t="str">
            <v>808/OPS-V/2026</v>
          </cell>
          <cell r="H624" t="str">
            <v xml:space="preserve">Insurance P&amp;I TB Michelle 219-08 / BG Angeline 219-08 </v>
          </cell>
          <cell r="I624">
            <v>27510277.5</v>
          </cell>
          <cell r="K624">
            <v>0</v>
          </cell>
          <cell r="M624">
            <v>0</v>
          </cell>
          <cell r="P624">
            <v>27510277.5</v>
          </cell>
          <cell r="Q624">
            <v>46176</v>
          </cell>
        </row>
        <row r="625">
          <cell r="B625" t="str">
            <v>079/K/V/26</v>
          </cell>
          <cell r="C625">
            <v>46173</v>
          </cell>
          <cell r="E625" t="str">
            <v>CREW ENTEBE STAR 30 / FINACIA 71</v>
          </cell>
          <cell r="G625" t="str">
            <v>252/PV-MAR/2026</v>
          </cell>
          <cell r="H625" t="str">
            <v>Gaji crew Entebe Star 30 / BG Finacia 71 periode Mei 2026</v>
          </cell>
          <cell r="I625">
            <v>68500000</v>
          </cell>
          <cell r="K625">
            <v>0</v>
          </cell>
          <cell r="M625">
            <v>0</v>
          </cell>
          <cell r="N625">
            <v>39000</v>
          </cell>
          <cell r="P625">
            <v>68539000</v>
          </cell>
          <cell r="Q625">
            <v>46176</v>
          </cell>
        </row>
        <row r="626">
          <cell r="B626" t="str">
            <v>080/K/V/26</v>
          </cell>
          <cell r="C626">
            <v>46173</v>
          </cell>
          <cell r="E626" t="str">
            <v>CREW SURYA SEGARA 3 / FINACIA 96</v>
          </cell>
          <cell r="G626" t="str">
            <v>253/PV-MAR/2026</v>
          </cell>
          <cell r="H626" t="str">
            <v>Gaji Crew Suraya Segara 3 / BG Finacia 96 periode Mei 2026</v>
          </cell>
          <cell r="I626">
            <v>68500000</v>
          </cell>
          <cell r="K626">
            <v>0</v>
          </cell>
          <cell r="M626">
            <v>0</v>
          </cell>
          <cell r="N626">
            <v>45500</v>
          </cell>
          <cell r="P626">
            <v>68545500</v>
          </cell>
          <cell r="Q626">
            <v>46176</v>
          </cell>
        </row>
        <row r="627">
          <cell r="B627" t="str">
            <v>081/K/V/26</v>
          </cell>
          <cell r="C627">
            <v>46173</v>
          </cell>
          <cell r="E627" t="str">
            <v>CREW MICHELLE 219-08 / ANGELINE 219-08</v>
          </cell>
          <cell r="G627" t="str">
            <v>254/PV-MAR/2026</v>
          </cell>
          <cell r="H627" t="str">
            <v>Gaji crew Michelle 219-08 / BG Angeline 219-08 periode Mei 2026</v>
          </cell>
          <cell r="I627">
            <v>68500000</v>
          </cell>
          <cell r="K627">
            <v>0</v>
          </cell>
          <cell r="M627">
            <v>0</v>
          </cell>
          <cell r="N627">
            <v>19500</v>
          </cell>
          <cell r="P627">
            <v>68519500</v>
          </cell>
          <cell r="Q627">
            <v>46176</v>
          </cell>
        </row>
        <row r="628">
          <cell r="B628" t="str">
            <v>082/K/V/26</v>
          </cell>
          <cell r="C628">
            <v>46173</v>
          </cell>
          <cell r="E628" t="str">
            <v>ANDI ARDI SAID</v>
          </cell>
          <cell r="G628" t="str">
            <v>255/PV-MAR/2026</v>
          </cell>
          <cell r="H628" t="str">
            <v>Uang makan crew Surya Segara 3 / BG Finacia 96 periode Juni 2026</v>
          </cell>
          <cell r="I628">
            <v>16500000</v>
          </cell>
          <cell r="K628">
            <v>0</v>
          </cell>
          <cell r="M628">
            <v>0</v>
          </cell>
          <cell r="N628">
            <v>2500</v>
          </cell>
          <cell r="P628">
            <v>16502500</v>
          </cell>
          <cell r="Q628">
            <v>46176</v>
          </cell>
        </row>
        <row r="629">
          <cell r="B629" t="str">
            <v>083/K/V/26</v>
          </cell>
          <cell r="C629">
            <v>46173</v>
          </cell>
          <cell r="E629" t="str">
            <v>JUSNAEKA</v>
          </cell>
          <cell r="G629" t="str">
            <v>256/PV-MAR/2026</v>
          </cell>
          <cell r="H629" t="str">
            <v>Uang makan crew Michelle 219-08 / Angeline 219-08 periode Juni 2026</v>
          </cell>
          <cell r="I629">
            <v>16500000</v>
          </cell>
          <cell r="K629">
            <v>0</v>
          </cell>
          <cell r="M629">
            <v>0</v>
          </cell>
          <cell r="N629">
            <v>16500</v>
          </cell>
          <cell r="P629">
            <v>16516500</v>
          </cell>
          <cell r="Q629">
            <v>46176</v>
          </cell>
        </row>
        <row r="630">
          <cell r="B630" t="str">
            <v>084/K/V/26</v>
          </cell>
          <cell r="C630">
            <v>46171</v>
          </cell>
          <cell r="D630" t="str">
            <v>2603JPIOG</v>
          </cell>
          <cell r="E630" t="str">
            <v>PT ANDALAN LANCAR NIAGA</v>
          </cell>
          <cell r="F630" t="str">
            <v>00093/ALN-INV/V/2026</v>
          </cell>
          <cell r="G630" t="str">
            <v>258/PV-MAR/2026</v>
          </cell>
          <cell r="H630" t="str">
            <v>Biaya Time Charter TB Michelle XV / BG Benami XV periode 25 Mei - 24 Juni 2026</v>
          </cell>
          <cell r="I630">
            <v>850000000</v>
          </cell>
          <cell r="K630">
            <v>15</v>
          </cell>
          <cell r="M630">
            <v>-10200000</v>
          </cell>
          <cell r="N630">
            <v>15000</v>
          </cell>
          <cell r="P630">
            <v>839815000</v>
          </cell>
          <cell r="Q630">
            <v>46176</v>
          </cell>
        </row>
        <row r="631">
          <cell r="B631" t="str">
            <v>085/K/V/26</v>
          </cell>
          <cell r="C631">
            <v>46173</v>
          </cell>
          <cell r="E631" t="str">
            <v>ENGGARINGTYAS DONYA WICAHYO LISWARI</v>
          </cell>
          <cell r="F631" t="str">
            <v>012/DW/INV/V/2026</v>
          </cell>
          <cell r="G631" t="str">
            <v>829/OPS-V/2026</v>
          </cell>
          <cell r="H631" t="str">
            <v>DP Bongkar Muat Palet ke Kapal TB Entebe Star 30 Voyage 159L</v>
          </cell>
          <cell r="I631">
            <v>7500000</v>
          </cell>
          <cell r="K631">
            <v>0</v>
          </cell>
          <cell r="M631">
            <v>0</v>
          </cell>
          <cell r="N631">
            <v>2500</v>
          </cell>
          <cell r="P631">
            <v>7502500</v>
          </cell>
          <cell r="Q631">
            <v>46176</v>
          </cell>
        </row>
        <row r="632">
          <cell r="B632" t="str">
            <v>086/K/V/26</v>
          </cell>
          <cell r="C632">
            <v>46173</v>
          </cell>
          <cell r="E632" t="str">
            <v>NURSANDI</v>
          </cell>
          <cell r="G632" t="str">
            <v>146/OPS-Premi/2026</v>
          </cell>
          <cell r="H632" t="str">
            <v>Premi Crew TB Michelle XV / BG Benami XV Voyage 146</v>
          </cell>
          <cell r="I632">
            <v>17988579</v>
          </cell>
          <cell r="K632">
            <v>0</v>
          </cell>
          <cell r="M632">
            <v>0</v>
          </cell>
          <cell r="P632">
            <v>17988579</v>
          </cell>
          <cell r="Q632">
            <v>46176</v>
          </cell>
        </row>
        <row r="633">
          <cell r="B633" t="str">
            <v>087/K/V/26</v>
          </cell>
          <cell r="C633">
            <v>46173</v>
          </cell>
          <cell r="E633" t="str">
            <v>NURSANDI</v>
          </cell>
          <cell r="G633" t="str">
            <v>151/OPS-Premi/2026</v>
          </cell>
          <cell r="H633" t="str">
            <v>Premi Crew TB Michelle XV / BG Benami XV Voyage 151</v>
          </cell>
          <cell r="I633">
            <v>17717108</v>
          </cell>
          <cell r="K633">
            <v>0</v>
          </cell>
          <cell r="M633">
            <v>0</v>
          </cell>
          <cell r="P633">
            <v>17717108</v>
          </cell>
          <cell r="Q633">
            <v>46176</v>
          </cell>
        </row>
        <row r="634">
          <cell r="B634" t="str">
            <v>088/K/V/26</v>
          </cell>
          <cell r="C634">
            <v>46173</v>
          </cell>
          <cell r="E634" t="str">
            <v>LASTE FERI KUSUMA</v>
          </cell>
          <cell r="G634" t="str">
            <v>149/OPS-Premi/2026</v>
          </cell>
          <cell r="H634" t="str">
            <v>Premi Crew TB APL 7 / BG Baiduri 70273 Voyage 149</v>
          </cell>
          <cell r="I634">
            <v>15263353</v>
          </cell>
          <cell r="K634">
            <v>0</v>
          </cell>
          <cell r="M634">
            <v>0</v>
          </cell>
          <cell r="P634">
            <v>15263353</v>
          </cell>
          <cell r="Q634">
            <v>46176</v>
          </cell>
        </row>
        <row r="635">
          <cell r="B635" t="str">
            <v>089/K/V/26</v>
          </cell>
          <cell r="C635">
            <v>46173</v>
          </cell>
          <cell r="E635" t="str">
            <v>LASTE FERI KUSUMA</v>
          </cell>
          <cell r="G635" t="str">
            <v>154/OPS-Premi/2026</v>
          </cell>
          <cell r="H635" t="str">
            <v>Premi Crew TB APL 7 / BG Baiduri 70273 Voyage 154</v>
          </cell>
          <cell r="I635">
            <v>3000000</v>
          </cell>
          <cell r="K635">
            <v>0</v>
          </cell>
          <cell r="M635">
            <v>0</v>
          </cell>
          <cell r="P635">
            <v>3000000</v>
          </cell>
          <cell r="Q635">
            <v>46176</v>
          </cell>
        </row>
        <row r="636">
          <cell r="B636" t="str">
            <v>090/K/V/26</v>
          </cell>
          <cell r="C636">
            <v>46173</v>
          </cell>
          <cell r="E636" t="str">
            <v>JUSNAEKA</v>
          </cell>
          <cell r="G636" t="str">
            <v>145/OPS-Premi/2026</v>
          </cell>
          <cell r="H636" t="str">
            <v>Premi Crew TB Michelle 219-08 / BG Angeline 219-08 Voyage 145</v>
          </cell>
          <cell r="I636">
            <v>6050000</v>
          </cell>
          <cell r="K636">
            <v>0</v>
          </cell>
          <cell r="M636">
            <v>0</v>
          </cell>
          <cell r="P636">
            <v>6050000</v>
          </cell>
          <cell r="Q636">
            <v>46176</v>
          </cell>
        </row>
        <row r="637">
          <cell r="B637" t="str">
            <v>091/K/V/26</v>
          </cell>
          <cell r="C637">
            <v>46173</v>
          </cell>
          <cell r="E637" t="str">
            <v>JUSNAEKA</v>
          </cell>
          <cell r="G637" t="str">
            <v>150/OPS-Premi/2026</v>
          </cell>
          <cell r="H637" t="str">
            <v>Premi Crew TB Michelle 219-08 / BG Angeline 219-08 Voyage 150</v>
          </cell>
          <cell r="I637">
            <v>14370025</v>
          </cell>
          <cell r="K637">
            <v>0</v>
          </cell>
          <cell r="M637">
            <v>0</v>
          </cell>
          <cell r="P637">
            <v>14370025</v>
          </cell>
          <cell r="Q637">
            <v>46176</v>
          </cell>
        </row>
        <row r="638">
          <cell r="B638" t="str">
            <v>092/K/V/26</v>
          </cell>
          <cell r="C638">
            <v>46173</v>
          </cell>
          <cell r="E638" t="str">
            <v>ANDI ARDI SAID</v>
          </cell>
          <cell r="G638" t="str">
            <v>148/OPS-Premi/2026</v>
          </cell>
          <cell r="H638" t="str">
            <v>Premi Crew TB Surya Segara 3 / BG Finacia 96 Voyage 148</v>
          </cell>
          <cell r="I638">
            <v>17668737</v>
          </cell>
          <cell r="K638">
            <v>0</v>
          </cell>
          <cell r="M638">
            <v>0</v>
          </cell>
          <cell r="N638">
            <v>2500</v>
          </cell>
          <cell r="P638">
            <v>17671237</v>
          </cell>
          <cell r="Q638">
            <v>46176</v>
          </cell>
        </row>
        <row r="639">
          <cell r="B639" t="str">
            <v>093/K/V/26</v>
          </cell>
          <cell r="C639">
            <v>46173</v>
          </cell>
          <cell r="E639" t="str">
            <v>JAYA KESUMA</v>
          </cell>
          <cell r="G639" t="str">
            <v>147/OPS-Premi/2026</v>
          </cell>
          <cell r="H639" t="str">
            <v>Premi Crew TB Entebe Star 30 / BG Finacia 71 Voyage 147</v>
          </cell>
          <cell r="I639">
            <v>15882060</v>
          </cell>
          <cell r="K639">
            <v>0</v>
          </cell>
          <cell r="M639">
            <v>0</v>
          </cell>
          <cell r="N639">
            <v>2500</v>
          </cell>
          <cell r="P639">
            <v>15884560</v>
          </cell>
          <cell r="Q639">
            <v>46176</v>
          </cell>
        </row>
        <row r="640">
          <cell r="B640" t="str">
            <v>094/K/V/26</v>
          </cell>
          <cell r="C640">
            <v>46173</v>
          </cell>
          <cell r="E640" t="str">
            <v>JAYA KESUMA</v>
          </cell>
          <cell r="G640" t="str">
            <v>138/OPS-Premi/2026</v>
          </cell>
          <cell r="H640" t="str">
            <v>Premi Crew TB Entebe Star 30 / BG Finacia 71 Voyage 138</v>
          </cell>
          <cell r="I640">
            <v>23410518</v>
          </cell>
          <cell r="K640">
            <v>0</v>
          </cell>
          <cell r="M640">
            <v>0</v>
          </cell>
          <cell r="N640">
            <v>2500</v>
          </cell>
          <cell r="P640">
            <v>23413018</v>
          </cell>
          <cell r="Q640">
            <v>46176</v>
          </cell>
        </row>
        <row r="641">
          <cell r="B641" t="str">
            <v>095/K/V/26</v>
          </cell>
          <cell r="C641">
            <v>46173</v>
          </cell>
          <cell r="E641" t="str">
            <v>LASTE FERI KUSUMA</v>
          </cell>
          <cell r="G641" t="str">
            <v>144/OPS-Premi/2026</v>
          </cell>
          <cell r="H641" t="str">
            <v>Premi Crew TB APL 7 / BG Baiduri 70273 Voyage 144</v>
          </cell>
          <cell r="I641">
            <v>5000000</v>
          </cell>
          <cell r="K641">
            <v>0</v>
          </cell>
          <cell r="M641">
            <v>0</v>
          </cell>
          <cell r="P641">
            <v>5000000</v>
          </cell>
          <cell r="Q641">
            <v>46176</v>
          </cell>
        </row>
        <row r="642">
          <cell r="B642" t="str">
            <v>096/K/V/26</v>
          </cell>
          <cell r="C642">
            <v>46165</v>
          </cell>
          <cell r="E642" t="str">
            <v>ANDI DEWI CAMANDINI</v>
          </cell>
          <cell r="F642" t="str">
            <v>01/PT.MAR/23/V/2026</v>
          </cell>
          <cell r="G642" t="str">
            <v>823/OPS-V/2026</v>
          </cell>
          <cell r="H642" t="str">
            <v>DP Perbaikan TB Entebe Star 30</v>
          </cell>
          <cell r="I642">
            <v>7000000</v>
          </cell>
          <cell r="K642">
            <v>0</v>
          </cell>
          <cell r="M642">
            <v>0</v>
          </cell>
          <cell r="N642">
            <v>2500</v>
          </cell>
          <cell r="P642">
            <v>7002500</v>
          </cell>
          <cell r="Q642">
            <v>46181</v>
          </cell>
        </row>
        <row r="644">
          <cell r="B644" t="str">
            <v>001/K/VI/26</v>
          </cell>
          <cell r="C644">
            <v>46175</v>
          </cell>
          <cell r="E644" t="str">
            <v>PT MITRABAHTERA SEGARA SEJATI</v>
          </cell>
          <cell r="F644" t="str">
            <v>INV/01-2601-0026</v>
          </cell>
          <cell r="G644" t="str">
            <v>260/PV-MAR/2026</v>
          </cell>
          <cell r="H644" t="str">
            <v>25% Pembelian BG Angeline 219-05</v>
          </cell>
          <cell r="I644">
            <v>3375000000</v>
          </cell>
          <cell r="K644">
            <v>0</v>
          </cell>
          <cell r="M644">
            <v>0</v>
          </cell>
          <cell r="P644">
            <v>3375000000</v>
          </cell>
          <cell r="Q644">
            <v>46176</v>
          </cell>
        </row>
        <row r="645">
          <cell r="B645" t="str">
            <v>002/K/VI/26</v>
          </cell>
          <cell r="C645">
            <v>46175</v>
          </cell>
          <cell r="E645" t="str">
            <v>DIRJEN PAJAK</v>
          </cell>
          <cell r="G645" t="str">
            <v>257/PV-MAR/2026</v>
          </cell>
          <cell r="H645" t="str">
            <v>Pembayaran PPN periode April 2026</v>
          </cell>
          <cell r="I645">
            <v>1031452908</v>
          </cell>
          <cell r="K645">
            <v>0</v>
          </cell>
          <cell r="M645">
            <v>0</v>
          </cell>
          <cell r="P645">
            <v>1031452908</v>
          </cell>
          <cell r="Q645">
            <v>46176</v>
          </cell>
        </row>
        <row r="646">
          <cell r="B646" t="str">
            <v>003/K/VI/26</v>
          </cell>
          <cell r="C646">
            <v>46175</v>
          </cell>
          <cell r="E646" t="str">
            <v>PT LANCAR BAROKAH ENERGI (Mandiri)</v>
          </cell>
          <cell r="F646" t="str">
            <v>0255/LBE-Inv/TB/5/2026</v>
          </cell>
          <cell r="G646" t="str">
            <v>811/OPS-V/2026</v>
          </cell>
          <cell r="H646" t="str">
            <v>BBM Solar TB APL 7 Voyage 158L</v>
          </cell>
          <cell r="I646">
            <v>1139639640</v>
          </cell>
          <cell r="J646">
            <v>125360360.40000001</v>
          </cell>
          <cell r="K646">
            <v>0</v>
          </cell>
          <cell r="M646">
            <v>0</v>
          </cell>
          <cell r="P646">
            <v>1265000000.4000001</v>
          </cell>
          <cell r="Q646">
            <v>46176</v>
          </cell>
        </row>
        <row r="647">
          <cell r="B647" t="str">
            <v>004/K/VI/26</v>
          </cell>
          <cell r="C647">
            <v>46176</v>
          </cell>
          <cell r="D647" t="str">
            <v>2603LPGSH</v>
          </cell>
          <cell r="E647" t="str">
            <v>PT MARITIM INTERNUSA ABADI</v>
          </cell>
          <cell r="F647" t="str">
            <v>INV/MIA/2026/30008-Rev</v>
          </cell>
          <cell r="G647" t="str">
            <v>259/PV-MAR-2026</v>
          </cell>
          <cell r="H647" t="str">
            <v>Biaya Freight Charter TB Warrior 03 / BG Victory 301 ( Jetty SBL - Jetty Borneo )</v>
          </cell>
          <cell r="I647">
            <v>546992200</v>
          </cell>
          <cell r="K647">
            <v>15</v>
          </cell>
          <cell r="M647">
            <v>-10939844</v>
          </cell>
          <cell r="N647">
            <v>15000</v>
          </cell>
          <cell r="P647">
            <v>536067356</v>
          </cell>
          <cell r="Q647">
            <v>46177</v>
          </cell>
        </row>
        <row r="648">
          <cell r="B648" t="str">
            <v>004/K/VI/26</v>
          </cell>
          <cell r="C648">
            <v>46176</v>
          </cell>
          <cell r="D648" t="str">
            <v>2603LPGSH</v>
          </cell>
          <cell r="E648" t="str">
            <v>PT MARITIM INTERNUSA ABADI</v>
          </cell>
          <cell r="G648" t="str">
            <v>259/PV-MAR-2026</v>
          </cell>
          <cell r="H648" t="str">
            <v>Bunker TB Warrior 03</v>
          </cell>
          <cell r="I648">
            <v>-400000000</v>
          </cell>
          <cell r="K648">
            <v>0</v>
          </cell>
          <cell r="M648">
            <v>0</v>
          </cell>
          <cell r="P648">
            <v>-400000000</v>
          </cell>
          <cell r="Q648">
            <v>46177</v>
          </cell>
        </row>
        <row r="649">
          <cell r="B649" t="str">
            <v>005/K/VI/26</v>
          </cell>
          <cell r="C649">
            <v>46176</v>
          </cell>
          <cell r="E649" t="str">
            <v>ENGGARINGTYAS DONYA WICAHYO LISWARI</v>
          </cell>
          <cell r="F649" t="str">
            <v>014/DW/INV/VI/2026</v>
          </cell>
          <cell r="G649" t="str">
            <v>834/OPS-VI/2026</v>
          </cell>
          <cell r="H649" t="str">
            <v>FP Bongkar Muat Palet TB Entebe Star 30 Voyage 159L</v>
          </cell>
          <cell r="I649">
            <v>7500000</v>
          </cell>
          <cell r="K649">
            <v>0</v>
          </cell>
          <cell r="M649">
            <v>0</v>
          </cell>
          <cell r="P649">
            <v>7500000</v>
          </cell>
          <cell r="Q649">
            <v>46177</v>
          </cell>
        </row>
        <row r="650">
          <cell r="B650" t="str">
            <v>006/K/VI/26</v>
          </cell>
          <cell r="C650">
            <v>46177</v>
          </cell>
          <cell r="E650" t="str">
            <v>PT LANCAR BAROKAH ENERGI (Mandiri)</v>
          </cell>
          <cell r="F650" t="str">
            <v>0267/LBE-Inv/TB/5/2026</v>
          </cell>
          <cell r="G650" t="str">
            <v>819/OPS-V/2026</v>
          </cell>
          <cell r="H650" t="str">
            <v>BBM Solar TB Surya Segara 3 Voyage 156L</v>
          </cell>
          <cell r="I650">
            <v>209909910</v>
          </cell>
          <cell r="J650">
            <v>23090090.100000001</v>
          </cell>
          <cell r="K650">
            <v>0</v>
          </cell>
          <cell r="M650">
            <v>0</v>
          </cell>
          <cell r="P650">
            <v>233000000.09999999</v>
          </cell>
          <cell r="Q650">
            <v>46181</v>
          </cell>
        </row>
        <row r="651">
          <cell r="B651" t="str">
            <v>007/K/VI/26</v>
          </cell>
        </row>
        <row r="652">
          <cell r="B652" t="str">
            <v>008/K/VI/26</v>
          </cell>
          <cell r="C652">
            <v>46177</v>
          </cell>
          <cell r="E652" t="str">
            <v>TRI HANDOYO</v>
          </cell>
          <cell r="G652" t="str">
            <v>261/PV-MAR/2026</v>
          </cell>
          <cell r="H652" t="str">
            <v>Reimbursement mobil operasional periode Mei 2026</v>
          </cell>
          <cell r="I652">
            <v>3478329</v>
          </cell>
          <cell r="K652">
            <v>0</v>
          </cell>
          <cell r="M652">
            <v>0</v>
          </cell>
          <cell r="N652">
            <v>2500</v>
          </cell>
          <cell r="P652">
            <v>3480829</v>
          </cell>
          <cell r="Q652">
            <v>46181</v>
          </cell>
        </row>
        <row r="653">
          <cell r="B653" t="str">
            <v>009/K/VI/26</v>
          </cell>
          <cell r="C653">
            <v>46177</v>
          </cell>
          <cell r="E653" t="str">
            <v>YONI FIRDAUS WIBOWO</v>
          </cell>
          <cell r="G653" t="str">
            <v>262/PV-MAR/2026</v>
          </cell>
          <cell r="H653" t="str">
            <v>Reimbursement periode Mei 2026</v>
          </cell>
          <cell r="I653">
            <v>2481080</v>
          </cell>
          <cell r="K653">
            <v>0</v>
          </cell>
          <cell r="M653">
            <v>0</v>
          </cell>
          <cell r="P653">
            <v>2481080</v>
          </cell>
          <cell r="Q653">
            <v>46181</v>
          </cell>
        </row>
        <row r="654">
          <cell r="B654" t="str">
            <v>002/K/VI/26 CAV</v>
          </cell>
          <cell r="C654">
            <v>46177</v>
          </cell>
          <cell r="E654" t="str">
            <v>MASUDI</v>
          </cell>
          <cell r="G654" t="str">
            <v>263/PV-MAR/2026</v>
          </cell>
          <cell r="H654" t="str">
            <v>Advance trip ke Batam - Monitoring ship building periode 03-18 Juni 2026</v>
          </cell>
          <cell r="I654">
            <v>7000000</v>
          </cell>
          <cell r="K654">
            <v>0</v>
          </cell>
          <cell r="M654">
            <v>0</v>
          </cell>
          <cell r="P654">
            <v>7000000</v>
          </cell>
          <cell r="Q654">
            <v>46181</v>
          </cell>
        </row>
        <row r="655">
          <cell r="B655" t="str">
            <v>011/K/VI/26</v>
          </cell>
          <cell r="C655">
            <v>46178</v>
          </cell>
          <cell r="D655" t="str">
            <v>2603OMIAW</v>
          </cell>
          <cell r="E655" t="str">
            <v>PT PATRIA MARITIME LINES</v>
          </cell>
          <cell r="F655">
            <v>9231002353</v>
          </cell>
          <cell r="G655" t="str">
            <v>264/PV-MAR/2026</v>
          </cell>
          <cell r="H655" t="str">
            <v>Biaya Freight Charter TB Kendric Star 09 / BG Celvia Star 11 ( Bintang Ninggi - Dumai )</v>
          </cell>
          <cell r="I655">
            <v>1695173175</v>
          </cell>
          <cell r="K655">
            <v>15</v>
          </cell>
          <cell r="M655">
            <v>-20342078.100000001</v>
          </cell>
          <cell r="O655">
            <v>-1</v>
          </cell>
          <cell r="P655">
            <v>1674831095.9000001</v>
          </cell>
          <cell r="Q655">
            <v>46181</v>
          </cell>
        </row>
        <row r="656">
          <cell r="B656" t="str">
            <v>012/K/VI/26</v>
          </cell>
          <cell r="C656">
            <v>46178</v>
          </cell>
          <cell r="E656" t="str">
            <v>CV BERKAH LINTAS SAMUDERA</v>
          </cell>
          <cell r="F656" t="str">
            <v>1/6/bls/2026</v>
          </cell>
          <cell r="G656" t="str">
            <v>849/OPS-VI/2026</v>
          </cell>
          <cell r="H656" t="str">
            <v>DP Instalasi Mesin Jangkar TB Michelle 219-08</v>
          </cell>
          <cell r="I656">
            <v>19000000</v>
          </cell>
          <cell r="K656">
            <v>0</v>
          </cell>
          <cell r="M656">
            <v>0</v>
          </cell>
          <cell r="N656">
            <v>2500</v>
          </cell>
          <cell r="P656">
            <v>19002500</v>
          </cell>
          <cell r="Q656">
            <v>46181</v>
          </cell>
        </row>
        <row r="657">
          <cell r="B657" t="str">
            <v>013/K/VI/26</v>
          </cell>
          <cell r="C657">
            <v>46178</v>
          </cell>
          <cell r="E657" t="str">
            <v>PT SEMERU INTI PRIMA</v>
          </cell>
          <cell r="F657" t="str">
            <v>2026/SIP-SO/0153</v>
          </cell>
          <cell r="G657" t="str">
            <v>848/OPS-VI/2026</v>
          </cell>
          <cell r="H657" t="str">
            <v>Engine Yamada TB Michelle 219-08</v>
          </cell>
          <cell r="I657">
            <v>37871170</v>
          </cell>
          <cell r="J657">
            <v>3978829</v>
          </cell>
          <cell r="K657">
            <v>23</v>
          </cell>
          <cell r="M657">
            <v>-34000</v>
          </cell>
          <cell r="N657">
            <v>2500</v>
          </cell>
          <cell r="O657">
            <v>1</v>
          </cell>
          <cell r="P657">
            <v>41818500</v>
          </cell>
          <cell r="Q657">
            <v>46181</v>
          </cell>
        </row>
        <row r="658">
          <cell r="B658" t="str">
            <v>014/K/VI/26</v>
          </cell>
          <cell r="C658">
            <v>46180</v>
          </cell>
          <cell r="E658" t="str">
            <v>CV CAHAYA ABADI</v>
          </cell>
          <cell r="F658" t="str">
            <v>000226</v>
          </cell>
          <cell r="G658" t="str">
            <v>847/OPS-VI/2026</v>
          </cell>
          <cell r="H658" t="str">
            <v>DP Terpal plastik cap RAJAWALI TB Michelle 219-08</v>
          </cell>
          <cell r="I658">
            <v>24975000</v>
          </cell>
          <cell r="K658">
            <v>0</v>
          </cell>
          <cell r="M658">
            <v>0</v>
          </cell>
          <cell r="N658">
            <v>2500</v>
          </cell>
          <cell r="P658">
            <v>24977500</v>
          </cell>
          <cell r="Q658">
            <v>46181</v>
          </cell>
        </row>
        <row r="659">
          <cell r="B659" t="str">
            <v>015/K/VI/26</v>
          </cell>
          <cell r="C659">
            <v>46178</v>
          </cell>
          <cell r="E659" t="str">
            <v>PT ANUGRAH LAUT BIRU</v>
          </cell>
          <cell r="F659" t="str">
            <v>061/ALB-PLM/INV/V/26</v>
          </cell>
          <cell r="G659" t="str">
            <v>831/OPS-V/2026</v>
          </cell>
          <cell r="H659" t="str">
            <v>Biosolar TB Michelle 219-08 Voyage 156L</v>
          </cell>
          <cell r="I659">
            <v>529279282</v>
          </cell>
          <cell r="J659">
            <v>58220718</v>
          </cell>
          <cell r="K659">
            <v>0</v>
          </cell>
          <cell r="M659">
            <v>0</v>
          </cell>
          <cell r="P659">
            <v>587500000</v>
          </cell>
          <cell r="Q659">
            <v>46181</v>
          </cell>
        </row>
        <row r="660">
          <cell r="B660" t="str">
            <v>016/K/VI/26</v>
          </cell>
          <cell r="C660">
            <v>46178</v>
          </cell>
          <cell r="E660" t="str">
            <v>PT BENAYA AMB MANDIRI</v>
          </cell>
          <cell r="F660" t="str">
            <v>33/BAM-MAR/INV/V/2026</v>
          </cell>
          <cell r="G660" t="str">
            <v>824/OPS-V/2026</v>
          </cell>
          <cell r="H660" t="str">
            <v>Solar HSD TB Emperor 2 Voyage BFOL-15</v>
          </cell>
          <cell r="I660">
            <v>360360360</v>
          </cell>
          <cell r="J660">
            <v>39639639.600000001</v>
          </cell>
          <cell r="K660">
            <v>0</v>
          </cell>
          <cell r="M660">
            <v>0</v>
          </cell>
          <cell r="P660">
            <v>399999999.60000002</v>
          </cell>
          <cell r="Q660">
            <v>46181</v>
          </cell>
        </row>
        <row r="661">
          <cell r="B661" t="str">
            <v>017/K/VI/26</v>
          </cell>
          <cell r="C661">
            <v>46181</v>
          </cell>
          <cell r="E661" t="str">
            <v>PT ANUGRAH LAUT BIRU</v>
          </cell>
          <cell r="F661" t="str">
            <v>060/ALB-PLM/INV/V/26</v>
          </cell>
          <cell r="G661" t="str">
            <v>830/OPS-V/2026</v>
          </cell>
          <cell r="H661" t="str">
            <v>Biosolar TB Abhiprama 107 Voyage 157L</v>
          </cell>
          <cell r="I661">
            <v>423423449</v>
          </cell>
          <cell r="J661">
            <v>46576574</v>
          </cell>
          <cell r="K661">
            <v>0</v>
          </cell>
          <cell r="M661">
            <v>0</v>
          </cell>
          <cell r="O661">
            <v>-23</v>
          </cell>
          <cell r="P661">
            <v>470000000</v>
          </cell>
          <cell r="Q661">
            <v>46181</v>
          </cell>
        </row>
        <row r="662">
          <cell r="B662" t="str">
            <v>018/K/VI/26</v>
          </cell>
          <cell r="C662">
            <v>46183</v>
          </cell>
          <cell r="D662" t="str">
            <v>2603V66RI</v>
          </cell>
          <cell r="E662" t="str">
            <v>PT ALPHA PACIFIC LINE</v>
          </cell>
          <cell r="F662" t="str">
            <v>002/APL-F/V/2026</v>
          </cell>
          <cell r="G662" t="str">
            <v>266/PV-MAR/2026</v>
          </cell>
          <cell r="H662" t="str">
            <v>Biaya Freight Charter TB APL 5 / BG Amethyst 8300 ( Jetty SBL - Pulai Gading )</v>
          </cell>
          <cell r="I662">
            <v>893342400</v>
          </cell>
          <cell r="K662">
            <v>15</v>
          </cell>
          <cell r="M662">
            <v>-10720108.800000001</v>
          </cell>
          <cell r="P662">
            <v>882622291.20000005</v>
          </cell>
          <cell r="Q662">
            <v>46183</v>
          </cell>
        </row>
        <row r="663">
          <cell r="B663" t="str">
            <v>019/K/VI/26</v>
          </cell>
          <cell r="C663">
            <v>46182</v>
          </cell>
          <cell r="E663" t="str">
            <v>PT MITRABAHTERA SEGARA SEJATI</v>
          </cell>
          <cell r="F663" t="str">
            <v>INV/01-2601-0026</v>
          </cell>
          <cell r="G663" t="str">
            <v>265/PV-MAR/2026</v>
          </cell>
          <cell r="H663" t="str">
            <v>Pelunasan 65% Pembelian BG Angeline 219-05</v>
          </cell>
          <cell r="I663">
            <v>625000000</v>
          </cell>
          <cell r="K663">
            <v>0</v>
          </cell>
          <cell r="M663">
            <v>0</v>
          </cell>
          <cell r="P663">
            <v>625000000</v>
          </cell>
          <cell r="Q663">
            <v>46183</v>
          </cell>
        </row>
        <row r="664">
          <cell r="B664" t="str">
            <v>020/K/VI/26</v>
          </cell>
          <cell r="C664">
            <v>46183</v>
          </cell>
          <cell r="E664" t="str">
            <v>PT MITRABAHTERA SEGARA SEJATI</v>
          </cell>
          <cell r="F664" t="str">
            <v>INV/01-2601-0026</v>
          </cell>
          <cell r="G664" t="str">
            <v>267/PV-MAR/2026</v>
          </cell>
          <cell r="H664" t="str">
            <v>Pelunasan Pembelian BG Angeline 219-05</v>
          </cell>
          <cell r="I664">
            <v>9500000000</v>
          </cell>
          <cell r="K664">
            <v>0</v>
          </cell>
          <cell r="M664">
            <v>0</v>
          </cell>
          <cell r="P664">
            <v>9500000000</v>
          </cell>
          <cell r="Q664">
            <v>46183</v>
          </cell>
        </row>
        <row r="665">
          <cell r="B665" t="str">
            <v>021/K/VI/26</v>
          </cell>
          <cell r="C665">
            <v>46181</v>
          </cell>
          <cell r="E665" t="str">
            <v>SEHIMPOEN</v>
          </cell>
          <cell r="H665" t="str">
            <v>Lunch with PT Multi Harapan Utama</v>
          </cell>
          <cell r="I665">
            <v>529800</v>
          </cell>
          <cell r="K665">
            <v>0</v>
          </cell>
          <cell r="M665">
            <v>0</v>
          </cell>
          <cell r="P665">
            <v>529800</v>
          </cell>
          <cell r="Q665">
            <v>46184</v>
          </cell>
        </row>
        <row r="666">
          <cell r="B666" t="str">
            <v>022/K/VI/26</v>
          </cell>
          <cell r="C666">
            <v>46182</v>
          </cell>
          <cell r="E666" t="str">
            <v>MANDIRI KARADENAN</v>
          </cell>
          <cell r="H666" t="str">
            <v>Biaya Pengajuan fasilitas Kredit</v>
          </cell>
          <cell r="I666">
            <v>61500000</v>
          </cell>
          <cell r="K666">
            <v>0</v>
          </cell>
          <cell r="M666">
            <v>0</v>
          </cell>
          <cell r="P666">
            <v>61500000</v>
          </cell>
          <cell r="Q666">
            <v>46184</v>
          </cell>
        </row>
        <row r="667">
          <cell r="B667" t="str">
            <v>022/K/VI/26</v>
          </cell>
          <cell r="C667">
            <v>46182</v>
          </cell>
          <cell r="E667" t="str">
            <v>MANDIRI KARADENAN</v>
          </cell>
          <cell r="H667" t="str">
            <v>Biaya Asuransi + Materai 90.000</v>
          </cell>
          <cell r="I667">
            <v>140090000</v>
          </cell>
          <cell r="K667">
            <v>0</v>
          </cell>
          <cell r="M667">
            <v>0</v>
          </cell>
          <cell r="P667">
            <v>140090000</v>
          </cell>
          <cell r="Q667">
            <v>46184</v>
          </cell>
        </row>
        <row r="668">
          <cell r="B668" t="str">
            <v>022/K/VI/26</v>
          </cell>
          <cell r="C668">
            <v>46182</v>
          </cell>
          <cell r="E668" t="str">
            <v>MANDIRI KARADENAN</v>
          </cell>
          <cell r="H668" t="str">
            <v>Biaya Notaris</v>
          </cell>
          <cell r="I668">
            <v>84050000</v>
          </cell>
          <cell r="K668">
            <v>0</v>
          </cell>
          <cell r="M668">
            <v>0</v>
          </cell>
          <cell r="P668">
            <v>84050000</v>
          </cell>
          <cell r="Q668">
            <v>46184</v>
          </cell>
        </row>
        <row r="669">
          <cell r="B669" t="str">
            <v>023/K/VI/26</v>
          </cell>
          <cell r="C669">
            <v>46183</v>
          </cell>
          <cell r="E669" t="str">
            <v>PT MARITIM INDO RAYA</v>
          </cell>
          <cell r="F669" t="str">
            <v>053/INV/MIR-MAR/V/2026</v>
          </cell>
          <cell r="G669" t="str">
            <v>836/OPS-VI/2026</v>
          </cell>
          <cell r="H669" t="str">
            <v>Biaya Keagenan TB Abhiprama 107 / BG Alara 107 Voyage 157</v>
          </cell>
          <cell r="I669">
            <v>39922509</v>
          </cell>
          <cell r="J669">
            <v>440000</v>
          </cell>
          <cell r="K669">
            <v>23</v>
          </cell>
          <cell r="M669">
            <v>-20000</v>
          </cell>
          <cell r="P669">
            <v>40342509</v>
          </cell>
          <cell r="Q669">
            <v>46190</v>
          </cell>
        </row>
        <row r="670">
          <cell r="B670" t="str">
            <v>023/K/VI/26</v>
          </cell>
          <cell r="C670">
            <v>46183</v>
          </cell>
          <cell r="E670" t="str">
            <v>PT MARITIM INDO RAYA</v>
          </cell>
          <cell r="F670" t="str">
            <v>052/INV/MIR-MAR/V/2026</v>
          </cell>
          <cell r="G670" t="str">
            <v>835/OPS-VI/2026</v>
          </cell>
          <cell r="H670" t="str">
            <v>Biaya Keagenan TB Michelle 219-08 / BG Angeline 219-08 Voyage 155</v>
          </cell>
          <cell r="I670">
            <v>45393098</v>
          </cell>
          <cell r="J670">
            <v>440000</v>
          </cell>
          <cell r="K670">
            <v>23</v>
          </cell>
          <cell r="M670">
            <v>-20000</v>
          </cell>
          <cell r="P670">
            <v>45813098</v>
          </cell>
          <cell r="Q670">
            <v>46190</v>
          </cell>
        </row>
        <row r="671">
          <cell r="B671" t="str">
            <v>024/K/VI/26</v>
          </cell>
          <cell r="C671">
            <v>46184</v>
          </cell>
          <cell r="D671" t="str">
            <v>26042SFB7</v>
          </cell>
          <cell r="E671" t="str">
            <v>PT ELISHA MILAN TANKERS</v>
          </cell>
          <cell r="F671" t="str">
            <v>050/INV/EMT-MAR/VI/2026</v>
          </cell>
          <cell r="G671" t="str">
            <v>268/PV-MAR/2026</v>
          </cell>
          <cell r="H671" t="str">
            <v>Biaya Time Charter TB Abhiprama 107 / BG Alara 107 periode 13 Juni - 13 Juli 2026</v>
          </cell>
          <cell r="I671">
            <v>700000000</v>
          </cell>
          <cell r="K671">
            <v>15</v>
          </cell>
          <cell r="M671">
            <v>-8400000</v>
          </cell>
          <cell r="N671">
            <v>15000</v>
          </cell>
          <cell r="P671">
            <v>691615000</v>
          </cell>
          <cell r="Q671">
            <v>46190</v>
          </cell>
        </row>
        <row r="672">
          <cell r="B672" t="str">
            <v>025/K/VI/26</v>
          </cell>
          <cell r="C672">
            <v>46188</v>
          </cell>
          <cell r="E672" t="str">
            <v>MANDIRI KARADENAN</v>
          </cell>
          <cell r="H672" t="str">
            <v>Angsuran Pinjaman ke-8 Limit 11.500.000.000</v>
          </cell>
          <cell r="I672">
            <v>395278201.74000001</v>
          </cell>
          <cell r="K672">
            <v>0</v>
          </cell>
          <cell r="M672">
            <v>0</v>
          </cell>
          <cell r="P672">
            <v>395278201.74000001</v>
          </cell>
          <cell r="Q672">
            <v>46190</v>
          </cell>
        </row>
        <row r="673">
          <cell r="B673" t="str">
            <v>001/K/VI/26 CAV</v>
          </cell>
          <cell r="C673">
            <v>46188</v>
          </cell>
          <cell r="E673" t="str">
            <v>MUHAMMAD ZAKI</v>
          </cell>
          <cell r="G673" t="str">
            <v>CAV009/OPS-VI/2026</v>
          </cell>
          <cell r="H673" t="str">
            <v>Advance Operasional Mei 2026</v>
          </cell>
          <cell r="I673">
            <v>18973098</v>
          </cell>
          <cell r="N673">
            <v>2500</v>
          </cell>
          <cell r="P673">
            <v>18975598</v>
          </cell>
          <cell r="Q673">
            <v>46190</v>
          </cell>
        </row>
        <row r="674">
          <cell r="B674" t="str">
            <v>026/K/VI/26</v>
          </cell>
          <cell r="C674">
            <v>46188</v>
          </cell>
          <cell r="E674" t="str">
            <v>DIRJEN PAJAK</v>
          </cell>
          <cell r="G674" t="str">
            <v>270/PV-MAR/2026</v>
          </cell>
          <cell r="H674" t="str">
            <v>Pembayaran PPH psl 15, 23, 21 &amp; 4 (2) periode Mei 2026</v>
          </cell>
          <cell r="I674">
            <v>185694057</v>
          </cell>
          <cell r="P674">
            <v>185694057</v>
          </cell>
          <cell r="Q674">
            <v>46190</v>
          </cell>
        </row>
        <row r="675">
          <cell r="B675" t="str">
            <v>027/K/VI/26</v>
          </cell>
          <cell r="C675">
            <v>46188</v>
          </cell>
          <cell r="E675" t="str">
            <v>BINA SARANA INFORMATIKA</v>
          </cell>
          <cell r="F675" t="str">
            <v>160.02/Y-BSI/V/2026</v>
          </cell>
          <cell r="G675" t="str">
            <v>271/PV-MAR/2026</v>
          </cell>
          <cell r="H675" t="str">
            <v>Pembayaran parkir member 2 unit mobil &amp; 7 unit motor periode 10/06 s.d 09/07 2026</v>
          </cell>
          <cell r="I675">
            <v>3300000</v>
          </cell>
          <cell r="K675">
            <v>0</v>
          </cell>
          <cell r="M675">
            <v>0</v>
          </cell>
          <cell r="N675">
            <v>2500</v>
          </cell>
          <cell r="P675">
            <v>3302500</v>
          </cell>
          <cell r="Q675">
            <v>46190</v>
          </cell>
        </row>
        <row r="676">
          <cell r="B676" t="str">
            <v>028/K/VI/26</v>
          </cell>
          <cell r="C676">
            <v>46187</v>
          </cell>
          <cell r="E676" t="str">
            <v>PT MARITIM INDO RAYA</v>
          </cell>
          <cell r="F676" t="str">
            <v>071/PRO/MIR-MAR/VI/2026</v>
          </cell>
          <cell r="G676" t="str">
            <v>850/OPS-V/2026</v>
          </cell>
          <cell r="H676" t="str">
            <v>DP 70% Operasional TB Surya Segara 3 / BG Finacia 96</v>
          </cell>
          <cell r="I676">
            <v>69125000</v>
          </cell>
          <cell r="K676">
            <v>0</v>
          </cell>
          <cell r="M676">
            <v>0</v>
          </cell>
          <cell r="P676">
            <v>69125000</v>
          </cell>
          <cell r="Q676">
            <v>46191</v>
          </cell>
        </row>
        <row r="677">
          <cell r="B677" t="str">
            <v>029/K/VI/26</v>
          </cell>
          <cell r="C677">
            <v>46187</v>
          </cell>
          <cell r="E677" t="str">
            <v>PT MARITIM INDO RAYA</v>
          </cell>
          <cell r="F677" t="str">
            <v>075/PRO/MIR-MAR/VI/2026</v>
          </cell>
          <cell r="G677" t="str">
            <v>858/OPS-V/2026</v>
          </cell>
          <cell r="H677" t="str">
            <v>DP 80% Operasional TB Abhiprama 107 / BG Alara 107</v>
          </cell>
          <cell r="I677">
            <v>72752000</v>
          </cell>
          <cell r="K677">
            <v>0</v>
          </cell>
          <cell r="M677">
            <v>0</v>
          </cell>
          <cell r="P677">
            <v>72752000</v>
          </cell>
          <cell r="Q677">
            <v>46191</v>
          </cell>
        </row>
        <row r="678">
          <cell r="B678" t="str">
            <v>030/K/VI/26</v>
          </cell>
          <cell r="C678">
            <v>46187</v>
          </cell>
          <cell r="D678" t="str">
            <v>26042QA7E</v>
          </cell>
          <cell r="E678" t="str">
            <v>PT TIRTA SAMUDERA AGENCY</v>
          </cell>
          <cell r="F678" t="str">
            <v>TSA019/BTN/V/2026</v>
          </cell>
          <cell r="G678" t="str">
            <v>816/OPS-V/2026</v>
          </cell>
          <cell r="H678" t="str">
            <v>Agency Fee TB Michelle XV Voyage 146D</v>
          </cell>
          <cell r="I678">
            <v>21689200</v>
          </cell>
          <cell r="J678">
            <v>220000</v>
          </cell>
          <cell r="K678">
            <v>23</v>
          </cell>
          <cell r="M678">
            <v>-40000</v>
          </cell>
          <cell r="N678">
            <v>2500</v>
          </cell>
          <cell r="O678">
            <v>1000000</v>
          </cell>
          <cell r="P678">
            <v>22871700</v>
          </cell>
          <cell r="Q678">
            <v>46191</v>
          </cell>
        </row>
        <row r="679">
          <cell r="B679" t="str">
            <v>031/K/VI/26</v>
          </cell>
          <cell r="C679">
            <v>46187</v>
          </cell>
          <cell r="D679" t="str">
            <v>26042QA7H</v>
          </cell>
          <cell r="E679" t="str">
            <v>PT ANDROMEDA SENTRAL PASIFIK</v>
          </cell>
          <cell r="F679" t="str">
            <v>ASP-2026-141</v>
          </cell>
          <cell r="G679" t="str">
            <v>843/0PS-VI/2026</v>
          </cell>
          <cell r="H679" t="str">
            <v>Agency Operation TB Michelle XV Voyage 151D</v>
          </cell>
          <cell r="I679">
            <v>28297645</v>
          </cell>
          <cell r="J679">
            <v>275000</v>
          </cell>
          <cell r="K679">
            <v>23</v>
          </cell>
          <cell r="M679">
            <v>-50000</v>
          </cell>
          <cell r="N679">
            <v>2500</v>
          </cell>
          <cell r="P679">
            <v>28525145</v>
          </cell>
          <cell r="Q679">
            <v>46191</v>
          </cell>
        </row>
        <row r="680">
          <cell r="B680" t="str">
            <v>031/K/VI/26</v>
          </cell>
          <cell r="C680">
            <v>46187</v>
          </cell>
          <cell r="D680" t="str">
            <v>26042QA7H</v>
          </cell>
          <cell r="E680" t="str">
            <v>PT ANDROMEDA SENTRAL PASIFIK</v>
          </cell>
          <cell r="F680" t="str">
            <v>ASP-2026-132</v>
          </cell>
          <cell r="G680" t="str">
            <v>844/OPS-VI/2026</v>
          </cell>
          <cell r="H680" t="str">
            <v>Reimbursement Ops Clearance TB APL 7 Voyage 149D</v>
          </cell>
          <cell r="I680">
            <v>25064364</v>
          </cell>
          <cell r="J680">
            <v>275000</v>
          </cell>
          <cell r="K680">
            <v>23</v>
          </cell>
          <cell r="M680">
            <v>-50000</v>
          </cell>
          <cell r="P680">
            <v>25289364</v>
          </cell>
          <cell r="Q680">
            <v>46191</v>
          </cell>
        </row>
        <row r="681">
          <cell r="B681" t="str">
            <v>032/K/VI/26</v>
          </cell>
          <cell r="C681">
            <v>46188</v>
          </cell>
          <cell r="D681" t="str">
            <v>26042QA7I</v>
          </cell>
          <cell r="E681" t="str">
            <v>PT DINASTI SAMUDERA ABADI</v>
          </cell>
          <cell r="F681" t="str">
            <v>46/INV-TK/MAR-DSA/VI/26</v>
          </cell>
          <cell r="G681" t="str">
            <v>272/PV-MAR/2026</v>
          </cell>
          <cell r="H681" t="str">
            <v xml:space="preserve">Biaya Freight Charter TB Emperor 2 / BG Dinasti 3002 ( Jetty RMK Palembang - PLTU Paiton ) </v>
          </cell>
          <cell r="I681">
            <v>1278227976</v>
          </cell>
          <cell r="K681">
            <v>15</v>
          </cell>
          <cell r="M681">
            <v>-15338735.712000001</v>
          </cell>
          <cell r="N681">
            <v>15000</v>
          </cell>
          <cell r="P681">
            <v>1262904240.2880001</v>
          </cell>
          <cell r="Q681">
            <v>46192</v>
          </cell>
        </row>
        <row r="682">
          <cell r="B682" t="str">
            <v>032/K/VI/26</v>
          </cell>
          <cell r="C682">
            <v>46188</v>
          </cell>
          <cell r="D682" t="str">
            <v>26042QA7I</v>
          </cell>
          <cell r="E682" t="str">
            <v>PT DINASTI SAMUDERA ABADI</v>
          </cell>
          <cell r="F682" t="str">
            <v>DN 046/MAR-DSA/V/2026</v>
          </cell>
          <cell r="G682" t="str">
            <v>272/PV-MAR/2026</v>
          </cell>
          <cell r="H682" t="str">
            <v>Bunker TB Emperor 2</v>
          </cell>
          <cell r="I682">
            <v>-220000000</v>
          </cell>
          <cell r="K682">
            <v>0</v>
          </cell>
          <cell r="M682">
            <v>0</v>
          </cell>
          <cell r="P682">
            <v>-220000000</v>
          </cell>
          <cell r="Q682">
            <v>46192</v>
          </cell>
        </row>
        <row r="683">
          <cell r="B683" t="str">
            <v>033/K/VI/26</v>
          </cell>
          <cell r="C683">
            <v>46188</v>
          </cell>
          <cell r="E683" t="str">
            <v>PT MARITIME POWER</v>
          </cell>
          <cell r="F683" t="str">
            <v>156/MP-MAR/V/2026</v>
          </cell>
          <cell r="G683" t="str">
            <v>269/PV-MAR/2026</v>
          </cell>
          <cell r="H683" t="str">
            <v>Biaya Freight Charter TB Trimitra 221 / BG Trimitra 302 ( Jetty SDJ - PLTU Indramayu )</v>
          </cell>
          <cell r="I683">
            <v>500000000</v>
          </cell>
          <cell r="K683">
            <v>0</v>
          </cell>
          <cell r="M683">
            <v>0</v>
          </cell>
          <cell r="N683">
            <v>15000</v>
          </cell>
          <cell r="P683">
            <v>500015000</v>
          </cell>
          <cell r="Q683">
            <v>46192</v>
          </cell>
        </row>
        <row r="684">
          <cell r="B684" t="str">
            <v>034/K/VI/26</v>
          </cell>
          <cell r="C684">
            <v>46188</v>
          </cell>
          <cell r="E684" t="str">
            <v>PT WAHANA SAMUDERA AGENCY</v>
          </cell>
          <cell r="F684" t="str">
            <v>022/V/WSA-TR/2026</v>
          </cell>
          <cell r="G684" t="str">
            <v>842/OPS-VI/2026</v>
          </cell>
          <cell r="H684" t="str">
            <v>Biaya Pergantian Operasional Clearance TB Entebe Star 31 Voyage 153L</v>
          </cell>
          <cell r="I684">
            <v>22152568</v>
          </cell>
          <cell r="J684">
            <v>388383</v>
          </cell>
          <cell r="K684">
            <v>23</v>
          </cell>
          <cell r="M684">
            <v>-70615</v>
          </cell>
          <cell r="N684">
            <v>2500</v>
          </cell>
          <cell r="P684">
            <v>22472836</v>
          </cell>
          <cell r="Q684">
            <v>46192</v>
          </cell>
        </row>
        <row r="685">
          <cell r="B685" t="str">
            <v>035/K/VI/26</v>
          </cell>
          <cell r="C685">
            <v>46188</v>
          </cell>
          <cell r="E685" t="str">
            <v>PT ADHI GUNA PUTERA (Paiton)</v>
          </cell>
          <cell r="F685" t="str">
            <v>K0136/INV-PTN/IV/2026</v>
          </cell>
          <cell r="G685" t="str">
            <v>817/OPS-V/2026</v>
          </cell>
          <cell r="H685" t="str">
            <v>Biaya Pengurusan Clearance TB Entebe Star 31 Voyage 138D</v>
          </cell>
          <cell r="I685">
            <v>19100598</v>
          </cell>
          <cell r="J685">
            <v>220000</v>
          </cell>
          <cell r="K685">
            <v>23</v>
          </cell>
          <cell r="M685">
            <v>-40000</v>
          </cell>
          <cell r="N685">
            <v>2500</v>
          </cell>
          <cell r="O685">
            <v>4000</v>
          </cell>
          <cell r="P685">
            <v>19287098</v>
          </cell>
          <cell r="Q685">
            <v>46192</v>
          </cell>
        </row>
        <row r="686">
          <cell r="B686" t="str">
            <v>035/K/VI/26</v>
          </cell>
          <cell r="C686">
            <v>46188</v>
          </cell>
          <cell r="E686" t="str">
            <v>PT ADHI GUNA PUTERA (Paiton)</v>
          </cell>
          <cell r="F686" t="str">
            <v>K0061/INV-PTN/V/2026</v>
          </cell>
          <cell r="G686" t="str">
            <v>821/OPS-V/2026</v>
          </cell>
          <cell r="H686" t="str">
            <v>Biaya Pengurusan Clearance TB Surya Segara 3</v>
          </cell>
          <cell r="I686">
            <v>12776654</v>
          </cell>
          <cell r="J686">
            <v>220000</v>
          </cell>
          <cell r="K686">
            <v>23</v>
          </cell>
          <cell r="M686">
            <v>-40000</v>
          </cell>
          <cell r="P686">
            <v>12956654</v>
          </cell>
          <cell r="Q686">
            <v>46192</v>
          </cell>
        </row>
        <row r="687">
          <cell r="B687" t="str">
            <v>036/K/VI/26</v>
          </cell>
          <cell r="C687">
            <v>46188</v>
          </cell>
          <cell r="D687" t="str">
            <v>26042QA7F</v>
          </cell>
          <cell r="E687" t="str">
            <v>PT ANDALAN LANCAR NIAGA</v>
          </cell>
          <cell r="F687" t="str">
            <v>00080/ALN-INV/IV/2026</v>
          </cell>
          <cell r="G687" t="str">
            <v>273/PV-MAR/2026</v>
          </cell>
          <cell r="H687" t="str">
            <v>Biaya Freight Charter TB Michelle IX / BG Benami IX ( Jetty SDJ - PLTU IPP Jawa 9-10 )</v>
          </cell>
          <cell r="I687">
            <v>893795838</v>
          </cell>
          <cell r="K687">
            <v>15</v>
          </cell>
          <cell r="M687">
            <v>-10725550.056</v>
          </cell>
          <cell r="N687">
            <v>15000</v>
          </cell>
          <cell r="P687">
            <v>883085287.94400001</v>
          </cell>
          <cell r="Q687">
            <v>46192</v>
          </cell>
        </row>
        <row r="688">
          <cell r="B688" t="str">
            <v>037/K/VI/26</v>
          </cell>
          <cell r="C688">
            <v>46188</v>
          </cell>
          <cell r="E688" t="str">
            <v>PT KRAKATAU SAMUDRA SOLUSI</v>
          </cell>
          <cell r="F688" t="str">
            <v>KSS.SI.260377</v>
          </cell>
          <cell r="G688" t="str">
            <v>274/PV-MAR/2026</v>
          </cell>
          <cell r="H688" t="str">
            <v>Biaya Freight Charter TB Satria Samudera 13 / B Orca 3002 28 ( Jetty BAT - Jetty PT Kawasan Industri Dumai ) ( Pay I )</v>
          </cell>
          <cell r="I688">
            <v>500000000</v>
          </cell>
          <cell r="K688">
            <v>0</v>
          </cell>
          <cell r="M688">
            <v>0</v>
          </cell>
          <cell r="P688">
            <v>500000000</v>
          </cell>
          <cell r="Q688">
            <v>46192</v>
          </cell>
        </row>
        <row r="689">
          <cell r="B689" t="str">
            <v>038/K/VI/26</v>
          </cell>
          <cell r="C689">
            <v>46189</v>
          </cell>
          <cell r="E689" t="str">
            <v>JAYA KESUMA</v>
          </cell>
          <cell r="G689" t="str">
            <v>275/PV-MAR/2026</v>
          </cell>
          <cell r="H689" t="str">
            <v>Gaji crew Entebe Star 31 / Finacia 71 periode Mid Juni 2026 - Deduct advance Pak Hendy</v>
          </cell>
          <cell r="I689">
            <v>5600000</v>
          </cell>
          <cell r="K689">
            <v>0</v>
          </cell>
          <cell r="M689">
            <v>0</v>
          </cell>
          <cell r="N689">
            <v>2500</v>
          </cell>
          <cell r="P689">
            <v>5602500</v>
          </cell>
          <cell r="Q689">
            <v>46192</v>
          </cell>
        </row>
        <row r="690">
          <cell r="B690" t="str">
            <v>038/K/VI/26</v>
          </cell>
          <cell r="C690">
            <v>46189</v>
          </cell>
          <cell r="E690" t="str">
            <v>JAYA KESUMA</v>
          </cell>
          <cell r="G690" t="str">
            <v>275/PV-MAR/2026</v>
          </cell>
          <cell r="H690" t="str">
            <v>Advance Pak Hendy</v>
          </cell>
          <cell r="I690">
            <v>-1000000</v>
          </cell>
          <cell r="K690">
            <v>0</v>
          </cell>
          <cell r="M690">
            <v>0</v>
          </cell>
          <cell r="P690">
            <v>-1000000</v>
          </cell>
          <cell r="Q690">
            <v>46192</v>
          </cell>
        </row>
        <row r="691">
          <cell r="B691" t="str">
            <v>039/K/VI/26</v>
          </cell>
          <cell r="C691">
            <v>46190</v>
          </cell>
          <cell r="E691" t="str">
            <v>HENDRA SURYANA</v>
          </cell>
          <cell r="G691" t="str">
            <v>276/PV-MAR/2026</v>
          </cell>
          <cell r="H691" t="str">
            <v>Biaya operasional bongkar muat di Talenta - April 2026</v>
          </cell>
          <cell r="I691">
            <v>59500000</v>
          </cell>
          <cell r="K691">
            <v>0</v>
          </cell>
          <cell r="M691">
            <v>0</v>
          </cell>
          <cell r="N691">
            <v>2900</v>
          </cell>
          <cell r="P691">
            <v>59502900</v>
          </cell>
          <cell r="Q691">
            <v>46192</v>
          </cell>
        </row>
        <row r="692">
          <cell r="B692" t="str">
            <v>040/K/VI/26</v>
          </cell>
          <cell r="C692">
            <v>46190</v>
          </cell>
          <cell r="E692" t="str">
            <v>SANTI SARI</v>
          </cell>
          <cell r="G692" t="str">
            <v>277/PV-MAR/2026</v>
          </cell>
          <cell r="H692" t="str">
            <v>Biaya operasional bongkar muat di Talenta - April 2026</v>
          </cell>
          <cell r="I692">
            <v>85000000</v>
          </cell>
          <cell r="K692">
            <v>0</v>
          </cell>
          <cell r="M692">
            <v>0</v>
          </cell>
          <cell r="N692">
            <v>2500</v>
          </cell>
          <cell r="P692">
            <v>85002500</v>
          </cell>
          <cell r="Q692">
            <v>46192</v>
          </cell>
        </row>
        <row r="693">
          <cell r="B693" t="str">
            <v>041/K/VI/26</v>
          </cell>
          <cell r="C693">
            <v>46190</v>
          </cell>
          <cell r="E693" t="str">
            <v>MAS NUROH YUSUF</v>
          </cell>
          <cell r="G693" t="str">
            <v>278/PV-MAR/2026</v>
          </cell>
          <cell r="H693" t="str">
            <v>Biaya operasional bongkar muat di PLTU Lontar - April 2026</v>
          </cell>
          <cell r="I693">
            <v>111520000</v>
          </cell>
          <cell r="K693">
            <v>0</v>
          </cell>
          <cell r="M693">
            <v>0</v>
          </cell>
          <cell r="P693">
            <v>111520000</v>
          </cell>
          <cell r="Q693">
            <v>46192</v>
          </cell>
        </row>
        <row r="694">
          <cell r="B694" t="str">
            <v>042/K/VI/26</v>
          </cell>
          <cell r="C694">
            <v>46190</v>
          </cell>
          <cell r="E694" t="str">
            <v>PT Adhi Guna Putera (Banten)</v>
          </cell>
          <cell r="F694" t="str">
            <v>216/INV-ASS/LTR/IV/2026</v>
          </cell>
          <cell r="G694" t="str">
            <v>818/OPS-V/2026</v>
          </cell>
          <cell r="H694" t="str">
            <v>Assist Tug TB Michelle XV Voyage 146D</v>
          </cell>
          <cell r="I694">
            <v>20727516</v>
          </cell>
          <cell r="K694">
            <v>23</v>
          </cell>
          <cell r="M694">
            <v>-414550.32</v>
          </cell>
          <cell r="N694">
            <v>2500</v>
          </cell>
          <cell r="P694">
            <v>20315465.68</v>
          </cell>
          <cell r="Q694">
            <v>46192</v>
          </cell>
        </row>
        <row r="695">
          <cell r="B695" t="str">
            <v>043/K/VI/26</v>
          </cell>
          <cell r="C695">
            <v>46191</v>
          </cell>
          <cell r="E695" t="str">
            <v>DKM MASJID AL FATTAH Cibinong</v>
          </cell>
          <cell r="F695" t="str">
            <v>001/DKMAF/PHBI/MO/VI/2026</v>
          </cell>
          <cell r="G695" t="str">
            <v>280/PV-MAR/2026</v>
          </cell>
          <cell r="H695" t="str">
            <v xml:space="preserve">Donasi Acara Tahun Baru Hijriah Masjid Al Fattaah </v>
          </cell>
          <cell r="I695">
            <v>3000000</v>
          </cell>
          <cell r="K695">
            <v>0</v>
          </cell>
          <cell r="M695">
            <v>0</v>
          </cell>
          <cell r="N695">
            <v>2500</v>
          </cell>
          <cell r="P695">
            <v>3002500</v>
          </cell>
          <cell r="Q695">
            <v>46203</v>
          </cell>
        </row>
        <row r="696">
          <cell r="B696" t="str">
            <v>044/K/VI/26</v>
          </cell>
          <cell r="C696">
            <v>46191</v>
          </cell>
          <cell r="E696" t="str">
            <v>DIREKSI DAN STAFF</v>
          </cell>
          <cell r="G696" t="str">
            <v>281/PV-MAR/2026</v>
          </cell>
          <cell r="H696" t="str">
            <v xml:space="preserve">Gaji Direksi dan staff periode Juni 2026 </v>
          </cell>
          <cell r="I696">
            <v>139363874</v>
          </cell>
          <cell r="K696">
            <v>0</v>
          </cell>
          <cell r="M696">
            <v>0</v>
          </cell>
          <cell r="P696">
            <v>139363874</v>
          </cell>
          <cell r="Q696">
            <v>46203</v>
          </cell>
        </row>
        <row r="697">
          <cell r="B697" t="str">
            <v>045/K/VI/26</v>
          </cell>
          <cell r="C697">
            <v>46191</v>
          </cell>
          <cell r="E697" t="str">
            <v>PT KRAKATAU SAMUDRA SOLUSI</v>
          </cell>
          <cell r="F697" t="str">
            <v>KSS.SI.260377</v>
          </cell>
          <cell r="G697" t="str">
            <v>282/PV-MAR/2026</v>
          </cell>
          <cell r="H697" t="str">
            <v xml:space="preserve">Biaya Freight Charter TB Satia Samudera 13 / BG Orca 3002 28 </v>
          </cell>
          <cell r="I697">
            <v>500000000</v>
          </cell>
          <cell r="K697">
            <v>0</v>
          </cell>
          <cell r="M697">
            <v>0</v>
          </cell>
          <cell r="P697">
            <v>500000000</v>
          </cell>
          <cell r="Q697">
            <v>46203</v>
          </cell>
        </row>
        <row r="698">
          <cell r="B698" t="str">
            <v>046/K/VI/26</v>
          </cell>
          <cell r="C698">
            <v>46191</v>
          </cell>
          <cell r="E698" t="str">
            <v>PT MARITIME POWER</v>
          </cell>
          <cell r="F698" t="str">
            <v>156/MP-MAR/V/2026</v>
          </cell>
          <cell r="G698" t="str">
            <v>283/PV-MAR/2026</v>
          </cell>
          <cell r="H698" t="str">
            <v>Biaya Freight Charter TB Trimitra 221 / BG Trimitra 302</v>
          </cell>
          <cell r="I698">
            <v>560882290</v>
          </cell>
          <cell r="K698">
            <v>0</v>
          </cell>
          <cell r="M698">
            <v>0</v>
          </cell>
          <cell r="N698">
            <v>15000</v>
          </cell>
          <cell r="P698">
            <v>560897290</v>
          </cell>
          <cell r="Q698">
            <v>46203</v>
          </cell>
        </row>
        <row r="699">
          <cell r="B699" t="str">
            <v>047/K/VI/26</v>
          </cell>
          <cell r="C699">
            <v>46191</v>
          </cell>
          <cell r="E699" t="str">
            <v>DIRJEN PAJAK</v>
          </cell>
          <cell r="G699" t="str">
            <v>284/PV-MAR/2026</v>
          </cell>
          <cell r="H699" t="str">
            <v>STP Bunga PPN periode Desember 2025</v>
          </cell>
          <cell r="I699">
            <v>11379455</v>
          </cell>
          <cell r="K699">
            <v>0</v>
          </cell>
          <cell r="M699">
            <v>0</v>
          </cell>
          <cell r="P699">
            <v>11379455</v>
          </cell>
          <cell r="Q699">
            <v>46203</v>
          </cell>
        </row>
        <row r="700">
          <cell r="B700" t="str">
            <v>048/K/VI/26</v>
          </cell>
          <cell r="C700">
            <v>46191</v>
          </cell>
          <cell r="E700" t="str">
            <v>PT MARITIM INDO RAYA</v>
          </cell>
          <cell r="F700" t="str">
            <v>076/PRO/MIR-MAR/VI/2026</v>
          </cell>
          <cell r="G700" t="str">
            <v>859/OPS-VI/2026</v>
          </cell>
          <cell r="H700" t="str">
            <v>DP 80% Operasional TB APL 7 - BG BAIDURI 70273</v>
          </cell>
          <cell r="I700">
            <v>72752000</v>
          </cell>
          <cell r="K700">
            <v>0</v>
          </cell>
          <cell r="M700">
            <v>0</v>
          </cell>
          <cell r="P700">
            <v>72752000</v>
          </cell>
          <cell r="Q700">
            <v>46203</v>
          </cell>
        </row>
        <row r="701">
          <cell r="B701" t="str">
            <v>049/K/VI/26</v>
          </cell>
          <cell r="C701">
            <v>46191</v>
          </cell>
          <cell r="E701" t="str">
            <v>PT HOKARI LINEX PRATAMA</v>
          </cell>
          <cell r="F701" t="str">
            <v>022/INV/HLP-SMG/V/2026</v>
          </cell>
          <cell r="G701" t="str">
            <v>833/OPS-V/2026</v>
          </cell>
          <cell r="H701" t="str">
            <v>Biosolar TB Abhiprama 107 Voyage 157L</v>
          </cell>
          <cell r="I701">
            <v>1025856010</v>
          </cell>
          <cell r="J701">
            <v>112844161</v>
          </cell>
          <cell r="K701">
            <v>0</v>
          </cell>
          <cell r="M701">
            <v>0</v>
          </cell>
          <cell r="O701">
            <v>-171</v>
          </cell>
          <cell r="P701">
            <v>1138700000</v>
          </cell>
          <cell r="Q701">
            <v>46203</v>
          </cell>
        </row>
        <row r="702">
          <cell r="B702" t="str">
            <v>050/K/VI/26</v>
          </cell>
          <cell r="C702">
            <v>46191</v>
          </cell>
          <cell r="E702" t="str">
            <v>PT HOKARI LINEX PRATAMA</v>
          </cell>
          <cell r="F702" t="str">
            <v>021/INV/HLP-SMG/V/2026</v>
          </cell>
          <cell r="G702" t="str">
            <v>832/OPS-V/2026</v>
          </cell>
          <cell r="H702" t="str">
            <v>Biosolar TB Michelle 219-08</v>
          </cell>
          <cell r="I702">
            <v>1008468452</v>
          </cell>
          <cell r="J702">
            <v>110931530</v>
          </cell>
          <cell r="K702">
            <v>0</v>
          </cell>
          <cell r="M702">
            <v>0</v>
          </cell>
          <cell r="O702">
            <v>18</v>
          </cell>
          <cell r="P702">
            <v>1119400000</v>
          </cell>
          <cell r="Q702">
            <v>46203</v>
          </cell>
        </row>
        <row r="703">
          <cell r="B703" t="str">
            <v>051/K/VI/26</v>
          </cell>
          <cell r="C703">
            <v>46193</v>
          </cell>
          <cell r="E703" t="str">
            <v>BPJS KETENAGAKERJAAN staff</v>
          </cell>
          <cell r="G703" t="str">
            <v>285/PV-MAR/2026</v>
          </cell>
          <cell r="H703" t="str">
            <v>BPJS Ketenagakerjaan staff periode Juni 2026</v>
          </cell>
          <cell r="I703">
            <v>10811736</v>
          </cell>
          <cell r="K703">
            <v>0</v>
          </cell>
          <cell r="M703">
            <v>0</v>
          </cell>
          <cell r="P703">
            <v>10811736</v>
          </cell>
          <cell r="Q703">
            <v>46203</v>
          </cell>
        </row>
        <row r="704">
          <cell r="B704" t="str">
            <v>052/K/VI/26</v>
          </cell>
          <cell r="C704">
            <v>46193</v>
          </cell>
          <cell r="E704" t="str">
            <v>BPJS KESEHATAN</v>
          </cell>
          <cell r="G704" t="str">
            <v>286/PV-MAR/2026</v>
          </cell>
          <cell r="H704" t="str">
            <v>BPJS Kesehatan crew ES30 dan staff periode Juni 2026</v>
          </cell>
          <cell r="I704">
            <v>7543964</v>
          </cell>
          <cell r="K704">
            <v>0</v>
          </cell>
          <cell r="M704">
            <v>0</v>
          </cell>
          <cell r="P704">
            <v>7543964</v>
          </cell>
          <cell r="Q704">
            <v>46203</v>
          </cell>
        </row>
        <row r="705">
          <cell r="B705" t="str">
            <v>053/K/VI/26</v>
          </cell>
          <cell r="C705">
            <v>46193</v>
          </cell>
          <cell r="E705" t="str">
            <v>BPJS KETENAGAKERJAAN crew</v>
          </cell>
          <cell r="G705" t="str">
            <v>287/PV-MAR/2026</v>
          </cell>
          <cell r="H705" t="str">
            <v>BPJS Ketenagakerjaan crew kapal Entebe Star 30 periode Juni 2026</v>
          </cell>
          <cell r="I705">
            <v>1531850</v>
          </cell>
          <cell r="K705">
            <v>0</v>
          </cell>
          <cell r="M705">
            <v>0</v>
          </cell>
          <cell r="P705">
            <v>1531850</v>
          </cell>
          <cell r="Q705">
            <v>46203</v>
          </cell>
        </row>
        <row r="706">
          <cell r="B706" t="str">
            <v>054/K/VI/26</v>
          </cell>
          <cell r="C706">
            <v>46193</v>
          </cell>
          <cell r="E706" t="str">
            <v>PT SURYA BANJAR UTAMA</v>
          </cell>
          <cell r="F706" t="str">
            <v>INV-SBU.279/V.2026</v>
          </cell>
          <cell r="G706" t="str">
            <v>852/OPS-VI/2026</v>
          </cell>
          <cell r="H706" t="str">
            <v xml:space="preserve">Filter Sakura TB Surya Segara 3 </v>
          </cell>
          <cell r="I706">
            <v>12301020</v>
          </cell>
          <cell r="K706">
            <v>0</v>
          </cell>
          <cell r="M706">
            <v>0</v>
          </cell>
          <cell r="N706">
            <v>2500</v>
          </cell>
          <cell r="P706">
            <v>12303520</v>
          </cell>
          <cell r="Q706" t="str">
            <v>1 Juli 2026</v>
          </cell>
        </row>
        <row r="707">
          <cell r="B707" t="str">
            <v>055/K/VI/26</v>
          </cell>
          <cell r="C707">
            <v>46193</v>
          </cell>
          <cell r="E707" t="str">
            <v>CELVITA TRIATUSTI</v>
          </cell>
          <cell r="F707" t="str">
            <v>30/SPT/VI/2026</v>
          </cell>
          <cell r="G707" t="str">
            <v>851/OPS-VI/2026</v>
          </cell>
          <cell r="H707" t="str">
            <v>Biaya Keagenan Lumpsum TB Entebe Star 30 Voyage 159-L</v>
          </cell>
          <cell r="I707">
            <v>69349500</v>
          </cell>
          <cell r="K707">
            <v>0</v>
          </cell>
          <cell r="M707">
            <v>-450000</v>
          </cell>
          <cell r="P707">
            <v>68899500</v>
          </cell>
          <cell r="Q707" t="str">
            <v>1 Juli 2026</v>
          </cell>
        </row>
        <row r="708">
          <cell r="B708" t="str">
            <v>056/K/VI/26</v>
          </cell>
          <cell r="C708">
            <v>46193</v>
          </cell>
          <cell r="E708" t="str">
            <v>PT SHINTA INSERVE</v>
          </cell>
          <cell r="F708" t="str">
            <v>SI-DBN:2026/06/022782</v>
          </cell>
          <cell r="G708" t="str">
            <v>876/OPS-VI/2026</v>
          </cell>
          <cell r="H708" t="str">
            <v>Premium TB Entebe Star 30 Voyage 159-LD</v>
          </cell>
          <cell r="I708">
            <v>12245000</v>
          </cell>
          <cell r="K708">
            <v>0</v>
          </cell>
          <cell r="M708">
            <v>0</v>
          </cell>
          <cell r="N708">
            <v>2500</v>
          </cell>
          <cell r="P708">
            <v>12247500</v>
          </cell>
          <cell r="Q708" t="str">
            <v>1 Juli 2026</v>
          </cell>
        </row>
        <row r="709">
          <cell r="B709" t="str">
            <v>057/K/VI/26</v>
          </cell>
          <cell r="C709">
            <v>46193</v>
          </cell>
          <cell r="E709" t="str">
            <v>PT AZAZ SHIPS SERVICES</v>
          </cell>
          <cell r="F709" t="str">
            <v>001/ASS-MAR/IV/2026</v>
          </cell>
          <cell r="G709" t="str">
            <v>853/OPS-VI/2026</v>
          </cell>
          <cell r="H709" t="str">
            <v>Jasa Keagenan TB Entebe Star / BG Finacia 71</v>
          </cell>
          <cell r="I709">
            <v>8144386</v>
          </cell>
          <cell r="J709">
            <v>1677500</v>
          </cell>
          <cell r="K709">
            <v>0</v>
          </cell>
          <cell r="M709">
            <v>-50000</v>
          </cell>
          <cell r="P709">
            <v>9771886</v>
          </cell>
          <cell r="Q709" t="str">
            <v>1 Juli 2026</v>
          </cell>
        </row>
        <row r="710">
          <cell r="B710" t="str">
            <v>057/K/VI/26</v>
          </cell>
          <cell r="C710">
            <v>46193</v>
          </cell>
          <cell r="E710" t="str">
            <v>PT AZAZ SHIPS SERVICES</v>
          </cell>
          <cell r="F710" t="str">
            <v>002/ASS-MAR/IV/2026</v>
          </cell>
          <cell r="G710" t="str">
            <v>854/OPS-VI/2026</v>
          </cell>
          <cell r="H710" t="str">
            <v>Jasa Keagenan TB Entebe Star 30 Voyage 147-L</v>
          </cell>
          <cell r="I710">
            <v>32437600</v>
          </cell>
          <cell r="J710">
            <v>3547500</v>
          </cell>
          <cell r="K710">
            <v>0</v>
          </cell>
          <cell r="M710">
            <v>-50000</v>
          </cell>
          <cell r="P710">
            <v>35935100</v>
          </cell>
          <cell r="Q710" t="str">
            <v>1 Juli 2026</v>
          </cell>
        </row>
        <row r="711">
          <cell r="B711" t="str">
            <v>059/K/VI/26</v>
          </cell>
          <cell r="C711">
            <v>46195</v>
          </cell>
          <cell r="E711" t="str">
            <v>WINGKARNO</v>
          </cell>
          <cell r="F711" t="str">
            <v>36/INV/VI/2026</v>
          </cell>
          <cell r="G711" t="str">
            <v>884/OPS-VI/2026</v>
          </cell>
          <cell r="H711" t="str">
            <v>Jasa Cleaning Kapal TB Entebe Star 30 / BG Finacia 71 Voyage 159-D</v>
          </cell>
          <cell r="I711">
            <v>20000000</v>
          </cell>
          <cell r="K711">
            <v>0</v>
          </cell>
          <cell r="M711">
            <v>-500000</v>
          </cell>
          <cell r="N711">
            <v>2500</v>
          </cell>
          <cell r="P711">
            <v>19502500</v>
          </cell>
          <cell r="Q711" t="str">
            <v>2 Juli 2026</v>
          </cell>
        </row>
        <row r="712">
          <cell r="B712" t="str">
            <v>060/K/VI/26</v>
          </cell>
          <cell r="C712">
            <v>46202</v>
          </cell>
          <cell r="E712" t="str">
            <v>CV CAHAYA ABADI</v>
          </cell>
          <cell r="F712" t="str">
            <v>000229</v>
          </cell>
          <cell r="G712" t="str">
            <v>863/OPS-VI/2026</v>
          </cell>
          <cell r="H712" t="str">
            <v>Pelunasan Terpal plastik cap RAJAWALI TB Michelle 219-08</v>
          </cell>
          <cell r="I712">
            <v>20025000</v>
          </cell>
          <cell r="J712">
            <v>4950000</v>
          </cell>
          <cell r="K712">
            <v>0</v>
          </cell>
          <cell r="M712">
            <v>0</v>
          </cell>
          <cell r="N712">
            <v>2500</v>
          </cell>
          <cell r="P712">
            <v>24977500</v>
          </cell>
          <cell r="Q712" t="str">
            <v>2 Juli 2026</v>
          </cell>
        </row>
        <row r="713">
          <cell r="B713" t="str">
            <v>061/K/VI/26</v>
          </cell>
          <cell r="C713">
            <v>46202</v>
          </cell>
          <cell r="E713" t="str">
            <v>YAYASAN BINA SARANA INFORMATIKA</v>
          </cell>
          <cell r="F713" t="str">
            <v>151.02/Y-BSI/V/2026</v>
          </cell>
          <cell r="G713" t="str">
            <v>288/PV-MAR/2026</v>
          </cell>
          <cell r="H713" t="str">
            <v>Listrik 15 April 2026 - 18 Mei 2026 Lt. 3 Zona B &amp;C</v>
          </cell>
          <cell r="I713">
            <v>6340650</v>
          </cell>
          <cell r="K713">
            <v>0</v>
          </cell>
          <cell r="M713">
            <v>0</v>
          </cell>
          <cell r="N713">
            <v>2500</v>
          </cell>
          <cell r="P713">
            <v>6343150</v>
          </cell>
          <cell r="Q713" t="str">
            <v>2 Juli 2026</v>
          </cell>
        </row>
        <row r="714">
          <cell r="B714" t="str">
            <v>062/K/VI/26</v>
          </cell>
          <cell r="C714">
            <v>46202</v>
          </cell>
          <cell r="E714" t="str">
            <v>PT ANDALAN LANCAR NIAGA</v>
          </cell>
          <cell r="F714" t="str">
            <v>00076/ALN-INV/IV/2026</v>
          </cell>
          <cell r="G714" t="str">
            <v>290/PV-MAR/2026</v>
          </cell>
          <cell r="H714" t="str">
            <v>Freight Charter TB Michelle VI / BG Benami VI</v>
          </cell>
          <cell r="I714">
            <v>996215352</v>
          </cell>
          <cell r="K714">
            <v>0</v>
          </cell>
          <cell r="M714">
            <v>-11954584</v>
          </cell>
          <cell r="N714">
            <v>15000</v>
          </cell>
          <cell r="P714">
            <v>984275768</v>
          </cell>
          <cell r="Q714" t="str">
            <v>2 Juli 2026</v>
          </cell>
        </row>
        <row r="715">
          <cell r="B715" t="str">
            <v>063/K/VI/26</v>
          </cell>
          <cell r="C715">
            <v>46202</v>
          </cell>
          <cell r="E715" t="str">
            <v>PT PELNAS GANDASARI SHIPPING LINE</v>
          </cell>
          <cell r="F715" t="str">
            <v>SI.2026.05.00043REV</v>
          </cell>
          <cell r="G715" t="str">
            <v>292/PV-MAR/2026</v>
          </cell>
          <cell r="H715" t="str">
            <v>Freight TB Syafira Three / BG Gandasari 3009 (Jetty Patratani - PLTU Paiton)</v>
          </cell>
          <cell r="I715">
            <v>1476051570</v>
          </cell>
          <cell r="K715">
            <v>0</v>
          </cell>
          <cell r="M715">
            <v>-17712619</v>
          </cell>
          <cell r="P715">
            <v>1458338951</v>
          </cell>
          <cell r="Q715" t="str">
            <v>2 Juli 2026</v>
          </cell>
        </row>
        <row r="716">
          <cell r="B716" t="str">
            <v>119/MKLS-INV/VI/2026</v>
          </cell>
          <cell r="C716">
            <v>46202</v>
          </cell>
          <cell r="E716" t="str">
            <v>PT DINASTI SAMUDERA ABADI</v>
          </cell>
          <cell r="F716" t="str">
            <v>20/INV-TK/MAR-DSA/VI/26</v>
          </cell>
          <cell r="G716" t="str">
            <v>293/PV-MAR/2026</v>
          </cell>
          <cell r="H716" t="str">
            <v>Freight Charter TB Emperor 3 / BG Dinasti 3003 (Jetty Patratani - PLTU Paiton)</v>
          </cell>
          <cell r="I716">
            <v>1284864768</v>
          </cell>
          <cell r="K716">
            <v>0</v>
          </cell>
          <cell r="M716">
            <v>-15418377</v>
          </cell>
          <cell r="N716">
            <v>15000</v>
          </cell>
          <cell r="O716">
            <v>-220000000</v>
          </cell>
          <cell r="P716">
            <v>1049461391</v>
          </cell>
          <cell r="Q716" t="str">
            <v>2 Juli 2026</v>
          </cell>
        </row>
        <row r="717">
          <cell r="B717" t="str">
            <v>065/K/VI/26</v>
          </cell>
          <cell r="C717">
            <v>46202</v>
          </cell>
          <cell r="E717" t="str">
            <v>ENGGARINGTYAS DONYA WICAHYO LISWARI</v>
          </cell>
          <cell r="F717" t="str">
            <v>014/DW/INV/VI/2026</v>
          </cell>
          <cell r="G717" t="str">
            <v>890/0PS-VI/2026</v>
          </cell>
          <cell r="H717" t="str">
            <v>DP Palet Kayu TB Entebe Star 30</v>
          </cell>
          <cell r="I717">
            <v>50000000</v>
          </cell>
          <cell r="K717">
            <v>0</v>
          </cell>
          <cell r="M717">
            <v>0</v>
          </cell>
          <cell r="N717">
            <v>2500</v>
          </cell>
          <cell r="P717">
            <v>50002500</v>
          </cell>
          <cell r="Q717" t="str">
            <v>2 Juli 2026</v>
          </cell>
        </row>
        <row r="718">
          <cell r="B718" t="str">
            <v>066/K/VI/26</v>
          </cell>
          <cell r="C718">
            <v>46199</v>
          </cell>
          <cell r="E718" t="str">
            <v>PT PERSADA LINTAS ASIA</v>
          </cell>
          <cell r="F718" t="str">
            <v>0045/RI-PLA/VI/2026</v>
          </cell>
          <cell r="G718" t="str">
            <v>888/OPS-VI/2026</v>
          </cell>
          <cell r="H718" t="str">
            <v>Reimbursement Buka-Tutup Terpal TB Entebe Star 30 / BG Finacia71</v>
          </cell>
          <cell r="I718">
            <v>13700000</v>
          </cell>
          <cell r="K718">
            <v>0</v>
          </cell>
          <cell r="M718">
            <v>-400000</v>
          </cell>
          <cell r="N718">
            <v>2500</v>
          </cell>
          <cell r="O718">
            <v>400000</v>
          </cell>
          <cell r="P718">
            <v>13702500</v>
          </cell>
          <cell r="Q718" t="str">
            <v>2 Juli 2026</v>
          </cell>
        </row>
        <row r="719">
          <cell r="B719" t="str">
            <v>066/K/VI/26</v>
          </cell>
          <cell r="C719">
            <v>46199</v>
          </cell>
          <cell r="E719" t="str">
            <v>PT PERSADA LINTAS ASIA</v>
          </cell>
          <cell r="F719" t="str">
            <v>0317/INV-PLA/VI/2026</v>
          </cell>
          <cell r="G719" t="str">
            <v>886/OPS-VI/2026</v>
          </cell>
          <cell r="H719" t="str">
            <v>Jasa Fee Agency TB Entebe Star 30/ BG Finacia 71</v>
          </cell>
          <cell r="I719">
            <v>16550000</v>
          </cell>
          <cell r="J719">
            <v>1820500</v>
          </cell>
          <cell r="K719">
            <v>0</v>
          </cell>
          <cell r="M719">
            <v>0</v>
          </cell>
          <cell r="P719">
            <v>18370500</v>
          </cell>
          <cell r="Q719" t="str">
            <v>2 Juli 2026</v>
          </cell>
        </row>
        <row r="720">
          <cell r="B720" t="str">
            <v>066/K/VI/26</v>
          </cell>
          <cell r="C720">
            <v>46199</v>
          </cell>
          <cell r="E720" t="str">
            <v>PT PERSADA LINTAS ASIA</v>
          </cell>
          <cell r="F720" t="str">
            <v>0318/INV-PLA/VI/2026</v>
          </cell>
          <cell r="G720" t="str">
            <v>887/OPS-VI/2026</v>
          </cell>
          <cell r="H720" t="str">
            <v>Supply Air Tawar TB Entebe Star 30 / BG Finacia 71</v>
          </cell>
          <cell r="I720">
            <v>3600000</v>
          </cell>
          <cell r="K720">
            <v>0</v>
          </cell>
          <cell r="M720">
            <v>0</v>
          </cell>
          <cell r="P720">
            <v>3600000</v>
          </cell>
          <cell r="Q720" t="str">
            <v>2 Juli 2026</v>
          </cell>
        </row>
        <row r="721">
          <cell r="B721" t="str">
            <v>067/K/VI/26</v>
          </cell>
          <cell r="C721">
            <v>46191</v>
          </cell>
          <cell r="E721" t="str">
            <v>YONI FIRDAUS WIBOWO</v>
          </cell>
          <cell r="G721" t="str">
            <v>279/PV-MAR/2026</v>
          </cell>
          <cell r="H721" t="str">
            <v>Reimbursement Pak Yoni Periode Juni 2026</v>
          </cell>
          <cell r="I721">
            <v>1119710</v>
          </cell>
          <cell r="K721">
            <v>0</v>
          </cell>
          <cell r="P721">
            <v>1119710</v>
          </cell>
          <cell r="Q721" t="str">
            <v>06 Juli 2026</v>
          </cell>
        </row>
        <row r="722">
          <cell r="B722" t="str">
            <v>068/K/VI/26</v>
          </cell>
          <cell r="C722">
            <v>46203</v>
          </cell>
          <cell r="E722" t="str">
            <v>PT ALPHA PACIFIC LINE</v>
          </cell>
          <cell r="F722" t="str">
            <v>001/APL-F/VI/2026</v>
          </cell>
          <cell r="G722" t="str">
            <v>291/PV-MAR/2026</v>
          </cell>
          <cell r="H722" t="str">
            <v>Biaya time charter TB APL 7 / BG Baiduri 70273</v>
          </cell>
          <cell r="I722">
            <v>875000000</v>
          </cell>
          <cell r="K722">
            <v>0</v>
          </cell>
          <cell r="M722">
            <v>-10500000</v>
          </cell>
          <cell r="P722">
            <v>864500000</v>
          </cell>
          <cell r="Q722" t="str">
            <v>06 Juli 2026</v>
          </cell>
        </row>
        <row r="723">
          <cell r="B723" t="str">
            <v>069/K/VI/26</v>
          </cell>
          <cell r="C723">
            <v>46203</v>
          </cell>
          <cell r="E723" t="str">
            <v>YUDIANTO</v>
          </cell>
          <cell r="G723" t="str">
            <v>297/PV-MAR/2026</v>
          </cell>
          <cell r="H723" t="str">
            <v>Uang makan crew Surya Segara 3/Finacia 96 periode Juli 2026</v>
          </cell>
          <cell r="I723">
            <v>17050000</v>
          </cell>
          <cell r="K723">
            <v>0</v>
          </cell>
          <cell r="M723">
            <v>0</v>
          </cell>
          <cell r="P723">
            <v>17050000</v>
          </cell>
          <cell r="Q723" t="str">
            <v>06 Juli 2026</v>
          </cell>
        </row>
        <row r="724">
          <cell r="B724" t="str">
            <v>070/K/VI/26</v>
          </cell>
          <cell r="C724">
            <v>46203</v>
          </cell>
          <cell r="E724" t="str">
            <v>ANDI ARMAN</v>
          </cell>
          <cell r="G724" t="str">
            <v>299/PV-MAR/2026</v>
          </cell>
          <cell r="H724" t="str">
            <v>Uang makan crew Michelle 219-08/Angeline 219-08 periode Juli 2026</v>
          </cell>
          <cell r="I724">
            <v>17050000</v>
          </cell>
          <cell r="K724">
            <v>0</v>
          </cell>
          <cell r="M724">
            <v>0</v>
          </cell>
          <cell r="N724">
            <v>2500</v>
          </cell>
          <cell r="P724">
            <v>17052500</v>
          </cell>
          <cell r="Q724" t="str">
            <v>06 Juli 2026</v>
          </cell>
        </row>
        <row r="725">
          <cell r="B725" t="str">
            <v>071/K/VI/26</v>
          </cell>
          <cell r="C725">
            <v>46203</v>
          </cell>
          <cell r="E725" t="str">
            <v>BUDI KAHANA</v>
          </cell>
          <cell r="G725" t="str">
            <v>300/PV-MAR/2026</v>
          </cell>
          <cell r="H725" t="str">
            <v>Uang makan crew Ocean Power 21/Angeline 219-05 periode Juli 2026</v>
          </cell>
          <cell r="I725">
            <v>18150000</v>
          </cell>
          <cell r="K725">
            <v>0</v>
          </cell>
          <cell r="M725">
            <v>0</v>
          </cell>
          <cell r="P725">
            <v>18150000</v>
          </cell>
          <cell r="Q725" t="str">
            <v>06 Juli 2026</v>
          </cell>
        </row>
        <row r="726">
          <cell r="B726" t="str">
            <v>072/K/VI/26</v>
          </cell>
          <cell r="C726">
            <v>46203</v>
          </cell>
          <cell r="E726" t="str">
            <v>RM PAGI SORE - PEMUDA</v>
          </cell>
          <cell r="G726" t="str">
            <v>301/PV-MAR/2026</v>
          </cell>
          <cell r="H726" t="str">
            <v>Farewell Ardhan &amp; Irene periode magang Januari sd Juni 2026</v>
          </cell>
          <cell r="I726">
            <v>1949640</v>
          </cell>
          <cell r="K726">
            <v>0</v>
          </cell>
          <cell r="M726">
            <v>0</v>
          </cell>
          <cell r="P726">
            <v>1949640</v>
          </cell>
          <cell r="Q726" t="str">
            <v>06 Juli 2026</v>
          </cell>
        </row>
        <row r="727">
          <cell r="B727" t="str">
            <v>073/K/VI/26</v>
          </cell>
          <cell r="C727">
            <v>46202</v>
          </cell>
          <cell r="E727" t="str">
            <v>CV BERKAH LINTAS SAMUDERA</v>
          </cell>
          <cell r="F727" t="str">
            <v>1/6/bls/2026</v>
          </cell>
          <cell r="G727" t="str">
            <v>865/OPS-VI/2026</v>
          </cell>
          <cell r="H727" t="str">
            <v>Pelunasan instalasi mesin jangkar TB Michelle 219-08</v>
          </cell>
          <cell r="I727">
            <v>19000000</v>
          </cell>
          <cell r="K727">
            <v>0</v>
          </cell>
          <cell r="M727">
            <v>0</v>
          </cell>
          <cell r="N727">
            <v>2500</v>
          </cell>
          <cell r="P727">
            <v>19002500</v>
          </cell>
          <cell r="Q727" t="str">
            <v>06 Juli 2026</v>
          </cell>
        </row>
        <row r="728">
          <cell r="B728" t="str">
            <v>074/K/VI/26</v>
          </cell>
          <cell r="C728">
            <v>46196</v>
          </cell>
          <cell r="E728" t="str">
            <v>MANDIRI KARADENAN</v>
          </cell>
          <cell r="H728" t="str">
            <v>Bunga Angsuran Atas Pinjaman Limit 9.500.000 (Periode 10 Juni - 23 Juni 2026)</v>
          </cell>
          <cell r="I728">
            <v>34305555</v>
          </cell>
          <cell r="K728">
            <v>0</v>
          </cell>
          <cell r="M728">
            <v>0</v>
          </cell>
          <cell r="P728">
            <v>34305555</v>
          </cell>
          <cell r="Q728" t="str">
            <v>06 Juli 2026</v>
          </cell>
        </row>
        <row r="730">
          <cell r="B730" t="str">
            <v>001/K/VII/26</v>
          </cell>
          <cell r="C730">
            <v>46204</v>
          </cell>
          <cell r="E730" t="str">
            <v>PT CAESAR MULIA</v>
          </cell>
          <cell r="F730" t="str">
            <v>002/MAR-HSD/CM/V/26</v>
          </cell>
          <cell r="G730" t="str">
            <v>860/OPS-VI/2026</v>
          </cell>
          <cell r="H730" t="str">
            <v>Solar HSD TB Surya Segara 3 Voyage 152-D</v>
          </cell>
          <cell r="I730">
            <v>990990991</v>
          </cell>
          <cell r="J730">
            <v>109009009</v>
          </cell>
          <cell r="K730">
            <v>0</v>
          </cell>
          <cell r="M730">
            <v>0</v>
          </cell>
          <cell r="N730">
            <v>15000</v>
          </cell>
          <cell r="P730">
            <v>1100015000</v>
          </cell>
          <cell r="Q730" t="str">
            <v>06 Juli 2026</v>
          </cell>
        </row>
        <row r="731">
          <cell r="B731" t="str">
            <v>002/K/VII/26</v>
          </cell>
          <cell r="C731">
            <v>46205</v>
          </cell>
          <cell r="E731" t="str">
            <v>ANDI ARDI SAID</v>
          </cell>
          <cell r="G731" t="str">
            <v>298/PV-MAR/2026</v>
          </cell>
          <cell r="H731" t="str">
            <v>Uang makan crew Surya Segara 3/Finacia 96 periode Juli 2026</v>
          </cell>
          <cell r="I731">
            <v>17050000</v>
          </cell>
          <cell r="K731">
            <v>0</v>
          </cell>
          <cell r="M731">
            <v>0</v>
          </cell>
          <cell r="N731">
            <v>2500</v>
          </cell>
          <cell r="P731">
            <v>17052500</v>
          </cell>
          <cell r="Q731" t="str">
            <v>06 Juli 2026</v>
          </cell>
        </row>
        <row r="732">
          <cell r="B732" t="str">
            <v>003/K/VII/26</v>
          </cell>
          <cell r="C732">
            <v>46211</v>
          </cell>
          <cell r="E732" t="str">
            <v>ANTONY</v>
          </cell>
          <cell r="F732" t="str">
            <v>RFQ/DTE/VI/2588</v>
          </cell>
          <cell r="G732" t="str">
            <v>862/OPS-VI/2026</v>
          </cell>
          <cell r="H732" t="str">
            <v>Nozzle TB Surya Segara 3</v>
          </cell>
          <cell r="I732">
            <v>14910000</v>
          </cell>
          <cell r="N732">
            <v>2500</v>
          </cell>
          <cell r="P732">
            <v>14912500</v>
          </cell>
          <cell r="Q732" t="str">
            <v>10 Juli 2026</v>
          </cell>
        </row>
        <row r="733">
          <cell r="B733" t="str">
            <v>004/K/VII/26</v>
          </cell>
          <cell r="C733">
            <v>46211</v>
          </cell>
          <cell r="E733" t="str">
            <v>PT SINARMAS LDA USAHA PELABUHAN</v>
          </cell>
          <cell r="F733" t="str">
            <v>C126-03708</v>
          </cell>
          <cell r="G733" t="str">
            <v>877/OPS-VI/2026</v>
          </cell>
          <cell r="H733" t="str">
            <v>Assist &amp; pilotage TB Michelle 219-08 / BG Angeline 219-08 Voy. 155 D</v>
          </cell>
          <cell r="I733">
            <v>21459438</v>
          </cell>
          <cell r="M733">
            <v>-429189</v>
          </cell>
          <cell r="N733">
            <v>2500</v>
          </cell>
          <cell r="P733">
            <v>21032749</v>
          </cell>
          <cell r="Q733" t="str">
            <v>10 Juli 2026</v>
          </cell>
        </row>
        <row r="734">
          <cell r="B734" t="str">
            <v>005/K/VII/26</v>
          </cell>
          <cell r="C734">
            <v>46204</v>
          </cell>
          <cell r="E734" t="str">
            <v>PT CAKRAWALA NUSA BAHARI</v>
          </cell>
          <cell r="F734" t="str">
            <v>INV/26/03/001785</v>
          </cell>
          <cell r="G734" t="str">
            <v>289PV-MAR/2026</v>
          </cell>
          <cell r="H734" t="str">
            <v>Freight charter TB Nusa XXVIII 2024 / BG Cakrawala XXXVI 2024 (Jetty Talenta Bumi - PLTU Lontar)</v>
          </cell>
          <cell r="I734">
            <v>1085302440</v>
          </cell>
          <cell r="K734">
            <v>0</v>
          </cell>
          <cell r="M734">
            <v>-13023629</v>
          </cell>
          <cell r="P734">
            <v>1072278811</v>
          </cell>
          <cell r="Q734" t="str">
            <v>06 Juli 2026</v>
          </cell>
        </row>
        <row r="735">
          <cell r="B735" t="str">
            <v>005/K/VII/26</v>
          </cell>
          <cell r="C735">
            <v>46204</v>
          </cell>
          <cell r="E735" t="str">
            <v>PT CAKRAWALA NUSA BAHARI</v>
          </cell>
          <cell r="F735" t="str">
            <v>INV/26/05/001865</v>
          </cell>
          <cell r="G735" t="str">
            <v>289PV-MAR/2026</v>
          </cell>
          <cell r="H735" t="str">
            <v>Freight charter TB Nusa XXVIII 2024 / BG Cakrawala XXXVI 2024 (Jetty Sriwijaya - MV Alisios)</v>
          </cell>
          <cell r="I735">
            <v>410187550</v>
          </cell>
          <cell r="K735">
            <v>0</v>
          </cell>
          <cell r="M735">
            <v>-4922251</v>
          </cell>
          <cell r="P735">
            <v>405265299</v>
          </cell>
          <cell r="Q735" t="str">
            <v>06 Juli 2026</v>
          </cell>
        </row>
        <row r="736">
          <cell r="B736" t="str">
            <v>005/K/VII/26</v>
          </cell>
          <cell r="C736">
            <v>46204</v>
          </cell>
          <cell r="E736" t="str">
            <v>PT CAKRAWALA NUSA BAHARI</v>
          </cell>
          <cell r="F736" t="str">
            <v>INV/26/02/001751</v>
          </cell>
          <cell r="G736" t="str">
            <v>289PV-MAR/2026</v>
          </cell>
          <cell r="H736" t="str">
            <v>Freight charter TB Nusa XXVIII 2024 / BG Cakrawala XXXVI 2024 (Jetty SBL - MV Star Lapis)</v>
          </cell>
          <cell r="I736">
            <v>401885505</v>
          </cell>
          <cell r="K736">
            <v>0</v>
          </cell>
          <cell r="M736">
            <v>-4822626</v>
          </cell>
          <cell r="P736">
            <v>397062879</v>
          </cell>
          <cell r="Q736" t="str">
            <v>06 Juli 2026</v>
          </cell>
        </row>
        <row r="737">
          <cell r="B737" t="str">
            <v>005/K/VII/26</v>
          </cell>
          <cell r="C737">
            <v>46204</v>
          </cell>
          <cell r="E737" t="str">
            <v>PT CAKRAWALA NUSA BAHARI</v>
          </cell>
          <cell r="F737" t="str">
            <v>406/MAR-CNB/II/2026</v>
          </cell>
          <cell r="G737" t="str">
            <v>289PV-MAR/2026</v>
          </cell>
          <cell r="H737" t="str">
            <v>Freight charter TB Mahakarya II / BG MKLS 3001</v>
          </cell>
          <cell r="I737">
            <v>-1687252680</v>
          </cell>
          <cell r="K737">
            <v>0</v>
          </cell>
          <cell r="M737">
            <v>0</v>
          </cell>
          <cell r="P737">
            <v>-1687252680</v>
          </cell>
          <cell r="Q737" t="str">
            <v>06 Juli 2026</v>
          </cell>
        </row>
        <row r="738">
          <cell r="B738" t="str">
            <v>006/K/VII/26</v>
          </cell>
          <cell r="C738">
            <v>46204</v>
          </cell>
          <cell r="E738" t="str">
            <v>CREW ENTEBE STAR 30 / FINACIA 71</v>
          </cell>
          <cell r="G738" t="str">
            <v>294/PV-MAR/2026</v>
          </cell>
          <cell r="H738" t="str">
            <v>Gaji crew Entebe Star 30/Financia 71 periode Juni 2026</v>
          </cell>
          <cell r="I738">
            <v>68500000</v>
          </cell>
          <cell r="K738">
            <v>0</v>
          </cell>
          <cell r="M738">
            <v>0</v>
          </cell>
          <cell r="N738">
            <v>26000</v>
          </cell>
          <cell r="P738">
            <v>68526000</v>
          </cell>
          <cell r="Q738" t="str">
            <v>06 Juli 2026</v>
          </cell>
        </row>
        <row r="739">
          <cell r="B739" t="str">
            <v>007/K/VII/26</v>
          </cell>
          <cell r="C739">
            <v>46204</v>
          </cell>
          <cell r="E739" t="str">
            <v>CREW SURYA SEGARA 3 / FINACIA 96</v>
          </cell>
          <cell r="G739" t="str">
            <v>295/PV-MAR/2026</v>
          </cell>
          <cell r="H739" t="str">
            <v>Gaji crew Surya Segara 3/Financia 96 periode Juni 2026</v>
          </cell>
          <cell r="I739">
            <v>69200000</v>
          </cell>
          <cell r="K739">
            <v>0</v>
          </cell>
          <cell r="M739">
            <v>0</v>
          </cell>
          <cell r="N739">
            <v>39000</v>
          </cell>
          <cell r="P739">
            <v>69239000</v>
          </cell>
          <cell r="Q739" t="str">
            <v>06 Juli 2026</v>
          </cell>
        </row>
        <row r="740">
          <cell r="B740" t="str">
            <v>008/K/VII/26</v>
          </cell>
          <cell r="C740">
            <v>46204</v>
          </cell>
          <cell r="E740" t="str">
            <v>CREW MICHELLE 219-08 / ANGELINE 219-08</v>
          </cell>
          <cell r="G740" t="str">
            <v>296/PV-MAR/2026</v>
          </cell>
          <cell r="H740" t="str">
            <v>Gaji crew Michelle 219-08 / Angeline 219-08 periode Juni 2026</v>
          </cell>
          <cell r="I740">
            <v>68500000</v>
          </cell>
          <cell r="K740">
            <v>0</v>
          </cell>
          <cell r="M740">
            <v>0</v>
          </cell>
          <cell r="N740">
            <v>19500</v>
          </cell>
          <cell r="P740">
            <v>68519500</v>
          </cell>
          <cell r="Q740" t="str">
            <v>06 Juli 2026</v>
          </cell>
        </row>
        <row r="741">
          <cell r="B741" t="str">
            <v>009/K/VII/26</v>
          </cell>
          <cell r="C741">
            <v>46211</v>
          </cell>
          <cell r="E741" t="str">
            <v>PT MARITIM BATUBARA PERTAMA</v>
          </cell>
          <cell r="F741" t="str">
            <v>MBP/VI-26/0191</v>
          </cell>
          <cell r="G741" t="str">
            <v>879/OPS-VI/2026</v>
          </cell>
          <cell r="H741" t="str">
            <v>Mooring / Unmooring TB Abhiprama 107 / BG Alara 107 Voyage 157 D</v>
          </cell>
          <cell r="I741">
            <v>2000000</v>
          </cell>
          <cell r="K741">
            <v>0</v>
          </cell>
          <cell r="M741">
            <v>-40000</v>
          </cell>
          <cell r="N741">
            <v>2500</v>
          </cell>
          <cell r="P741">
            <v>1962500</v>
          </cell>
          <cell r="Q741" t="str">
            <v>10 Juli 2026</v>
          </cell>
        </row>
        <row r="742">
          <cell r="B742" t="str">
            <v>010/K/VII/26</v>
          </cell>
          <cell r="C742">
            <v>46211</v>
          </cell>
          <cell r="E742" t="str">
            <v>PT PERSADA LINTAS ASIA</v>
          </cell>
          <cell r="F742" t="str">
            <v>0347/INV-PLA/VI/2026</v>
          </cell>
          <cell r="G742" t="str">
            <v>894/OPS-VI/2026</v>
          </cell>
          <cell r="H742" t="str">
            <v>Pelayanan pemanduan kapal TB Entebe Star 30 / BG Finacia 71 Voy. 159D</v>
          </cell>
          <cell r="I742">
            <v>4699753</v>
          </cell>
          <cell r="J742">
            <v>516973</v>
          </cell>
          <cell r="K742">
            <v>0</v>
          </cell>
          <cell r="M742">
            <v>-93995</v>
          </cell>
          <cell r="N742">
            <v>2500</v>
          </cell>
          <cell r="P742">
            <v>5125231</v>
          </cell>
          <cell r="Q742" t="str">
            <v>10 Juli 2026</v>
          </cell>
        </row>
        <row r="743">
          <cell r="B743" t="str">
            <v>011/K/VII/26</v>
          </cell>
          <cell r="C743">
            <v>46212</v>
          </cell>
          <cell r="E743" t="str">
            <v>PT GENTA MARITIM PRATAMA</v>
          </cell>
          <cell r="F743" t="str">
            <v>INV/2026/1526</v>
          </cell>
          <cell r="G743" t="str">
            <v>883/OPS-VI/2026</v>
          </cell>
          <cell r="H743" t="str">
            <v>Peta 344 TB Entebe Star 30 Voyage 159 L</v>
          </cell>
          <cell r="I743">
            <v>3596000</v>
          </cell>
          <cell r="K743">
            <v>0</v>
          </cell>
          <cell r="M743">
            <v>0</v>
          </cell>
          <cell r="P743">
            <v>3596000</v>
          </cell>
          <cell r="Q743" t="str">
            <v>10 Juli 2026</v>
          </cell>
        </row>
        <row r="744">
          <cell r="B744" t="str">
            <v>012/K/VII/26</v>
          </cell>
          <cell r="C744">
            <v>46216</v>
          </cell>
          <cell r="E744" t="str">
            <v>BINA SARANA INFORMATIKA</v>
          </cell>
          <cell r="F744" t="str">
            <v>196.2/Y-BSI/VI/2026</v>
          </cell>
          <cell r="G744" t="str">
            <v>318/PV-MAR/2026</v>
          </cell>
          <cell r="H744" t="str">
            <v>Parkir Member Mobil dan Motor 1 Bulan (Per 10 Jul - 09 Aug 2026)</v>
          </cell>
          <cell r="I744">
            <v>3600000</v>
          </cell>
          <cell r="N744">
            <v>2500</v>
          </cell>
          <cell r="P744">
            <v>3602500</v>
          </cell>
          <cell r="Q744" t="str">
            <v>14 Juli 2026</v>
          </cell>
        </row>
        <row r="745">
          <cell r="B745" t="str">
            <v>013/K/VII/26</v>
          </cell>
          <cell r="C745">
            <v>46204</v>
          </cell>
          <cell r="D745" t="str">
            <v>2604G1AK3</v>
          </cell>
          <cell r="E745" t="str">
            <v>PT TRANS BAHTERA JAYA</v>
          </cell>
          <cell r="F745" t="str">
            <v>25/INV-TBJ/VI/2026</v>
          </cell>
          <cell r="G745" t="str">
            <v>302/PV-MAR/2026</v>
          </cell>
          <cell r="H745" t="str">
            <v>DP Biaya Freight Charter TB Victory 2010 / BG Mitra 3007 (Kintap - PLTU Suralaya)</v>
          </cell>
          <cell r="I745">
            <v>688750000</v>
          </cell>
          <cell r="J745">
            <v>75762500</v>
          </cell>
          <cell r="K745">
            <v>15</v>
          </cell>
          <cell r="M745">
            <v>-8265000</v>
          </cell>
          <cell r="P745">
            <v>756247500</v>
          </cell>
          <cell r="Q745" t="str">
            <v>06 Juli 2026</v>
          </cell>
        </row>
        <row r="746">
          <cell r="B746" t="str">
            <v>014/K/VII/26</v>
          </cell>
          <cell r="C746">
            <v>46204</v>
          </cell>
          <cell r="D746" t="str">
            <v>2604G1AK0</v>
          </cell>
          <cell r="E746" t="str">
            <v>PT TRANS BAHTERA JAYA</v>
          </cell>
          <cell r="F746" t="str">
            <v>26/INV-TBJ/VI/2026</v>
          </cell>
          <cell r="G746" t="str">
            <v>303/PV-MAR/2026</v>
          </cell>
          <cell r="H746" t="str">
            <v>Pelunasan freight charter TB Victory 2010 / BG Mitra 3007 (Kintap - PLTU Suralaya)</v>
          </cell>
          <cell r="I746">
            <v>689944800</v>
          </cell>
          <cell r="J746">
            <v>75893928</v>
          </cell>
          <cell r="K746">
            <v>15</v>
          </cell>
          <cell r="M746">
            <v>-8279337.6000000006</v>
          </cell>
          <cell r="P746">
            <v>757559390.39999998</v>
          </cell>
          <cell r="Q746" t="str">
            <v>06 Juli 2026</v>
          </cell>
        </row>
        <row r="747">
          <cell r="B747" t="str">
            <v>015/K/VII/26</v>
          </cell>
          <cell r="C747">
            <v>46206</v>
          </cell>
          <cell r="E747" t="str">
            <v>ZULFADHLI JUSUF</v>
          </cell>
          <cell r="G747" t="str">
            <v>304/PV-MAR/2026</v>
          </cell>
          <cell r="H747" t="str">
            <v>Reimburse dana kebutuhan ibadah haji Pak Deodestin J.A</v>
          </cell>
          <cell r="I747">
            <v>50000000</v>
          </cell>
          <cell r="K747">
            <v>0</v>
          </cell>
          <cell r="M747">
            <v>0</v>
          </cell>
          <cell r="N747">
            <v>2500</v>
          </cell>
          <cell r="P747">
            <v>50002500</v>
          </cell>
          <cell r="Q747" t="str">
            <v>06 Juli 2026</v>
          </cell>
        </row>
        <row r="748">
          <cell r="B748" t="str">
            <v>016/K/VII/26</v>
          </cell>
          <cell r="C748">
            <v>46206</v>
          </cell>
          <cell r="E748" t="str">
            <v>HENDY KUSSUNAR ARYA</v>
          </cell>
          <cell r="G748" t="str">
            <v>305/PV-MAR/2026</v>
          </cell>
          <cell r="H748" t="str">
            <v>Travelling claim survey TB Ocean Power 21/BG Angeline 219-05 Bank Mandiri</v>
          </cell>
          <cell r="I748">
            <v>10180885</v>
          </cell>
          <cell r="K748">
            <v>0</v>
          </cell>
          <cell r="M748">
            <v>0</v>
          </cell>
          <cell r="P748">
            <v>10180885</v>
          </cell>
          <cell r="Q748" t="str">
            <v>06 Juli 2026</v>
          </cell>
        </row>
        <row r="749">
          <cell r="B749" t="str">
            <v>017/K/VII/26</v>
          </cell>
          <cell r="C749">
            <v>46206</v>
          </cell>
          <cell r="E749" t="str">
            <v>YONI FIRDAUS WIBOWO</v>
          </cell>
          <cell r="G749" t="str">
            <v>306/PV-MAR/2026</v>
          </cell>
          <cell r="H749" t="str">
            <v>Reimbursment Pak Yoni periode Juni 2026</v>
          </cell>
          <cell r="I749">
            <v>1179420</v>
          </cell>
          <cell r="K749">
            <v>0</v>
          </cell>
          <cell r="M749">
            <v>0</v>
          </cell>
          <cell r="P749">
            <v>1179420</v>
          </cell>
          <cell r="Q749" t="str">
            <v>06 Juli 2026</v>
          </cell>
        </row>
        <row r="750">
          <cell r="B750" t="str">
            <v>018/K/VII/26</v>
          </cell>
          <cell r="C750">
            <v>46206</v>
          </cell>
          <cell r="E750" t="str">
            <v>TRI HANDOYO</v>
          </cell>
          <cell r="G750" t="str">
            <v>307/PV-MAR/2026</v>
          </cell>
          <cell r="H750" t="str">
            <v>Reimbursment mobil operasional periode Juni 2026</v>
          </cell>
          <cell r="I750">
            <v>2918000</v>
          </cell>
          <cell r="K750">
            <v>0</v>
          </cell>
          <cell r="M750">
            <v>0</v>
          </cell>
          <cell r="N750">
            <v>2500</v>
          </cell>
          <cell r="P750">
            <v>2920500</v>
          </cell>
          <cell r="Q750" t="str">
            <v>06 Juli 2026</v>
          </cell>
        </row>
        <row r="751">
          <cell r="B751" t="str">
            <v>019/K/VII/26</v>
          </cell>
          <cell r="C751">
            <v>46206</v>
          </cell>
          <cell r="E751" t="str">
            <v>ZULFADHLI JUSUF</v>
          </cell>
          <cell r="G751" t="str">
            <v>308/PV-MAR/2026</v>
          </cell>
          <cell r="H751" t="str">
            <v>Biaya operasional - penggantian dana talangan</v>
          </cell>
          <cell r="I751">
            <v>500000000</v>
          </cell>
          <cell r="K751">
            <v>0</v>
          </cell>
          <cell r="M751">
            <v>0</v>
          </cell>
          <cell r="P751">
            <v>500000000</v>
          </cell>
          <cell r="Q751" t="str">
            <v>06 Juli 2026</v>
          </cell>
        </row>
        <row r="752">
          <cell r="B752" t="str">
            <v>020/K/VII/26</v>
          </cell>
          <cell r="C752">
            <v>46206</v>
          </cell>
          <cell r="E752" t="str">
            <v>PT ANDALAN LANCAR NIAGA</v>
          </cell>
          <cell r="F752" t="str">
            <v>00087/ALN-INV/V/2026</v>
          </cell>
          <cell r="G752" t="str">
            <v>309/PV-MAR/2026</v>
          </cell>
          <cell r="H752" t="str">
            <v>Biaya freight charter TB Michelle II / BG Benami II (Jetty SDJ - PLTU Suralaya)</v>
          </cell>
          <cell r="I752">
            <v>873395998</v>
          </cell>
          <cell r="K752">
            <v>15</v>
          </cell>
          <cell r="M752">
            <v>-10480751.976</v>
          </cell>
          <cell r="N752">
            <v>15000</v>
          </cell>
          <cell r="P752">
            <v>862930246.02400005</v>
          </cell>
          <cell r="Q752" t="str">
            <v>06 Juli 2026</v>
          </cell>
        </row>
        <row r="753">
          <cell r="B753" t="str">
            <v>021/K/VII/26</v>
          </cell>
          <cell r="C753">
            <v>46206</v>
          </cell>
          <cell r="E753" t="str">
            <v>PT BENAYA AMB MANDIRI</v>
          </cell>
          <cell r="F753" t="str">
            <v>39/BAM-MAR/INV/VI/2026</v>
          </cell>
          <cell r="G753" t="str">
            <v>891/OPS-VI/2026</v>
          </cell>
          <cell r="H753" t="str">
            <v>Solar HSD TB APL 7 Voyage 162-L</v>
          </cell>
          <cell r="I753">
            <v>1549549550</v>
          </cell>
          <cell r="J753">
            <v>170450450</v>
          </cell>
          <cell r="K753">
            <v>0</v>
          </cell>
          <cell r="M753">
            <v>0</v>
          </cell>
          <cell r="O753">
            <v>450</v>
          </cell>
          <cell r="P753">
            <v>1720000450</v>
          </cell>
          <cell r="Q753" t="str">
            <v>06 Juli 2026</v>
          </cell>
        </row>
        <row r="754">
          <cell r="B754" t="str">
            <v>022/K/VII/26</v>
          </cell>
          <cell r="C754">
            <v>46206</v>
          </cell>
          <cell r="E754" t="str">
            <v>PT MULTI ARTHA SEGORO</v>
          </cell>
          <cell r="F754" t="str">
            <v>043/MAS-MAR/HSD/VI/2026</v>
          </cell>
          <cell r="G754" t="str">
            <v>892/OPS-VI/2026</v>
          </cell>
          <cell r="H754" t="str">
            <v>B40 TB Entebe Star 30 Voyage 159-D</v>
          </cell>
          <cell r="I754">
            <v>445945946</v>
          </cell>
          <cell r="J754">
            <v>49054054</v>
          </cell>
          <cell r="K754">
            <v>0</v>
          </cell>
          <cell r="M754">
            <v>0</v>
          </cell>
          <cell r="P754">
            <v>495000000</v>
          </cell>
          <cell r="Q754" t="str">
            <v>06 Juli 2026</v>
          </cell>
        </row>
        <row r="755">
          <cell r="B755" t="str">
            <v>023/K/VII/26</v>
          </cell>
          <cell r="C755">
            <v>46206</v>
          </cell>
          <cell r="E755" t="str">
            <v xml:space="preserve">PT LANCAR BAROKAH ENERGI </v>
          </cell>
          <cell r="F755" t="str">
            <v>0324/LBE-Inv/TB/6/2026</v>
          </cell>
          <cell r="G755" t="str">
            <v>861/OPS-VI/2026</v>
          </cell>
          <cell r="H755" t="str">
            <v>BBM Solar TB Michelle XV Voyage 156-L</v>
          </cell>
          <cell r="I755">
            <v>103603604</v>
          </cell>
          <cell r="J755">
            <v>11396396.439999999</v>
          </cell>
          <cell r="K755">
            <v>0</v>
          </cell>
          <cell r="M755">
            <v>0</v>
          </cell>
          <cell r="P755">
            <v>115000000.44</v>
          </cell>
          <cell r="Q755" t="str">
            <v>06 Juli 2026</v>
          </cell>
        </row>
        <row r="756">
          <cell r="B756" t="str">
            <v>024/K/VII/26</v>
          </cell>
          <cell r="C756">
            <v>46206</v>
          </cell>
          <cell r="E756" t="str">
            <v>KHARISMA DUTA</v>
          </cell>
          <cell r="G756" t="str">
            <v>906/OPS-VII/2026</v>
          </cell>
          <cell r="H756" t="str">
            <v>Terpal 9 koli TB Ocean Power 21</v>
          </cell>
          <cell r="I756">
            <v>9025641</v>
          </cell>
          <cell r="K756">
            <v>0</v>
          </cell>
          <cell r="M756">
            <v>-225641</v>
          </cell>
          <cell r="N756">
            <v>2500</v>
          </cell>
          <cell r="P756">
            <v>8802500</v>
          </cell>
          <cell r="Q756" t="str">
            <v>06 Juli 2026</v>
          </cell>
        </row>
        <row r="757">
          <cell r="B757" t="str">
            <v>001/K/VII/26 CAV</v>
          </cell>
          <cell r="C757">
            <v>46206</v>
          </cell>
          <cell r="E757" t="str">
            <v>MUHAMMAD ZAKI</v>
          </cell>
          <cell r="G757" t="str">
            <v>CAV010/OPS-VII/2026</v>
          </cell>
          <cell r="H757" t="str">
            <v>Advance operasional Bulan Juli 2026</v>
          </cell>
          <cell r="I757">
            <v>19312500</v>
          </cell>
          <cell r="K757">
            <v>0</v>
          </cell>
          <cell r="M757">
            <v>0</v>
          </cell>
          <cell r="N757">
            <v>2500</v>
          </cell>
          <cell r="P757">
            <v>19315000</v>
          </cell>
          <cell r="Q757" t="str">
            <v>06 Juli 2026</v>
          </cell>
        </row>
        <row r="758">
          <cell r="B758" t="str">
            <v>026/K/VII/26</v>
          </cell>
          <cell r="C758">
            <v>46207</v>
          </cell>
          <cell r="E758" t="str">
            <v>ENGGARINGTYAS DONYA WICAHYO LISWARI</v>
          </cell>
          <cell r="F758" t="str">
            <v>015/DW/INV/VII/2026</v>
          </cell>
          <cell r="G758" t="str">
            <v>907/OPS-VII/2026</v>
          </cell>
          <cell r="H758" t="str">
            <v>Pelunasan palet kayu TB Ocean Power 21</v>
          </cell>
          <cell r="I758">
            <v>68000000</v>
          </cell>
          <cell r="K758">
            <v>0</v>
          </cell>
          <cell r="M758">
            <v>0</v>
          </cell>
          <cell r="N758">
            <v>2500</v>
          </cell>
          <cell r="P758">
            <v>68002500</v>
          </cell>
          <cell r="Q758" t="str">
            <v>06 Juli 2026</v>
          </cell>
        </row>
        <row r="759">
          <cell r="B759" t="str">
            <v>027/K/VII/26</v>
          </cell>
          <cell r="C759">
            <v>46207</v>
          </cell>
          <cell r="E759" t="str">
            <v>ENGGARINGTYAS DONYA WICAHYO LISWARI</v>
          </cell>
          <cell r="F759" t="str">
            <v>016/DW/INV/VII/2026</v>
          </cell>
          <cell r="G759" t="str">
            <v>908/OPS-VII/2026</v>
          </cell>
          <cell r="H759" t="str">
            <v>Tali TB Ocean Power 21</v>
          </cell>
          <cell r="I759">
            <v>6000000</v>
          </cell>
          <cell r="K759">
            <v>0</v>
          </cell>
          <cell r="M759">
            <v>0</v>
          </cell>
          <cell r="N759">
            <v>2500</v>
          </cell>
          <cell r="P759">
            <v>6002500</v>
          </cell>
          <cell r="Q759" t="str">
            <v>06 Juli 2026</v>
          </cell>
        </row>
        <row r="760">
          <cell r="B760" t="str">
            <v>028/K/VII/26</v>
          </cell>
          <cell r="C760">
            <v>46207</v>
          </cell>
          <cell r="E760" t="str">
            <v>ENGGARINGTYAS DONYA WICAHYO LISWARI</v>
          </cell>
          <cell r="F760" t="str">
            <v>017/DW/INV/VII/2026</v>
          </cell>
          <cell r="G760" t="str">
            <v>909/OPS-VII/2026</v>
          </cell>
          <cell r="H760" t="str">
            <v>DP Palet Kayu TB Entebe Star 30</v>
          </cell>
          <cell r="I760">
            <v>20000000</v>
          </cell>
          <cell r="K760">
            <v>0</v>
          </cell>
          <cell r="M760">
            <v>0</v>
          </cell>
          <cell r="N760">
            <v>2500</v>
          </cell>
          <cell r="P760">
            <v>20002500</v>
          </cell>
          <cell r="Q760" t="str">
            <v>06 Juli 2026</v>
          </cell>
        </row>
        <row r="761">
          <cell r="B761" t="str">
            <v>029/K/VII/26</v>
          </cell>
          <cell r="C761">
            <v>46206</v>
          </cell>
          <cell r="E761" t="str">
            <v>PT HOKARI LINEX PRATAMA</v>
          </cell>
          <cell r="F761" t="str">
            <v>005/INV/HLP-KTB/VI/2026</v>
          </cell>
          <cell r="G761" t="str">
            <v>864/OPS-VI/2026</v>
          </cell>
          <cell r="H761" t="str">
            <v>Bio Solar TB Ocean Power 21 Voyage 163-L</v>
          </cell>
          <cell r="I761">
            <v>1067567575</v>
          </cell>
          <cell r="J761">
            <v>117432425</v>
          </cell>
          <cell r="K761">
            <v>0</v>
          </cell>
          <cell r="M761">
            <v>0</v>
          </cell>
          <cell r="P761">
            <v>1185000000</v>
          </cell>
          <cell r="Q761" t="str">
            <v>06 Juli 2026</v>
          </cell>
        </row>
        <row r="762">
          <cell r="B762" t="str">
            <v>030/K/VII/26</v>
          </cell>
          <cell r="C762">
            <v>46210</v>
          </cell>
          <cell r="E762" t="str">
            <v>PT SAMUDERA CAPIT HITAM</v>
          </cell>
          <cell r="F762" t="str">
            <v>02/INV-TB/SCH-MAR/05/26</v>
          </cell>
          <cell r="G762" t="str">
            <v>310/PV-MAR/2026</v>
          </cell>
          <cell r="H762" t="str">
            <v>Biaya Freight TB Terus Daya 97 / BG NAP 820 (Jetty SBL - Bintan)</v>
          </cell>
          <cell r="I762">
            <v>863018420</v>
          </cell>
          <cell r="K762">
            <v>15</v>
          </cell>
          <cell r="M762">
            <v>-10356221.040000001</v>
          </cell>
          <cell r="N762">
            <v>15000</v>
          </cell>
          <cell r="P762">
            <v>852677198.96000004</v>
          </cell>
          <cell r="Q762" t="str">
            <v>07 Juli 2026</v>
          </cell>
        </row>
        <row r="763">
          <cell r="B763" t="str">
            <v>031/K/VII/26</v>
          </cell>
          <cell r="C763">
            <v>46210</v>
          </cell>
          <cell r="E763" t="str">
            <v>PT MULTI ARTHA SEGORO</v>
          </cell>
          <cell r="F763" t="str">
            <v>045/MAS-MAR/HSD/VI/2026</v>
          </cell>
          <cell r="G763" t="str">
            <v>893/OPS-VI/2026</v>
          </cell>
          <cell r="H763" t="str">
            <v>B40 TB Michelle XV Voyage 156-D</v>
          </cell>
          <cell r="I763">
            <v>971171171</v>
          </cell>
          <cell r="J763">
            <v>106828829</v>
          </cell>
          <cell r="K763">
            <v>0</v>
          </cell>
          <cell r="M763">
            <v>0</v>
          </cell>
          <cell r="P763">
            <v>1078000000</v>
          </cell>
          <cell r="Q763" t="str">
            <v>07 Juli 2026</v>
          </cell>
        </row>
        <row r="764">
          <cell r="B764" t="str">
            <v>032/K/VII/26</v>
          </cell>
          <cell r="C764">
            <v>46210</v>
          </cell>
          <cell r="E764" t="str">
            <v>PT SAMUDERA CAPIT HITAM</v>
          </cell>
          <cell r="F764" t="str">
            <v>03/INV-TB/SCH-MAR/05/26</v>
          </cell>
          <cell r="G764" t="str">
            <v>311/PV-MAR/2026</v>
          </cell>
          <cell r="H764" t="str">
            <v>Biaya Freight Charter TB Maju Daya 91 / BG Marcopolo 3022 (Jetty SBL - Bintan)</v>
          </cell>
          <cell r="I764">
            <v>862605225</v>
          </cell>
          <cell r="K764">
            <v>0</v>
          </cell>
          <cell r="M764">
            <v>-10351263</v>
          </cell>
          <cell r="N764">
            <v>15000</v>
          </cell>
          <cell r="P764">
            <v>852268962</v>
          </cell>
          <cell r="Q764" t="str">
            <v>08 Juli 2026</v>
          </cell>
        </row>
        <row r="765">
          <cell r="B765" t="str">
            <v>033/K/VII/26</v>
          </cell>
          <cell r="C765">
            <v>46210</v>
          </cell>
          <cell r="E765" t="str">
            <v>PT NAFV CATALYS LOGIC</v>
          </cell>
          <cell r="F765" t="str">
            <v>INV/029/NCL-MAR/VI/26-00</v>
          </cell>
          <cell r="G765" t="str">
            <v>312/PV-MAR/2026</v>
          </cell>
          <cell r="H765" t="str">
            <v>Pelunasan pembuatan Maritim Armada Raya Platform (MARP) - PARSIAL I</v>
          </cell>
          <cell r="I765">
            <v>200000000</v>
          </cell>
          <cell r="K765">
            <v>0</v>
          </cell>
          <cell r="M765">
            <v>0</v>
          </cell>
          <cell r="N765">
            <v>15000</v>
          </cell>
          <cell r="P765">
            <v>200015000</v>
          </cell>
          <cell r="Q765" t="str">
            <v>08 Juli 2026</v>
          </cell>
        </row>
        <row r="766">
          <cell r="B766" t="str">
            <v>034/K/VII/26</v>
          </cell>
          <cell r="C766">
            <v>46212</v>
          </cell>
          <cell r="E766" t="str">
            <v>PT KRAKATAU SAMUDERA SOLUSI</v>
          </cell>
          <cell r="F766" t="str">
            <v>KSS.SI.260377</v>
          </cell>
          <cell r="G766" t="str">
            <v>314/PV-MAR/2026</v>
          </cell>
          <cell r="H766" t="str">
            <v>Pelunasan biaya freight charter TB Satia Samudera 13 / BG Orca 3002 28 (Jetty PT Kawasan Industri Dumai)</v>
          </cell>
          <cell r="I766">
            <v>707093342</v>
          </cell>
          <cell r="K766">
            <v>0</v>
          </cell>
          <cell r="M766">
            <v>-20485120</v>
          </cell>
          <cell r="P766">
            <v>686608222</v>
          </cell>
          <cell r="Q766" t="str">
            <v>09 Juli 2026</v>
          </cell>
        </row>
        <row r="767">
          <cell r="B767" t="str">
            <v>035/K/VII/26</v>
          </cell>
          <cell r="C767">
            <v>46212</v>
          </cell>
          <cell r="E767" t="str">
            <v>PT BARITO DUTA SARANA</v>
          </cell>
          <cell r="F767" t="str">
            <v>026/BDS-S/BJM/INV/IV/2026</v>
          </cell>
          <cell r="G767" t="str">
            <v>837/OPS-VI/2026</v>
          </cell>
          <cell r="H767" t="str">
            <v>Biaya keagenan TB Michelle XV / BG Benami XV</v>
          </cell>
          <cell r="I767">
            <v>34033030</v>
          </cell>
          <cell r="J767">
            <v>275000</v>
          </cell>
          <cell r="K767">
            <v>0</v>
          </cell>
          <cell r="M767">
            <v>-50000</v>
          </cell>
          <cell r="P767">
            <v>34258030</v>
          </cell>
          <cell r="Q767" t="str">
            <v>09 Juli 2026</v>
          </cell>
        </row>
        <row r="768">
          <cell r="B768" t="str">
            <v>035/K/VII/26</v>
          </cell>
          <cell r="C768">
            <v>46212</v>
          </cell>
          <cell r="E768" t="str">
            <v>PT BARITO DUTA SARANA</v>
          </cell>
          <cell r="F768" t="str">
            <v>053/BDS-S/BJM/INV/IV/2026</v>
          </cell>
          <cell r="G768" t="str">
            <v>838/OPS-VI/2026</v>
          </cell>
          <cell r="H768" t="str">
            <v>Biaya keagenan TB APL 7 / BG Baiduri 70273</v>
          </cell>
          <cell r="I768">
            <v>41804300</v>
          </cell>
          <cell r="J768">
            <v>275000</v>
          </cell>
          <cell r="K768">
            <v>0</v>
          </cell>
          <cell r="M768">
            <v>-50000</v>
          </cell>
          <cell r="P768">
            <v>42029300</v>
          </cell>
          <cell r="Q768" t="str">
            <v>09 Juli 2026</v>
          </cell>
        </row>
        <row r="769">
          <cell r="B769" t="str">
            <v>036/K/VII/26</v>
          </cell>
          <cell r="C769">
            <v>46212</v>
          </cell>
          <cell r="E769" t="str">
            <v>PT AGENCY PELAYARAN INDONESIA</v>
          </cell>
          <cell r="F769" t="str">
            <v>INV-055/KTP-LTR/MAR/IV/2026</v>
          </cell>
          <cell r="G769" t="str">
            <v>840/OPS-VI/2026</v>
          </cell>
          <cell r="H769" t="str">
            <v>Biaya PNBP Labuh TB Michelle XV / BG Benami XV Voy. 146 L</v>
          </cell>
          <cell r="I769">
            <v>11823449</v>
          </cell>
          <cell r="J769">
            <v>385000</v>
          </cell>
          <cell r="K769">
            <v>0</v>
          </cell>
          <cell r="M769">
            <v>-70000</v>
          </cell>
          <cell r="P769">
            <v>12138449</v>
          </cell>
          <cell r="Q769" t="str">
            <v>09 Juli 2026</v>
          </cell>
        </row>
        <row r="770">
          <cell r="B770" t="str">
            <v>037/K/VII/26</v>
          </cell>
          <cell r="C770">
            <v>46211</v>
          </cell>
          <cell r="E770" t="str">
            <v>PT BIRO KLASIFIKASI INDONESIA PERSERO</v>
          </cell>
          <cell r="F770" t="str">
            <v>00176-CN/B1D1/0426</v>
          </cell>
          <cell r="G770" t="str">
            <v>841/OPS-VI/2026</v>
          </cell>
          <cell r="H770" t="str">
            <v>Annual Load Line Survey TB Surya Segara 3</v>
          </cell>
          <cell r="I770">
            <v>16330000</v>
          </cell>
          <cell r="J770">
            <v>1796300</v>
          </cell>
          <cell r="K770">
            <v>0</v>
          </cell>
          <cell r="M770">
            <v>-326600</v>
          </cell>
          <cell r="N770">
            <v>6500</v>
          </cell>
          <cell r="P770">
            <v>17806200</v>
          </cell>
          <cell r="Q770" t="str">
            <v>09 Juli 2026</v>
          </cell>
        </row>
        <row r="771">
          <cell r="B771" t="str">
            <v>038/K/VII/26</v>
          </cell>
          <cell r="C771">
            <v>46211</v>
          </cell>
          <cell r="E771" t="str">
            <v>PT ADHI GUNA PUTERA (Paiton)</v>
          </cell>
          <cell r="F771" t="str">
            <v>K0167/INV-PTN/V/2026</v>
          </cell>
          <cell r="G771" t="str">
            <v>845/OPS-VI/2026</v>
          </cell>
          <cell r="H771" t="str">
            <v>Call FeeTB Surya Segara 3 / BG Finacia 96 Voy. 148 D</v>
          </cell>
          <cell r="I771">
            <v>13831622</v>
          </cell>
          <cell r="J771">
            <v>220000</v>
          </cell>
          <cell r="K771">
            <v>0</v>
          </cell>
          <cell r="M771">
            <v>-40000</v>
          </cell>
          <cell r="N771">
            <v>2500</v>
          </cell>
          <cell r="P771">
            <v>14014122</v>
          </cell>
          <cell r="Q771" t="str">
            <v>09 Juli 2026</v>
          </cell>
        </row>
        <row r="772">
          <cell r="B772" t="str">
            <v>038/K/VII/26</v>
          </cell>
          <cell r="C772">
            <v>46211</v>
          </cell>
          <cell r="E772" t="str">
            <v>PT ADHI GUNA PUTERA (Paiton)</v>
          </cell>
          <cell r="F772" t="str">
            <v>135/AST-PTN/V/2026</v>
          </cell>
          <cell r="G772" t="str">
            <v>846/OPS-VI/2026</v>
          </cell>
          <cell r="H772" t="str">
            <v>Jasa pandu dan tunda TB Surya Segara 3 / BG Finacia 96 Voy. 148 D</v>
          </cell>
          <cell r="I772">
            <v>21483693</v>
          </cell>
          <cell r="K772">
            <v>0</v>
          </cell>
          <cell r="M772">
            <v>-429674</v>
          </cell>
          <cell r="P772">
            <v>21054019</v>
          </cell>
          <cell r="Q772" t="str">
            <v>09 Juli 2026</v>
          </cell>
        </row>
        <row r="773">
          <cell r="B773" t="str">
            <v>039/K/VII/26</v>
          </cell>
          <cell r="C773">
            <v>46212</v>
          </cell>
          <cell r="E773" t="str">
            <v>PT MARITIM INDO RAYA</v>
          </cell>
          <cell r="F773" t="str">
            <v>071/INV/MIR-MAR/V/2026</v>
          </cell>
          <cell r="G773" t="str">
            <v>885/OPS-VI/2026</v>
          </cell>
          <cell r="H773" t="str">
            <v>Pelunasan keagenan TB Surya Segara 3  - BG Finacia 96 Voy. 160</v>
          </cell>
          <cell r="I773">
            <v>32133027</v>
          </cell>
          <cell r="J773">
            <v>440000</v>
          </cell>
          <cell r="K773">
            <v>0</v>
          </cell>
          <cell r="M773">
            <v>-20000</v>
          </cell>
          <cell r="P773">
            <v>32553027</v>
          </cell>
          <cell r="Q773" t="str">
            <v>10 Juli 2026</v>
          </cell>
        </row>
        <row r="774">
          <cell r="B774" t="str">
            <v>040/K/VII/26</v>
          </cell>
          <cell r="C774">
            <v>46212</v>
          </cell>
          <cell r="E774" t="str">
            <v>PT CAHAYA SAMODERA BERSAUDARA</v>
          </cell>
          <cell r="F774" t="str">
            <v>CSB/INV/PLMCS/26/03220</v>
          </cell>
          <cell r="G774" t="str">
            <v>857/OPS-VI/2026</v>
          </cell>
          <cell r="H774" t="str">
            <v>Sirius S4 15W-40 TB Michelle 219-08</v>
          </cell>
          <cell r="I774">
            <v>33402000</v>
          </cell>
          <cell r="J774">
            <v>3674220</v>
          </cell>
          <cell r="K774">
            <v>0</v>
          </cell>
          <cell r="M774">
            <v>-18000</v>
          </cell>
          <cell r="N774">
            <v>2900</v>
          </cell>
          <cell r="P774">
            <v>37061120</v>
          </cell>
          <cell r="Q774" t="str">
            <v>10 Juli 2026</v>
          </cell>
        </row>
        <row r="775">
          <cell r="B775" t="str">
            <v>040/K/VII/26</v>
          </cell>
          <cell r="C775">
            <v>46212</v>
          </cell>
          <cell r="E775" t="str">
            <v>PT CAHAYA SAMODERA BERSAUDARA</v>
          </cell>
          <cell r="F775" t="str">
            <v>CSB/INV/BJSCS/26/03845</v>
          </cell>
          <cell r="G775" t="str">
            <v>881/OPS-VI/2026</v>
          </cell>
          <cell r="H775" t="str">
            <v>Super marine TB Surya Segara 3</v>
          </cell>
          <cell r="I775">
            <v>31605000</v>
          </cell>
          <cell r="J775">
            <v>3476550</v>
          </cell>
          <cell r="K775">
            <v>0</v>
          </cell>
          <cell r="M775">
            <v>0</v>
          </cell>
          <cell r="P775">
            <v>35081550</v>
          </cell>
          <cell r="Q775" t="str">
            <v>10 Juli 2026</v>
          </cell>
        </row>
        <row r="776">
          <cell r="B776" t="str">
            <v>040/K/VII/26</v>
          </cell>
          <cell r="C776">
            <v>46212</v>
          </cell>
          <cell r="E776" t="str">
            <v>PT CAHAYA SAMODERA BERSAUDARA</v>
          </cell>
          <cell r="F776" t="str">
            <v>CSB/INV/BJSCS/26/03846</v>
          </cell>
          <cell r="G776" t="str">
            <v>882/OPS-VI/2026</v>
          </cell>
          <cell r="H776" t="str">
            <v>Boat charge TB Surya Segara 3</v>
          </cell>
          <cell r="I776">
            <v>600000</v>
          </cell>
          <cell r="J776">
            <v>66000</v>
          </cell>
          <cell r="K776">
            <v>0</v>
          </cell>
          <cell r="M776">
            <v>-12000</v>
          </cell>
          <cell r="P776">
            <v>654000</v>
          </cell>
          <cell r="Q776" t="str">
            <v>10 Juli 2026</v>
          </cell>
        </row>
        <row r="777">
          <cell r="B777" t="str">
            <v>041/K/VII/26</v>
          </cell>
          <cell r="C777">
            <v>46212</v>
          </cell>
          <cell r="E777" t="str">
            <v>PT BERKAT CAHAYA MARITIM</v>
          </cell>
          <cell r="F777" t="str">
            <v>1013/BCM/I/III/2026</v>
          </cell>
          <cell r="G777" t="str">
            <v>855/OPS-VI/2026</v>
          </cell>
          <cell r="H777" t="str">
            <v>Filter Racor FO AE TB Michelle 219-08 / BG Angeline 219-08</v>
          </cell>
          <cell r="I777">
            <v>13083572</v>
          </cell>
          <cell r="J777">
            <v>1439193</v>
          </cell>
          <cell r="K777">
            <v>0</v>
          </cell>
          <cell r="M777">
            <v>0</v>
          </cell>
          <cell r="P777">
            <v>14522765</v>
          </cell>
          <cell r="Q777" t="str">
            <v>13 Juli 2026</v>
          </cell>
        </row>
        <row r="778">
          <cell r="B778" t="str">
            <v>041/K/VII/26</v>
          </cell>
          <cell r="C778">
            <v>46212</v>
          </cell>
          <cell r="E778" t="str">
            <v>PT BERKAT CAHAYA MARITIM</v>
          </cell>
          <cell r="F778" t="str">
            <v>1014/BCM/I/III/2026</v>
          </cell>
          <cell r="G778" t="str">
            <v>856/OPS-VI/2026</v>
          </cell>
          <cell r="H778" t="str">
            <v>Biaya kirim barang PO: 010/po/purch-feb via ekspedisi</v>
          </cell>
          <cell r="I778">
            <v>1517500</v>
          </cell>
          <cell r="J778">
            <v>166925</v>
          </cell>
          <cell r="K778">
            <v>0</v>
          </cell>
          <cell r="M778">
            <v>-30350</v>
          </cell>
          <cell r="P778">
            <v>1654075</v>
          </cell>
          <cell r="Q778" t="str">
            <v>13 Juli 2026</v>
          </cell>
        </row>
        <row r="779">
          <cell r="B779" t="str">
            <v>042/K/VII/26</v>
          </cell>
          <cell r="C779">
            <v>46212</v>
          </cell>
          <cell r="E779" t="str">
            <v>PT PELNAS SABANG RAYA INDAH</v>
          </cell>
          <cell r="F779" t="str">
            <v>2026/SRI/140</v>
          </cell>
          <cell r="G779" t="str">
            <v>313/PV-MAR/2026</v>
          </cell>
          <cell r="H779" t="str">
            <v>Biaya Freight TB Karya Agung 25 / BG Sumber jaya 3022 (Marabahan - PLTU Lontar)</v>
          </cell>
          <cell r="I779">
            <v>1107923700</v>
          </cell>
          <cell r="K779">
            <v>0</v>
          </cell>
          <cell r="M779">
            <v>-13295084</v>
          </cell>
          <cell r="P779">
            <v>1094628616</v>
          </cell>
          <cell r="Q779" t="str">
            <v>13 Juli 2026</v>
          </cell>
        </row>
        <row r="780">
          <cell r="B780" t="str">
            <v>043/K/VII/26</v>
          </cell>
          <cell r="C780">
            <v>46213</v>
          </cell>
          <cell r="E780" t="str">
            <v>ANDREW CH TINGGIAN</v>
          </cell>
          <cell r="G780" t="str">
            <v>913/OPS-VII/2026</v>
          </cell>
          <cell r="H780" t="str">
            <v>Printer Canon G2770</v>
          </cell>
          <cell r="I780">
            <v>2000000</v>
          </cell>
          <cell r="K780">
            <v>0</v>
          </cell>
          <cell r="M780">
            <v>0</v>
          </cell>
          <cell r="N780">
            <v>2500</v>
          </cell>
          <cell r="P780">
            <v>2002500</v>
          </cell>
          <cell r="Q780" t="str">
            <v>13 Juli 2026</v>
          </cell>
        </row>
        <row r="781">
          <cell r="B781" t="str">
            <v>044/K/VII/26</v>
          </cell>
          <cell r="C781">
            <v>46213</v>
          </cell>
          <cell r="E781" t="str">
            <v>HENDRA CIPTA SAKIDJA</v>
          </cell>
          <cell r="G781" t="str">
            <v>912/OPS-VII/2026</v>
          </cell>
          <cell r="H781" t="str">
            <v>Pembelian PC</v>
          </cell>
          <cell r="I781">
            <v>4000000</v>
          </cell>
          <cell r="J781">
            <v>440000</v>
          </cell>
          <cell r="K781">
            <v>0</v>
          </cell>
          <cell r="M781">
            <v>0</v>
          </cell>
          <cell r="N781">
            <v>2500</v>
          </cell>
          <cell r="P781">
            <v>4442500</v>
          </cell>
          <cell r="Q781" t="str">
            <v>13 Juli 2026</v>
          </cell>
        </row>
        <row r="782">
          <cell r="B782" t="str">
            <v>045/K/VII/26</v>
          </cell>
          <cell r="C782">
            <v>46213</v>
          </cell>
          <cell r="E782" t="str">
            <v>PT DINASTI SAMUDERA ABADI</v>
          </cell>
          <cell r="F782" t="str">
            <v>22/INV-TK/MAR-DSA/VII/2026</v>
          </cell>
          <cell r="G782" t="str">
            <v>315/PV-MAR/2026</v>
          </cell>
          <cell r="H782" t="str">
            <v>Biaya Freight Charter TB Emperor 3 / BG Dinasti 3003 (Jetty BCT - PLTU Lontar)</v>
          </cell>
          <cell r="I782">
            <v>1328289420</v>
          </cell>
          <cell r="K782">
            <v>0</v>
          </cell>
          <cell r="M782">
            <v>-15939473</v>
          </cell>
          <cell r="N782">
            <v>15000</v>
          </cell>
          <cell r="P782">
            <v>1312364947</v>
          </cell>
          <cell r="Q782" t="str">
            <v>13 Juli 2026</v>
          </cell>
        </row>
        <row r="783">
          <cell r="B783" t="str">
            <v>046/K/VII/26</v>
          </cell>
          <cell r="C783">
            <v>46216</v>
          </cell>
          <cell r="E783" t="str">
            <v>CV EDSIGN DELTA IMAJI</v>
          </cell>
          <cell r="F783" t="str">
            <v>00242/ED/INV/VI/26</v>
          </cell>
          <cell r="G783" t="str">
            <v>319/PV-MAR/2026</v>
          </cell>
          <cell r="H783" t="str">
            <v>Kaos Family Gathering MAR</v>
          </cell>
          <cell r="I783">
            <v>1090000</v>
          </cell>
          <cell r="K783">
            <v>0</v>
          </cell>
          <cell r="M783">
            <v>0</v>
          </cell>
          <cell r="N783">
            <v>2500</v>
          </cell>
          <cell r="P783">
            <v>1092500</v>
          </cell>
          <cell r="Q783" t="str">
            <v>14 Juli 2026</v>
          </cell>
        </row>
        <row r="784">
          <cell r="B784" t="str">
            <v>047/K/VII/26</v>
          </cell>
          <cell r="C784">
            <v>46216</v>
          </cell>
          <cell r="D784" t="str">
            <v>2604QO728</v>
          </cell>
          <cell r="E784" t="str">
            <v>KAP JOJO SUNARJO DAN REKAN</v>
          </cell>
          <cell r="F784" t="str">
            <v>1390/INV/KAPJSR-JKT/VI/2026</v>
          </cell>
          <cell r="G784" t="str">
            <v>317/PV-MAR/2026</v>
          </cell>
          <cell r="H784" t="str">
            <v>Pelunasan Genaral Audit 31 Desember 2025</v>
          </cell>
          <cell r="I784">
            <v>27500000</v>
          </cell>
          <cell r="J784">
            <v>3025000</v>
          </cell>
          <cell r="K784">
            <v>23</v>
          </cell>
          <cell r="M784">
            <v>-550000</v>
          </cell>
          <cell r="N784">
            <v>2500</v>
          </cell>
          <cell r="P784">
            <v>29977500</v>
          </cell>
          <cell r="Q784" t="str">
            <v>14 Juli 2026</v>
          </cell>
        </row>
        <row r="785">
          <cell r="B785" t="str">
            <v>048/K/VII/26</v>
          </cell>
          <cell r="C785">
            <v>46216</v>
          </cell>
          <cell r="D785" t="str">
            <v>2604QO724</v>
          </cell>
          <cell r="E785" t="str">
            <v>PT ELISHA MILAN TANKERS</v>
          </cell>
          <cell r="F785" t="str">
            <v>063/INV/EMT-MAR/VII/2026</v>
          </cell>
          <cell r="G785" t="str">
            <v>320/PV-MAR/2026</v>
          </cell>
          <cell r="H785" t="str">
            <v>Biaya Freight Charter TB Abhiprama 107 / BG Alara 107</v>
          </cell>
          <cell r="I785">
            <v>700000000</v>
          </cell>
          <cell r="K785">
            <v>15</v>
          </cell>
          <cell r="M785">
            <v>-8400000</v>
          </cell>
          <cell r="N785">
            <v>15000</v>
          </cell>
          <cell r="P785">
            <v>691615000</v>
          </cell>
          <cell r="Q785" t="str">
            <v>14 Juli 2026</v>
          </cell>
        </row>
        <row r="786">
          <cell r="B786" t="str">
            <v>049/K/VII/26</v>
          </cell>
          <cell r="C786">
            <v>46216</v>
          </cell>
          <cell r="D786" t="str">
            <v>2604QO726</v>
          </cell>
          <cell r="E786" t="str">
            <v>PT ELISHA MILAN TANKERS</v>
          </cell>
          <cell r="F786" t="str">
            <v>065/INV/EMT-MAR/VII/2026</v>
          </cell>
          <cell r="G786" t="str">
            <v>321/PV-MAR/2026</v>
          </cell>
          <cell r="H786" t="str">
            <v>Biaya Freight Charter DP 50% TB Mahesa 105 / BG Kalya 105 (STS Salira MV. Manalagi - PLTU Pel. Ratu)</v>
          </cell>
          <cell r="I786">
            <v>290500000</v>
          </cell>
          <cell r="K786">
            <v>15</v>
          </cell>
          <cell r="M786">
            <v>-3486000</v>
          </cell>
          <cell r="N786">
            <v>15000</v>
          </cell>
          <cell r="P786">
            <v>287029000</v>
          </cell>
          <cell r="Q786" t="str">
            <v>14 Juli 2026</v>
          </cell>
        </row>
        <row r="787">
          <cell r="B787" t="str">
            <v>050/K/VII/26</v>
          </cell>
          <cell r="C787">
            <v>46216</v>
          </cell>
          <cell r="E787" t="str">
            <v>NOTARIS EWIN ENY SUNDARI S.H</v>
          </cell>
          <cell r="F787" t="str">
            <v>328/07/2026</v>
          </cell>
          <cell r="G787" t="str">
            <v>316/PV-MAR/2026</v>
          </cell>
          <cell r="H787" t="str">
            <v>Notaris AJB dan BBN TB Angeline 219-05 di KSOP Banjarmasin 328/07/2026</v>
          </cell>
          <cell r="I787">
            <v>23500000</v>
          </cell>
          <cell r="K787">
            <v>0</v>
          </cell>
          <cell r="M787">
            <v>-587500</v>
          </cell>
          <cell r="N787">
            <v>2500</v>
          </cell>
          <cell r="P787">
            <v>22915000</v>
          </cell>
          <cell r="Q787" t="str">
            <v>14 Juli 2026</v>
          </cell>
        </row>
        <row r="788">
          <cell r="B788" t="str">
            <v>050/K/VII/26</v>
          </cell>
          <cell r="C788">
            <v>46216</v>
          </cell>
          <cell r="E788" t="str">
            <v>NOTARIS EWIN ENY SUNDARI S.H</v>
          </cell>
          <cell r="F788" t="str">
            <v>327/07/2026</v>
          </cell>
          <cell r="G788" t="str">
            <v>316/PV-MAR/2026</v>
          </cell>
          <cell r="H788" t="str">
            <v>Titipan PNBP 1 &amp; 2 Balik Nama TB Angeline 219-05 327/07/2026</v>
          </cell>
          <cell r="I788">
            <v>1750000</v>
          </cell>
          <cell r="K788">
            <v>0</v>
          </cell>
          <cell r="M788">
            <v>0</v>
          </cell>
          <cell r="P788">
            <v>1750000</v>
          </cell>
          <cell r="Q788" t="str">
            <v>14 Juli 2026</v>
          </cell>
        </row>
        <row r="789">
          <cell r="B789" t="str">
            <v>051/K/VII/26</v>
          </cell>
          <cell r="C789">
            <v>46217</v>
          </cell>
          <cell r="E789" t="str">
            <v>DIRJEN PAJAK</v>
          </cell>
          <cell r="G789" t="str">
            <v>323/PV-MAR/2026</v>
          </cell>
          <cell r="H789" t="str">
            <v>Pembayaran PPH psl 15, 23, 21 &amp; 4 (2) periode Juni 2026</v>
          </cell>
          <cell r="I789">
            <v>177160595</v>
          </cell>
          <cell r="K789">
            <v>0</v>
          </cell>
          <cell r="M789">
            <v>0</v>
          </cell>
          <cell r="P789">
            <v>177160595</v>
          </cell>
          <cell r="Q789" t="str">
            <v>15 Juli 2026</v>
          </cell>
        </row>
        <row r="790">
          <cell r="B790" t="str">
            <v>052/K/VII/26</v>
          </cell>
          <cell r="C790">
            <v>46217</v>
          </cell>
          <cell r="E790" t="str">
            <v>RIZAL</v>
          </cell>
          <cell r="F790" t="str">
            <v>936/PH/TB.MICHELLE-219/MR/VI/2026</v>
          </cell>
          <cell r="G790" t="str">
            <v>924/OPS-VII/2026</v>
          </cell>
          <cell r="H790" t="str">
            <v>DP perbaikan cerobong TB Michelle 219-08</v>
          </cell>
          <cell r="I790">
            <v>10000000</v>
          </cell>
          <cell r="K790">
            <v>0</v>
          </cell>
          <cell r="M790">
            <v>0</v>
          </cell>
          <cell r="P790">
            <v>10000000</v>
          </cell>
          <cell r="Q790" t="str">
            <v>15 Juli 2026</v>
          </cell>
        </row>
        <row r="791">
          <cell r="B791" t="str">
            <v>053/K/VII/26</v>
          </cell>
          <cell r="C791">
            <v>46217</v>
          </cell>
          <cell r="D791" t="str">
            <v>2604TN3DK</v>
          </cell>
          <cell r="E791" t="str">
            <v>PT PELAYARAN PELANGI SINDUMULIA</v>
          </cell>
          <cell r="F791" t="str">
            <v>0021/PSM/INV/VII/2026</v>
          </cell>
          <cell r="G791" t="str">
            <v>322/PV-MAR/2026</v>
          </cell>
          <cell r="H791" t="str">
            <v>Biaya Freight Charter TB Nautilus 04 - BG Sinar Anugrah 04 (STS Salira MV. Manalagi Tara - PLTU Lontar)</v>
          </cell>
          <cell r="I791">
            <v>240029248</v>
          </cell>
          <cell r="K791">
            <v>15</v>
          </cell>
          <cell r="M791">
            <v>-2880350.9760000003</v>
          </cell>
          <cell r="P791">
            <v>237148897.02399999</v>
          </cell>
          <cell r="Q791" t="str">
            <v>15 Juli 2026</v>
          </cell>
        </row>
        <row r="792">
          <cell r="B792" t="str">
            <v>054/K/VII/26</v>
          </cell>
          <cell r="C792">
            <v>46218</v>
          </cell>
          <cell r="E792" t="str">
            <v>PT HARAPAN MITRA BERSAMA</v>
          </cell>
          <cell r="F792" t="str">
            <v>048-INV/HAMA-MAR/VI/2026</v>
          </cell>
          <cell r="G792" t="str">
            <v>330/PV-MAR/2026</v>
          </cell>
          <cell r="H792" t="str">
            <v>Pembayaran Freight Charter TB Hama 005 / BG Hama 8005 (Jetty Patratani - PLTU Paiton)</v>
          </cell>
          <cell r="I792">
            <v>1371717000</v>
          </cell>
          <cell r="K792">
            <v>15</v>
          </cell>
          <cell r="M792">
            <v>-16460604</v>
          </cell>
          <cell r="N792">
            <v>15000</v>
          </cell>
          <cell r="P792">
            <v>1355271396</v>
          </cell>
          <cell r="Q792" t="str">
            <v>16 Juli 2026</v>
          </cell>
        </row>
        <row r="793">
          <cell r="B793" t="str">
            <v>055/K/VII/26</v>
          </cell>
          <cell r="C793">
            <v>46217</v>
          </cell>
          <cell r="E793" t="str">
            <v>PT NAFV CATALYS LOGIC</v>
          </cell>
          <cell r="F793" t="str">
            <v>INV/029/NCL-MAR/VI/26-00</v>
          </cell>
          <cell r="G793" t="str">
            <v>324/PV-MAR/2026</v>
          </cell>
          <cell r="H793" t="str">
            <v>Pelunasan pembuatan Maritim Armada Raya Platform (MARP) - PARSIAL II</v>
          </cell>
          <cell r="I793">
            <v>200000000</v>
          </cell>
          <cell r="K793">
            <v>0</v>
          </cell>
          <cell r="M793">
            <v>-8000000</v>
          </cell>
          <cell r="N793">
            <v>15000</v>
          </cell>
          <cell r="P793">
            <v>192015000</v>
          </cell>
          <cell r="Q793" t="str">
            <v>16 Juli 2026</v>
          </cell>
        </row>
        <row r="794">
          <cell r="B794" t="str">
            <v>056/K/VII/26</v>
          </cell>
          <cell r="C794">
            <v>46218</v>
          </cell>
          <cell r="E794" t="str">
            <v>PT ADIKARYA BAHARI GEMILANG</v>
          </cell>
          <cell r="F794" t="str">
            <v>089/INV/ABG-MAR/VII/2025-DP</v>
          </cell>
          <cell r="G794" t="str">
            <v>325/PV-MAR/2026</v>
          </cell>
          <cell r="H794" t="str">
            <v>DP Freight charter TB Cipta 2001 / BG Satria 3001 (Jetty TUKS - Bunati)</v>
          </cell>
          <cell r="I794">
            <v>146250000</v>
          </cell>
          <cell r="K794">
            <v>0</v>
          </cell>
          <cell r="M794">
            <v>0</v>
          </cell>
          <cell r="N794">
            <v>15000</v>
          </cell>
          <cell r="P794">
            <v>146265000</v>
          </cell>
          <cell r="Q794" t="str">
            <v>16 Juli 2026</v>
          </cell>
        </row>
        <row r="795">
          <cell r="B795" t="str">
            <v>057/K/VII/26</v>
          </cell>
          <cell r="C795">
            <v>46218</v>
          </cell>
          <cell r="E795" t="str">
            <v>PT ADIKARYA BAHARI GEMILANG</v>
          </cell>
          <cell r="F795" t="str">
            <v>089/INV/ABG-MAR/VII/2025</v>
          </cell>
          <cell r="G795" t="str">
            <v>326/PV-MAR/2026</v>
          </cell>
          <cell r="H795" t="str">
            <v>Pelunasan Freight charter TB Cipta 2001 / BG Satria 3001 (Jetty TUKS - Bunati)</v>
          </cell>
          <cell r="I795">
            <v>134642820</v>
          </cell>
          <cell r="K795">
            <v>15</v>
          </cell>
          <cell r="M795">
            <v>-3370714</v>
          </cell>
          <cell r="N795">
            <v>15000</v>
          </cell>
          <cell r="P795">
            <v>131287106</v>
          </cell>
          <cell r="Q795" t="str">
            <v>16 Juli 2026</v>
          </cell>
        </row>
        <row r="796">
          <cell r="B796" t="str">
            <v>058/K/VII/26</v>
          </cell>
          <cell r="C796">
            <v>46218</v>
          </cell>
          <cell r="E796" t="str">
            <v>PT ANDALAN LANCAR NIAGA</v>
          </cell>
          <cell r="F796" t="str">
            <v>00088/ALN-INV/V/2026</v>
          </cell>
          <cell r="G796" t="str">
            <v>327/PV-MAR/2026</v>
          </cell>
          <cell r="H796" t="str">
            <v>Biaya Freight Charter TB Michelle XVII / BG Benami XVII (Jetty Pt Tiara Bara Borneo - PLTU Barru</v>
          </cell>
          <cell r="I796">
            <v>629000000</v>
          </cell>
          <cell r="K796">
            <v>15</v>
          </cell>
          <cell r="M796">
            <v>-7548000</v>
          </cell>
          <cell r="N796">
            <v>15000</v>
          </cell>
          <cell r="P796">
            <v>621467000</v>
          </cell>
          <cell r="Q796" t="str">
            <v>16 Juli 2026</v>
          </cell>
        </row>
        <row r="797">
          <cell r="B797" t="str">
            <v>059/K/VII/26</v>
          </cell>
          <cell r="C797">
            <v>46218</v>
          </cell>
          <cell r="E797" t="str">
            <v>PT ANDALAN LANCAR NIAGA</v>
          </cell>
          <cell r="F797" t="str">
            <v>00116/ALN-INV/VI/2026</v>
          </cell>
          <cell r="G797" t="str">
            <v>328/PV-MAR/2026</v>
          </cell>
          <cell r="H797" t="str">
            <v>Biaya Freight TB Michelle XV / BG Benami XV Periode 25 Juni 2026 - 24 Juli 2026</v>
          </cell>
          <cell r="I797">
            <v>850000000</v>
          </cell>
          <cell r="K797">
            <v>15</v>
          </cell>
          <cell r="M797">
            <v>-10200000</v>
          </cell>
          <cell r="N797">
            <v>15000</v>
          </cell>
          <cell r="P797">
            <v>839815000</v>
          </cell>
          <cell r="Q797" t="str">
            <v>16 Juli 2026</v>
          </cell>
        </row>
        <row r="798">
          <cell r="B798" t="str">
            <v>060/K/VII/26</v>
          </cell>
          <cell r="C798">
            <v>46218</v>
          </cell>
          <cell r="E798" t="str">
            <v>PT ALPHA PACIFIC LINE</v>
          </cell>
          <cell r="F798" t="str">
            <v>004/APL-F/V/2026</v>
          </cell>
          <cell r="G798" t="str">
            <v>329/PV-MAR/2026</v>
          </cell>
          <cell r="H798" t="str">
            <v>Biaya Freight Charter TB APL 5 / BG Amethyst 8300 (Jetty TUKS - Taboneo)</v>
          </cell>
          <cell r="I798">
            <v>700000000</v>
          </cell>
          <cell r="K798">
            <v>15</v>
          </cell>
          <cell r="M798">
            <v>-8400000</v>
          </cell>
          <cell r="P798">
            <v>691600000</v>
          </cell>
          <cell r="Q798" t="str">
            <v>16 Juli 2026</v>
          </cell>
        </row>
        <row r="799">
          <cell r="B799" t="str">
            <v>061/K/VII/26</v>
          </cell>
          <cell r="C799">
            <v>46218</v>
          </cell>
          <cell r="E799" t="str">
            <v>CV SHARE MULTI TEKNIKA</v>
          </cell>
          <cell r="F799" t="str">
            <v>029/SMT/R.D/VII/26</v>
          </cell>
          <cell r="G799" t="str">
            <v>925/OPS-VII/2026</v>
          </cell>
          <cell r="H799" t="str">
            <v>DP Perbaikan TB Entebe Star 30</v>
          </cell>
          <cell r="I799">
            <v>5400000</v>
          </cell>
          <cell r="K799">
            <v>0</v>
          </cell>
          <cell r="M799">
            <v>0</v>
          </cell>
          <cell r="N799">
            <v>2500</v>
          </cell>
          <cell r="P799">
            <v>5402500</v>
          </cell>
          <cell r="Q799" t="str">
            <v>16 Juli 2026</v>
          </cell>
        </row>
        <row r="800">
          <cell r="B800" t="str">
            <v>062/K/VII/26</v>
          </cell>
          <cell r="C800">
            <v>46218</v>
          </cell>
          <cell r="D800" t="str">
            <v>2604VGVIP</v>
          </cell>
          <cell r="E800" t="str">
            <v xml:space="preserve">PT PERMATA LINTAS ABADI </v>
          </cell>
          <cell r="F800" t="str">
            <v>SD/2607/0006</v>
          </cell>
          <cell r="G800" t="str">
            <v>332/PV-MAR/2026</v>
          </cell>
          <cell r="H800" t="str">
            <v>Pembayaran Freight Charter TB Natasha Makmur / BG Permata PLA 3318 (STS Salira, MV Manalagi Tara - PLTU Lontar)</v>
          </cell>
          <cell r="I800">
            <v>350885885</v>
          </cell>
          <cell r="K800">
            <v>15</v>
          </cell>
          <cell r="M800">
            <v>-4210630.62</v>
          </cell>
          <cell r="N800">
            <v>15000</v>
          </cell>
          <cell r="P800">
            <v>346690254.38</v>
          </cell>
          <cell r="Q800" t="str">
            <v>16 Juli 2026</v>
          </cell>
        </row>
        <row r="801">
          <cell r="B801" t="str">
            <v>063/K/VII/26</v>
          </cell>
          <cell r="C801">
            <v>46218</v>
          </cell>
          <cell r="E801" t="str">
            <v>ZULFADHLI JUSUF</v>
          </cell>
          <cell r="G801" t="str">
            <v>331/PV-MAR/2026</v>
          </cell>
          <cell r="H801" t="str">
            <v>Biaya operasional - penggantian dana talangan</v>
          </cell>
          <cell r="I801">
            <v>500000000</v>
          </cell>
          <cell r="K801">
            <v>0</v>
          </cell>
          <cell r="M801">
            <v>0</v>
          </cell>
          <cell r="P801">
            <v>500000000</v>
          </cell>
          <cell r="Q801" t="str">
            <v>16 Juli 2026</v>
          </cell>
        </row>
        <row r="802">
          <cell r="B802" t="str">
            <v>064/K/VII/26</v>
          </cell>
          <cell r="C802">
            <v>46218</v>
          </cell>
          <cell r="E802" t="str">
            <v>MANDIRI KARADENAN</v>
          </cell>
          <cell r="H802" t="str">
            <v>Angsuran Pinjaman Ke-1 Limit 9.500.000</v>
          </cell>
          <cell r="I802">
            <v>315078492</v>
          </cell>
          <cell r="K802">
            <v>0</v>
          </cell>
          <cell r="M802">
            <v>0</v>
          </cell>
          <cell r="P802">
            <v>315078492</v>
          </cell>
          <cell r="Q802" t="str">
            <v>16 Juli 2026</v>
          </cell>
        </row>
        <row r="803">
          <cell r="B803" t="str">
            <v>065/K/VII/26</v>
          </cell>
          <cell r="C803">
            <v>46218</v>
          </cell>
          <cell r="E803" t="str">
            <v>MANDIRI KARADENAN</v>
          </cell>
          <cell r="H803" t="str">
            <v>Angsuran Pinjaman Ke-9 Limit 11.500.000</v>
          </cell>
          <cell r="I803">
            <v>390826388.43000001</v>
          </cell>
          <cell r="K803">
            <v>0</v>
          </cell>
          <cell r="M803">
            <v>0</v>
          </cell>
          <cell r="P803">
            <v>390826388.43000001</v>
          </cell>
          <cell r="Q803" t="str">
            <v>16 Juli 2026</v>
          </cell>
        </row>
        <row r="804">
          <cell r="B804" t="str">
            <v>066/K/VII/26</v>
          </cell>
          <cell r="C804">
            <v>46219</v>
          </cell>
          <cell r="E804" t="str">
            <v>DIRJEN PAJAK</v>
          </cell>
          <cell r="G804" t="str">
            <v>335/PV-MAR/2026</v>
          </cell>
          <cell r="H804" t="str">
            <v>Pembayaran PPN periode Mei 2026</v>
          </cell>
          <cell r="I804">
            <v>1243376567</v>
          </cell>
          <cell r="K804">
            <v>0</v>
          </cell>
          <cell r="M804">
            <v>0</v>
          </cell>
          <cell r="P804">
            <v>1243376567</v>
          </cell>
          <cell r="Q804" t="str">
            <v>17 Juli 2026</v>
          </cell>
        </row>
        <row r="805">
          <cell r="B805" t="str">
            <v>067/K/VII/26</v>
          </cell>
          <cell r="C805">
            <v>46219</v>
          </cell>
          <cell r="E805" t="str">
            <v>WIN SON</v>
          </cell>
          <cell r="F805" t="str">
            <v>15-07-2026</v>
          </cell>
          <cell r="G805" t="str">
            <v>928/OPS-VII/2026</v>
          </cell>
          <cell r="H805" t="str">
            <v>Buka Tutup Terpal TB Ocean Power 21 / BG Angeline 219 05 Voy. 172 L</v>
          </cell>
          <cell r="I805">
            <v>20500000</v>
          </cell>
          <cell r="K805">
            <v>0</v>
          </cell>
          <cell r="M805">
            <v>0</v>
          </cell>
          <cell r="N805">
            <v>2500</v>
          </cell>
          <cell r="P805">
            <v>20502500</v>
          </cell>
          <cell r="Q805" t="str">
            <v>17 Juli 2026</v>
          </cell>
        </row>
        <row r="806">
          <cell r="B806" t="str">
            <v>068/K/VII/26</v>
          </cell>
          <cell r="C806">
            <v>46219</v>
          </cell>
          <cell r="D806" t="str">
            <v>2604W00TI</v>
          </cell>
          <cell r="E806" t="str">
            <v>VENANTIUS AGUS BASUKI</v>
          </cell>
          <cell r="F806" t="str">
            <v>101/KWT/KKA-VAB/IV/26</v>
          </cell>
          <cell r="G806" t="str">
            <v>333/PV-MAR/2026</v>
          </cell>
          <cell r="H806" t="str">
            <v>Biaya jasa aktuaria per 31 Desember 2025</v>
          </cell>
          <cell r="I806">
            <v>3000000</v>
          </cell>
          <cell r="K806">
            <v>0</v>
          </cell>
          <cell r="M806">
            <v>-75000</v>
          </cell>
          <cell r="P806">
            <v>2925000</v>
          </cell>
          <cell r="Q806" t="str">
            <v>17 Juli 2026</v>
          </cell>
        </row>
        <row r="807">
          <cell r="B807" t="str">
            <v>069/K/VII/26</v>
          </cell>
          <cell r="C807">
            <v>46219</v>
          </cell>
          <cell r="D807" t="str">
            <v>2604VZT5C</v>
          </cell>
          <cell r="E807" t="str">
            <v>MUH IQROM PUTRA</v>
          </cell>
          <cell r="F807" t="str">
            <v>33/MIP/VII/2026</v>
          </cell>
          <cell r="G807" t="str">
            <v>334/PV-MAR/2026</v>
          </cell>
          <cell r="H807" t="str">
            <v xml:space="preserve">Akta laporan tahunan dan surat pemberitahuan kementrian hukum </v>
          </cell>
          <cell r="I807">
            <v>3076923</v>
          </cell>
          <cell r="K807">
            <v>0</v>
          </cell>
          <cell r="M807">
            <v>-76923</v>
          </cell>
          <cell r="N807">
            <v>2500</v>
          </cell>
          <cell r="P807">
            <v>3002500</v>
          </cell>
          <cell r="Q807" t="str">
            <v>17 Juli 2026</v>
          </cell>
        </row>
        <row r="808">
          <cell r="B808" t="str">
            <v>070/K/VII/26</v>
          </cell>
          <cell r="C808">
            <v>46220</v>
          </cell>
          <cell r="D808" t="str">
            <v>2604XWYVI</v>
          </cell>
          <cell r="E808" t="str">
            <v>MAS NUROH YUSUF</v>
          </cell>
          <cell r="G808" t="str">
            <v>337/PV-MAR/2026</v>
          </cell>
          <cell r="H808" t="str">
            <v>Komisi sewa kapalTB Patria 31 / BG Patria 3217</v>
          </cell>
          <cell r="I808">
            <v>106612313</v>
          </cell>
          <cell r="K808">
            <v>0</v>
          </cell>
          <cell r="M808">
            <v>-2665313</v>
          </cell>
          <cell r="N808">
            <v>15000</v>
          </cell>
          <cell r="P808">
            <v>103962000</v>
          </cell>
          <cell r="Q808">
            <v>46223</v>
          </cell>
        </row>
        <row r="809">
          <cell r="B809" t="str">
            <v>071/K/VII/26</v>
          </cell>
          <cell r="C809">
            <v>46220</v>
          </cell>
          <cell r="D809" t="str">
            <v>2604XWYVH</v>
          </cell>
          <cell r="E809" t="str">
            <v>MAS NUROH YUSUF</v>
          </cell>
          <cell r="G809" t="str">
            <v>338/PV-MAR/2026</v>
          </cell>
          <cell r="H809" t="str">
            <v>Komisi sewa kapalTB Patria 31 / BG Patria 3217</v>
          </cell>
          <cell r="I809">
            <v>106612689</v>
          </cell>
          <cell r="K809">
            <v>0</v>
          </cell>
          <cell r="M809">
            <v>-2665313</v>
          </cell>
          <cell r="N809">
            <v>15000</v>
          </cell>
          <cell r="P809">
            <v>103962376</v>
          </cell>
          <cell r="Q809">
            <v>46223</v>
          </cell>
        </row>
        <row r="810">
          <cell r="B810" t="str">
            <v>072/K/VII/26</v>
          </cell>
          <cell r="C810">
            <v>46220</v>
          </cell>
          <cell r="E810" t="str">
            <v>PT WAHANA SAMUDERA AGENCY</v>
          </cell>
          <cell r="F810" t="str">
            <v>022/V/WSA-TR/2026</v>
          </cell>
          <cell r="G810" t="str">
            <v>842/OPS-VI/2026 Add</v>
          </cell>
          <cell r="H810" t="str">
            <v>Pembayaran kekurangan karena revisi invoice (Biaya pemanduan pelayanan PT Pelindo In/Out)</v>
          </cell>
          <cell r="I810">
            <v>2000000</v>
          </cell>
          <cell r="K810">
            <v>0</v>
          </cell>
          <cell r="M810">
            <v>0</v>
          </cell>
          <cell r="N810">
            <v>2500</v>
          </cell>
          <cell r="P810">
            <v>2002500</v>
          </cell>
          <cell r="Q810">
            <v>46223</v>
          </cell>
        </row>
        <row r="811">
          <cell r="B811" t="str">
            <v>073/K/VII/26</v>
          </cell>
          <cell r="C811">
            <v>46220</v>
          </cell>
          <cell r="D811" t="str">
            <v>2604Y21FU</v>
          </cell>
          <cell r="E811" t="str">
            <v>PT PATRIA MARITIME LINES</v>
          </cell>
          <cell r="F811" t="str">
            <v>9231002525</v>
          </cell>
          <cell r="G811" t="str">
            <v>336/PV-MAR/2026</v>
          </cell>
          <cell r="H811" t="str">
            <v>Biaya Freight TB Patria 30 / BG Patria 3211 (Kintap - Rembang)</v>
          </cell>
          <cell r="I811">
            <v>1030696500</v>
          </cell>
          <cell r="K811">
            <v>15</v>
          </cell>
          <cell r="M811">
            <v>-12368358</v>
          </cell>
          <cell r="P811">
            <v>1018328142</v>
          </cell>
          <cell r="Q811">
            <v>46223</v>
          </cell>
        </row>
        <row r="812">
          <cell r="B812" t="str">
            <v>074/K/VII/26</v>
          </cell>
          <cell r="C812">
            <v>46220</v>
          </cell>
          <cell r="E812" t="str">
            <v>PT ADHIUTAMA POWER MANDALA</v>
          </cell>
          <cell r="F812" t="str">
            <v>INV-APM.017/VI.2026</v>
          </cell>
          <cell r="G812" t="str">
            <v>899/OPS-VII/2026</v>
          </cell>
          <cell r="H812" t="str">
            <v>Oil Filter TB Michelle 219-08</v>
          </cell>
          <cell r="I812">
            <v>12085000</v>
          </cell>
          <cell r="J812">
            <v>1329350</v>
          </cell>
          <cell r="K812">
            <v>0</v>
          </cell>
          <cell r="M812">
            <v>0</v>
          </cell>
          <cell r="N812">
            <v>2500</v>
          </cell>
          <cell r="P812">
            <v>13416850</v>
          </cell>
          <cell r="Q812">
            <v>46223</v>
          </cell>
        </row>
        <row r="813">
          <cell r="B813" t="str">
            <v>075/K/VII/26</v>
          </cell>
          <cell r="C813">
            <v>46222</v>
          </cell>
          <cell r="E813" t="str">
            <v>PT PINUS MULIA ABADI</v>
          </cell>
          <cell r="F813" t="str">
            <v>0066/INV-PMA/VII/2026</v>
          </cell>
          <cell r="G813" t="str">
            <v>931/OPS-VII/2026</v>
          </cell>
          <cell r="H813" t="str">
            <v>BBM Solar Industri B40 TB Entebe Star 30 Voyage 165-D</v>
          </cell>
          <cell r="I813">
            <v>277189280.19999999</v>
          </cell>
          <cell r="J813">
            <v>25210820.800000001</v>
          </cell>
          <cell r="K813">
            <v>0</v>
          </cell>
          <cell r="M813">
            <v>0</v>
          </cell>
          <cell r="P813">
            <v>302400101</v>
          </cell>
          <cell r="Q813">
            <v>46223</v>
          </cell>
        </row>
        <row r="814">
          <cell r="B814" t="str">
            <v>076/K/VII/26</v>
          </cell>
          <cell r="C814">
            <v>46220</v>
          </cell>
          <cell r="D814" t="str">
            <v>2604XWW2C</v>
          </cell>
          <cell r="E814" t="str">
            <v>PT AGENCY PELAYARAN INDONESIA</v>
          </cell>
          <cell r="F814" t="str">
            <v>INV-0196/STI-RGI/MAR/V/2026</v>
          </cell>
          <cell r="G814" t="str">
            <v>902/OPS-VII/2026</v>
          </cell>
          <cell r="H814" t="str">
            <v>PNBP Labuh TB APL 7 / BG Baiduri 70273 Voy. 154 D</v>
          </cell>
          <cell r="I814">
            <v>12769957</v>
          </cell>
          <cell r="J814">
            <v>385000</v>
          </cell>
          <cell r="K814">
            <v>0</v>
          </cell>
          <cell r="M814">
            <v>-70000</v>
          </cell>
          <cell r="P814">
            <v>13084957</v>
          </cell>
          <cell r="Q814">
            <v>46223</v>
          </cell>
        </row>
        <row r="815">
          <cell r="B815" t="str">
            <v>076/K/VII/26</v>
          </cell>
          <cell r="C815">
            <v>46220</v>
          </cell>
          <cell r="E815" t="str">
            <v>PT AGENCY PELAYARAN INDONESIA</v>
          </cell>
          <cell r="F815" t="str">
            <v>INV-0188/STI-STS/MAR/V/2026</v>
          </cell>
          <cell r="G815" t="str">
            <v>901/OPS-VII/2026</v>
          </cell>
          <cell r="H815" t="str">
            <v>PNBP Pengawasan Bongkar Muat TB APL 7 / BG Baiduri 70273 Voy. 154 L</v>
          </cell>
          <cell r="I815">
            <v>15865825</v>
          </cell>
          <cell r="K815">
            <v>0</v>
          </cell>
          <cell r="M815">
            <v>0</v>
          </cell>
          <cell r="P815">
            <v>15865825</v>
          </cell>
          <cell r="Q815">
            <v>46223</v>
          </cell>
        </row>
        <row r="816">
          <cell r="B816" t="str">
            <v>076/K/VII/26</v>
          </cell>
          <cell r="C816">
            <v>46220</v>
          </cell>
          <cell r="D816" t="str">
            <v>2604XWW2H</v>
          </cell>
          <cell r="E816" t="str">
            <v>PT AGENCY PELAYARAN INDONESIA</v>
          </cell>
          <cell r="F816" t="str">
            <v>INV-0121/KTP-PTN/MAR/V/2026</v>
          </cell>
          <cell r="G816" t="str">
            <v>900/OPS-VII/2026</v>
          </cell>
          <cell r="H816" t="str">
            <v>PNBP Labuh TB Surya Segara 3 / BG Finacia 96 Voy. 148 L</v>
          </cell>
          <cell r="I816">
            <v>17932057</v>
          </cell>
          <cell r="J816">
            <v>385000</v>
          </cell>
          <cell r="K816">
            <v>0</v>
          </cell>
          <cell r="M816">
            <v>-70000</v>
          </cell>
          <cell r="P816">
            <v>18247057</v>
          </cell>
          <cell r="Q816">
            <v>46223</v>
          </cell>
        </row>
        <row r="817">
          <cell r="B817" t="str">
            <v>077/K/VII/26</v>
          </cell>
          <cell r="C817">
            <v>46220</v>
          </cell>
          <cell r="D817" t="str">
            <v>2604XWW2B</v>
          </cell>
          <cell r="E817" t="str">
            <v>PT PELAYARAN BARITO DUTA SARANA</v>
          </cell>
          <cell r="F817" t="str">
            <v>039/BDS-S/BJM/IV/2026</v>
          </cell>
          <cell r="G817" t="str">
            <v>895/OPS-VI/2026</v>
          </cell>
          <cell r="H817" t="str">
            <v>Biaya Administrasi Operasional TB APL 7 / BG Baiduri 70273 Voy. 142 L</v>
          </cell>
          <cell r="I817">
            <v>57445475</v>
          </cell>
          <cell r="J817">
            <v>275000</v>
          </cell>
          <cell r="K817">
            <v>0</v>
          </cell>
          <cell r="M817">
            <v>-50000</v>
          </cell>
          <cell r="P817">
            <v>57670475</v>
          </cell>
          <cell r="Q817">
            <v>46223</v>
          </cell>
        </row>
        <row r="818">
          <cell r="B818" t="str">
            <v>077/K/VII/26</v>
          </cell>
          <cell r="C818">
            <v>46220</v>
          </cell>
          <cell r="D818" t="str">
            <v>2604XWW2F</v>
          </cell>
          <cell r="E818" t="str">
            <v>PT PELAYARAN BARITO DUTA SARANA</v>
          </cell>
          <cell r="F818" t="str">
            <v>072/BDS-S/BJM/INV/V/2026</v>
          </cell>
          <cell r="G818" t="str">
            <v>896/OPS-VI/2026</v>
          </cell>
          <cell r="H818" t="str">
            <v>Biaya Administrasi Pengapalan KSOP TB Surya Segara 3 Voy. 152 L</v>
          </cell>
          <cell r="I818">
            <v>107155169</v>
          </cell>
          <cell r="J818">
            <v>330000</v>
          </cell>
          <cell r="K818">
            <v>0</v>
          </cell>
          <cell r="M818">
            <v>-60000</v>
          </cell>
          <cell r="P818">
            <v>107425169</v>
          </cell>
          <cell r="Q818">
            <v>46223</v>
          </cell>
        </row>
        <row r="819">
          <cell r="B819" t="str">
            <v>078/K/VII/26</v>
          </cell>
          <cell r="C819">
            <v>46220</v>
          </cell>
          <cell r="D819" t="str">
            <v>2604XWW2D</v>
          </cell>
          <cell r="E819" t="str">
            <v>PT MARITIM BATUBARA PERTAMA</v>
          </cell>
          <cell r="F819" t="str">
            <v>MBP/VI-26/0190</v>
          </cell>
          <cell r="G819" t="str">
            <v>880/OPS-VI/2026</v>
          </cell>
          <cell r="H819" t="str">
            <v>Mooring &amp; Unmooring TB Michelle 219-08 / BG Angeline 219-08 Voy. 155 D</v>
          </cell>
          <cell r="I819">
            <v>2000000</v>
          </cell>
          <cell r="K819">
            <v>0</v>
          </cell>
          <cell r="M819">
            <v>-40000</v>
          </cell>
          <cell r="N819">
            <v>2500</v>
          </cell>
          <cell r="P819">
            <v>1962500</v>
          </cell>
          <cell r="Q819">
            <v>46223</v>
          </cell>
        </row>
        <row r="820">
          <cell r="B820" t="str">
            <v>079/K/VII/26</v>
          </cell>
          <cell r="C820">
            <v>46220</v>
          </cell>
          <cell r="D820" t="str">
            <v>2604XWW2G</v>
          </cell>
          <cell r="E820" t="str">
            <v>PT SINARMAS LDA USAHA PELABUHAN</v>
          </cell>
          <cell r="F820" t="str">
            <v>CI26-03710</v>
          </cell>
          <cell r="G820" t="str">
            <v>878/OPS-VI/2026</v>
          </cell>
          <cell r="H820" t="str">
            <v>Pilotage Fixed Tariff TB Abhiprama 107 / Alara 107 Voy. 157 D</v>
          </cell>
          <cell r="I820">
            <v>21534849</v>
          </cell>
          <cell r="K820">
            <v>0</v>
          </cell>
          <cell r="M820">
            <v>-430697</v>
          </cell>
          <cell r="N820">
            <v>2500</v>
          </cell>
          <cell r="P820">
            <v>21106652</v>
          </cell>
          <cell r="Q820">
            <v>46223</v>
          </cell>
        </row>
        <row r="821">
          <cell r="B821" t="str">
            <v>080/K/VII/26</v>
          </cell>
          <cell r="C821">
            <v>46220</v>
          </cell>
          <cell r="D821" t="str">
            <v>2604XWW2E</v>
          </cell>
          <cell r="E821" t="str">
            <v>PT MULIA SAFETY SERVICE</v>
          </cell>
          <cell r="F821" t="str">
            <v>089/INV/MSS-SRG/III/2026</v>
          </cell>
          <cell r="G821" t="str">
            <v>898/OPS-VII/2026</v>
          </cell>
          <cell r="H821" t="str">
            <v>Inflatable Liferaft Service TB Michelle 219-08</v>
          </cell>
          <cell r="I821">
            <v>20604000</v>
          </cell>
          <cell r="J821">
            <v>2266440</v>
          </cell>
          <cell r="K821">
            <v>0</v>
          </cell>
          <cell r="M821">
            <v>-110000</v>
          </cell>
          <cell r="P821">
            <v>22760440</v>
          </cell>
          <cell r="Q821">
            <v>46223</v>
          </cell>
        </row>
        <row r="822">
          <cell r="B822" t="str">
            <v>081/K/VII/26</v>
          </cell>
          <cell r="C822">
            <v>46220</v>
          </cell>
          <cell r="E822" t="str">
            <v>PT DAIDAN UTAMA PIALANG ASURANSI</v>
          </cell>
          <cell r="F822" t="str">
            <v>1155/CCMH/06/26</v>
          </cell>
          <cell r="G822" t="str">
            <v>866/OPS-VI/2026</v>
          </cell>
          <cell r="H822" t="str">
            <v>Insurance P&amp;I TB Entebe Star 30 &amp; BG Finacia 71 periode 29/05/26 - 29/05/27 (1/4)</v>
          </cell>
          <cell r="I822">
            <v>29900000</v>
          </cell>
          <cell r="K822">
            <v>0</v>
          </cell>
          <cell r="M822">
            <v>0</v>
          </cell>
          <cell r="N822">
            <v>2500</v>
          </cell>
          <cell r="P822">
            <v>29902500</v>
          </cell>
          <cell r="Q822">
            <v>46223</v>
          </cell>
        </row>
        <row r="823">
          <cell r="B823" t="str">
            <v>082/K/VII/26</v>
          </cell>
          <cell r="C823">
            <v>46220</v>
          </cell>
          <cell r="E823" t="str">
            <v>PT ZIO JAYA BAHARI</v>
          </cell>
          <cell r="F823" t="str">
            <v xml:space="preserve"> 082/ZIO-CRB/VI/2026</v>
          </cell>
          <cell r="G823" t="str">
            <v>905/OPS-VII/2026</v>
          </cell>
          <cell r="H823" t="str">
            <v>Biaya Lumpsum Keagenan TB Michelle XV / BG Benami XV Voy. 156 D</v>
          </cell>
          <cell r="I823">
            <v>25187615</v>
          </cell>
          <cell r="K823">
            <v>0</v>
          </cell>
          <cell r="M823">
            <v>-200000</v>
          </cell>
          <cell r="O823">
            <v>200000</v>
          </cell>
          <cell r="P823">
            <v>25187615</v>
          </cell>
          <cell r="Q823">
            <v>46223</v>
          </cell>
        </row>
        <row r="824">
          <cell r="B824" t="str">
            <v>083/K/VII/26</v>
          </cell>
          <cell r="C824">
            <v>46220</v>
          </cell>
          <cell r="D824" t="str">
            <v>2604OKL5Y</v>
          </cell>
          <cell r="E824" t="str">
            <v>PT ELEANOR PRADANA SHIPPING</v>
          </cell>
          <cell r="F824" t="str">
            <v>0061/INV-ELPRAS/VI/2026</v>
          </cell>
          <cell r="G824" t="str">
            <v>904/OPS-VII/2026</v>
          </cell>
          <cell r="H824" t="str">
            <v>Clearance TB Abhiprama 107 / BG Alara 107 Voy. 157 D</v>
          </cell>
          <cell r="I824">
            <v>10389559</v>
          </cell>
          <cell r="J824">
            <v>220000</v>
          </cell>
          <cell r="K824">
            <v>0</v>
          </cell>
          <cell r="M824">
            <v>-40000</v>
          </cell>
          <cell r="N824">
            <v>2500</v>
          </cell>
          <cell r="O824">
            <v>-40000</v>
          </cell>
          <cell r="P824">
            <v>10532059</v>
          </cell>
          <cell r="Q824">
            <v>46223</v>
          </cell>
        </row>
        <row r="825">
          <cell r="B825" t="str">
            <v>084/K/VII/26</v>
          </cell>
          <cell r="C825">
            <v>46223</v>
          </cell>
          <cell r="E825" t="str">
            <v>CAESAR EHRLICH SAMPURNA ACHMAD</v>
          </cell>
          <cell r="G825" t="str">
            <v>339/PV-MAR/2026</v>
          </cell>
          <cell r="H825" t="str">
            <v>Biaya operasional bongkar muat di Lontar - Mei 2026</v>
          </cell>
          <cell r="I825">
            <v>37930000</v>
          </cell>
          <cell r="K825">
            <v>0</v>
          </cell>
          <cell r="M825">
            <v>0</v>
          </cell>
          <cell r="N825">
            <v>2500</v>
          </cell>
          <cell r="P825">
            <v>37932500</v>
          </cell>
          <cell r="Q825">
            <v>46224</v>
          </cell>
        </row>
        <row r="826">
          <cell r="B826" t="str">
            <v>085/K/VII/26</v>
          </cell>
          <cell r="C826">
            <v>46220</v>
          </cell>
          <cell r="D826" t="str">
            <v>2604ZJJH1</v>
          </cell>
          <cell r="E826" t="str">
            <v>ENGGARINGTYAS DONYA WICAHYO LISWARI</v>
          </cell>
          <cell r="F826" t="str">
            <v>020/DW/INV/VII/2026</v>
          </cell>
          <cell r="G826" t="str">
            <v>930/OPS-VII/2026</v>
          </cell>
          <cell r="H826" t="str">
            <v>Pelunasan Palet Kayu TB Entebe Star</v>
          </cell>
          <cell r="I826">
            <v>17500000</v>
          </cell>
          <cell r="K826">
            <v>0</v>
          </cell>
          <cell r="M826">
            <v>-75000</v>
          </cell>
          <cell r="N826">
            <v>2500</v>
          </cell>
          <cell r="P826">
            <v>17427500</v>
          </cell>
          <cell r="Q826">
            <v>46224</v>
          </cell>
        </row>
        <row r="827">
          <cell r="B827" t="str">
            <v>086/K/VII/26</v>
          </cell>
          <cell r="C827">
            <v>46220</v>
          </cell>
          <cell r="D827" t="str">
            <v>2604ZG2JL</v>
          </cell>
          <cell r="E827" t="str">
            <v>PT ASTHA YASA SENTOSA</v>
          </cell>
          <cell r="F827" t="str">
            <v>016/AYS-MAR/INV/2026</v>
          </cell>
          <cell r="G827" t="str">
            <v>929/OPS-VII/2026</v>
          </cell>
          <cell r="H827" t="str">
            <v>Supply material plat 600x600x6 TB Entebe Star 30 Voy. 165 L</v>
          </cell>
          <cell r="I827">
            <v>6300000</v>
          </cell>
          <cell r="K827">
            <v>0</v>
          </cell>
          <cell r="M827">
            <v>-12000</v>
          </cell>
          <cell r="N827">
            <v>2500</v>
          </cell>
          <cell r="P827">
            <v>6290500</v>
          </cell>
          <cell r="Q827">
            <v>46224</v>
          </cell>
        </row>
        <row r="828">
          <cell r="B828" t="str">
            <v>002/K/VII/26 CAV</v>
          </cell>
          <cell r="C828">
            <v>46223</v>
          </cell>
          <cell r="E828" t="str">
            <v>MUHAMMAD ZAKI</v>
          </cell>
          <cell r="G828" t="str">
            <v>CAV011/OPS-VII/2026</v>
          </cell>
          <cell r="H828" t="str">
            <v>Advance operasional Bulan Juli 2026</v>
          </cell>
          <cell r="I828">
            <v>19775579</v>
          </cell>
          <cell r="K828">
            <v>0</v>
          </cell>
          <cell r="M828">
            <v>0</v>
          </cell>
          <cell r="N828">
            <v>2500</v>
          </cell>
          <cell r="P828">
            <v>19778079</v>
          </cell>
          <cell r="Q828">
            <v>46224</v>
          </cell>
        </row>
        <row r="829">
          <cell r="B829" t="str">
            <v>087/K/VII/26</v>
          </cell>
          <cell r="C829">
            <v>46225</v>
          </cell>
          <cell r="D829" t="str">
            <v>260507LKZ</v>
          </cell>
          <cell r="E829" t="str">
            <v>PT PELAYARAN BARITO DUTA SARANA</v>
          </cell>
          <cell r="F829" t="str">
            <v>A. 074/BDS-S/BJM/INV/V/2026</v>
          </cell>
          <cell r="G829" t="str">
            <v>897/OPS-VI/2026</v>
          </cell>
          <cell r="H829" t="str">
            <v>Agency Fee TB APL 7 - BG Baiduri 70273</v>
          </cell>
          <cell r="I829">
            <v>3000000</v>
          </cell>
          <cell r="J829">
            <v>330000</v>
          </cell>
          <cell r="K829">
            <v>0</v>
          </cell>
          <cell r="M829">
            <v>-60000</v>
          </cell>
          <cell r="P829">
            <v>3270000</v>
          </cell>
          <cell r="Q829">
            <v>46224</v>
          </cell>
        </row>
        <row r="830">
          <cell r="B830" t="str">
            <v>087/K/VII/26</v>
          </cell>
          <cell r="C830">
            <v>46225</v>
          </cell>
          <cell r="D830" t="str">
            <v>260507LKZ</v>
          </cell>
          <cell r="E830" t="str">
            <v>PT PELAYARAN BARITO DUTA SARANA</v>
          </cell>
          <cell r="F830" t="str">
            <v>B. 074/BDS-S/BJM/DN/V/2026</v>
          </cell>
          <cell r="G830" t="str">
            <v>897/OPS-VI/2026</v>
          </cell>
          <cell r="H830" t="str">
            <v>Biaya Administrasi Pengapalan KSOP TB APL 7</v>
          </cell>
          <cell r="I830">
            <v>95638387</v>
          </cell>
          <cell r="K830">
            <v>0</v>
          </cell>
          <cell r="M830">
            <v>0</v>
          </cell>
          <cell r="P830">
            <v>95638387</v>
          </cell>
          <cell r="Q830">
            <v>46224</v>
          </cell>
        </row>
        <row r="831">
          <cell r="B831" t="str">
            <v>087/K/VII/26</v>
          </cell>
          <cell r="C831">
            <v>46225</v>
          </cell>
          <cell r="D831" t="str">
            <v>260507LL3</v>
          </cell>
          <cell r="E831" t="str">
            <v>PT PELAYARAN BARITO DUTA SARANA</v>
          </cell>
          <cell r="F831" t="str">
            <v>B. 049/BDS-S/BJM/INV/IV/2026</v>
          </cell>
          <cell r="G831" t="str">
            <v>839/OPS-VI/2026</v>
          </cell>
          <cell r="H831" t="str">
            <v>Biaya administrasi pengapalan TB Surya Segara 3 Voy. 137 L</v>
          </cell>
          <cell r="I831">
            <v>77117887</v>
          </cell>
          <cell r="K831">
            <v>0</v>
          </cell>
          <cell r="M831">
            <v>0</v>
          </cell>
          <cell r="P831">
            <v>77117887</v>
          </cell>
          <cell r="Q831">
            <v>46224</v>
          </cell>
        </row>
        <row r="832">
          <cell r="B832" t="str">
            <v>087/K/VII/26</v>
          </cell>
          <cell r="C832">
            <v>46225</v>
          </cell>
          <cell r="D832" t="str">
            <v>260507LL3</v>
          </cell>
          <cell r="E832" t="str">
            <v>PT PELAYARAN BARITO DUTA SARANA</v>
          </cell>
          <cell r="F832" t="str">
            <v>A. 49/BDS-S/IV/2026</v>
          </cell>
          <cell r="G832" t="str">
            <v>839/OPS-VI/2026</v>
          </cell>
          <cell r="H832" t="str">
            <v>Biaya keagenan TB Surya Segara 3 Voy. 137 L</v>
          </cell>
          <cell r="I832">
            <v>3000000</v>
          </cell>
          <cell r="J832">
            <v>330000</v>
          </cell>
          <cell r="K832">
            <v>0</v>
          </cell>
          <cell r="M832">
            <v>-60000</v>
          </cell>
          <cell r="P832">
            <v>3270000</v>
          </cell>
        </row>
        <row r="833">
          <cell r="B833" t="str">
            <v>087/K/VII/26</v>
          </cell>
          <cell r="C833">
            <v>46225</v>
          </cell>
          <cell r="E833" t="str">
            <v>PT PELAYARAN BARITO DUTA SARANA</v>
          </cell>
          <cell r="F833" t="str">
            <v>B. 49/BDS-S/DN/IV/26</v>
          </cell>
          <cell r="G833" t="str">
            <v>839/OPS-VI/2026</v>
          </cell>
          <cell r="H833" t="str">
            <v>Biaya keagenan TB Surya Segara 3 Voy. 137 L</v>
          </cell>
          <cell r="I833">
            <v>20400000</v>
          </cell>
          <cell r="K833">
            <v>0</v>
          </cell>
          <cell r="M833">
            <v>0</v>
          </cell>
          <cell r="P833">
            <v>20400000</v>
          </cell>
        </row>
        <row r="834">
          <cell r="B834" t="str">
            <v>088/K/VII/26</v>
          </cell>
          <cell r="C834">
            <v>46224</v>
          </cell>
          <cell r="E834" t="str">
            <v>PT LANCAR BAROKAH ENERGI (Mandiri)</v>
          </cell>
          <cell r="F834" t="str">
            <v>0408/LBE-Inv/TB/7/2026</v>
          </cell>
          <cell r="G834" t="str">
            <v>910/OPS-VII/2026</v>
          </cell>
          <cell r="H834" t="str">
            <v>BBM Solar TB Abhiprama 107 Voy. 168 L</v>
          </cell>
          <cell r="I834">
            <v>958558559</v>
          </cell>
          <cell r="J834">
            <v>105441441</v>
          </cell>
          <cell r="K834">
            <v>0</v>
          </cell>
          <cell r="M834">
            <v>0</v>
          </cell>
          <cell r="P834">
            <v>1064000000</v>
          </cell>
          <cell r="Q834">
            <v>46224</v>
          </cell>
        </row>
        <row r="835">
          <cell r="B835" t="str">
            <v xml:space="preserve">089/K/VII/26 </v>
          </cell>
          <cell r="C835">
            <v>46224</v>
          </cell>
          <cell r="E835" t="str">
            <v>YAYASAN AMAL TAMBANG SEMBILAN SEMBILAN MANDIRI</v>
          </cell>
          <cell r="G835" t="str">
            <v>340/PV-MAR/2026</v>
          </cell>
          <cell r="H835" t="str">
            <v>Partisipasi turnamen golf masyarakat pertambangan Indonesia 2026 di Klub Bogor Raya 14 Aug 26</v>
          </cell>
          <cell r="I835">
            <v>25000000</v>
          </cell>
          <cell r="K835">
            <v>0</v>
          </cell>
          <cell r="M835">
            <v>0</v>
          </cell>
          <cell r="P835">
            <v>25000000</v>
          </cell>
          <cell r="Q835">
            <v>46224</v>
          </cell>
        </row>
        <row r="836">
          <cell r="B836" t="str">
            <v>090/K/VII/26</v>
          </cell>
          <cell r="C836">
            <v>46225</v>
          </cell>
          <cell r="D836" t="str">
            <v>260507LL2</v>
          </cell>
          <cell r="E836" t="str">
            <v>PT CAHAYA SAMODERA BERSAUDARA</v>
          </cell>
          <cell r="F836" t="str">
            <v>CSB/KDICS/26/03409</v>
          </cell>
          <cell r="G836" t="str">
            <v>917/OPS-VII/2026</v>
          </cell>
          <cell r="H836" t="str">
            <v>Sirius S4, Rimula R2, dan Ongkir TB Entebe Star 30 Pomalaa</v>
          </cell>
          <cell r="I836">
            <v>2200000</v>
          </cell>
          <cell r="J836">
            <v>242000</v>
          </cell>
          <cell r="K836">
            <v>0</v>
          </cell>
          <cell r="M836">
            <v>-44000</v>
          </cell>
          <cell r="N836">
            <v>6500</v>
          </cell>
          <cell r="P836">
            <v>2404500</v>
          </cell>
          <cell r="Q836">
            <v>46225</v>
          </cell>
        </row>
        <row r="837">
          <cell r="B837" t="str">
            <v>090/K/VII/26</v>
          </cell>
          <cell r="C837">
            <v>46225</v>
          </cell>
          <cell r="D837" t="str">
            <v>260507LL2</v>
          </cell>
          <cell r="E837" t="str">
            <v>PT CAHAYA SAMODERA BERSAUDARA</v>
          </cell>
          <cell r="F837" t="str">
            <v>CSB/KDICS/26/03408</v>
          </cell>
          <cell r="G837" t="str">
            <v>916/OPS-VII/2026</v>
          </cell>
          <cell r="H837" t="str">
            <v>Sirius S4, Rimula R2, dan Ongkir TB Entebe Star 30 Pomalaa</v>
          </cell>
          <cell r="I837">
            <v>33600000</v>
          </cell>
          <cell r="J837">
            <v>3696000</v>
          </cell>
          <cell r="K837">
            <v>0</v>
          </cell>
          <cell r="M837">
            <v>0</v>
          </cell>
          <cell r="P837">
            <v>37296000</v>
          </cell>
          <cell r="Q837">
            <v>46225</v>
          </cell>
        </row>
        <row r="838">
          <cell r="B838" t="str">
            <v>091/K/VII/26</v>
          </cell>
          <cell r="C838">
            <v>46225</v>
          </cell>
          <cell r="D838" t="str">
            <v>260507LL0</v>
          </cell>
          <cell r="E838" t="str">
            <v>PT SINARMAS LDA USAHA PELABUHAN</v>
          </cell>
          <cell r="F838" t="str">
            <v>CI26-04137</v>
          </cell>
          <cell r="G838" t="str">
            <v>918/OPS-VII/2026</v>
          </cell>
          <cell r="H838" t="str">
            <v>Assist tug &amp; pilotage service TB Surya Segara 3 - Finacia 96 TB Surya Segara Voy. 160 D</v>
          </cell>
          <cell r="I838">
            <v>21483693</v>
          </cell>
          <cell r="K838">
            <v>23</v>
          </cell>
          <cell r="M838">
            <v>-429673.86</v>
          </cell>
          <cell r="N838">
            <v>2500</v>
          </cell>
          <cell r="P838">
            <v>21056519.140000001</v>
          </cell>
          <cell r="Q838">
            <v>46225</v>
          </cell>
        </row>
        <row r="839">
          <cell r="B839" t="str">
            <v>091/K/VII/26</v>
          </cell>
          <cell r="C839">
            <v>46225</v>
          </cell>
          <cell r="D839" t="str">
            <v>260507LL0</v>
          </cell>
          <cell r="E839" t="str">
            <v>PT SINARMAS LDA USAHA PELABUHAN</v>
          </cell>
          <cell r="F839" t="str">
            <v>CI26-04292</v>
          </cell>
          <cell r="G839" t="str">
            <v>920/OPS-VII/2026</v>
          </cell>
          <cell r="H839" t="str">
            <v>Assist tug &amp; pilotage service TB Abhiprama 107 - Alara 107 Voy. 161 D</v>
          </cell>
          <cell r="I839">
            <v>21534849</v>
          </cell>
          <cell r="K839">
            <v>23</v>
          </cell>
          <cell r="M839">
            <v>-430696.98</v>
          </cell>
          <cell r="P839">
            <v>21104152.02</v>
          </cell>
          <cell r="Q839">
            <v>46225</v>
          </cell>
        </row>
        <row r="840">
          <cell r="B840" t="str">
            <v>091/K/VII/26</v>
          </cell>
          <cell r="C840">
            <v>46225</v>
          </cell>
          <cell r="D840" t="str">
            <v>260507LL0</v>
          </cell>
          <cell r="E840" t="str">
            <v>PT SINARMAS LDA USAHA PELABUHAN</v>
          </cell>
          <cell r="F840" t="str">
            <v>CI26-04318</v>
          </cell>
          <cell r="G840" t="str">
            <v>919/OPS-VII/2026</v>
          </cell>
          <cell r="H840" t="str">
            <v xml:space="preserve">Assist tug &amp; pilotage service TB APL 7 - Baiduri 70273 Voy. 162 D </v>
          </cell>
          <cell r="I840">
            <v>21499789.5</v>
          </cell>
          <cell r="K840">
            <v>23</v>
          </cell>
          <cell r="M840">
            <v>-429995.79000000004</v>
          </cell>
          <cell r="P840">
            <v>21069793.710000001</v>
          </cell>
          <cell r="Q840">
            <v>46225</v>
          </cell>
        </row>
        <row r="841">
          <cell r="B841" t="str">
            <v>091/K/VII/26</v>
          </cell>
          <cell r="C841">
            <v>46226</v>
          </cell>
          <cell r="D841" t="str">
            <v>26050OO1B</v>
          </cell>
          <cell r="E841" t="str">
            <v>PT PATRIA MARITIME LINES</v>
          </cell>
          <cell r="F841" t="str">
            <v>9231002526</v>
          </cell>
          <cell r="G841" t="str">
            <v>348/PV-MAR/2026</v>
          </cell>
          <cell r="H841" t="str">
            <v>Biaya Freight Charter TB Patria 31 / BG Patria 3217 ( Talenta Bumi - PLTU Lontar )</v>
          </cell>
          <cell r="I841">
            <v>1108830060</v>
          </cell>
          <cell r="K841">
            <v>15</v>
          </cell>
          <cell r="M841">
            <v>-13305960.720000001</v>
          </cell>
          <cell r="P841">
            <v>1095524099.28</v>
          </cell>
          <cell r="Q841">
            <v>46226</v>
          </cell>
        </row>
        <row r="842">
          <cell r="B842" t="str">
            <v>092/K/VII/26</v>
          </cell>
          <cell r="C842">
            <v>46225</v>
          </cell>
          <cell r="D842" t="str">
            <v>260507LL1</v>
          </cell>
          <cell r="E842" t="str">
            <v>PT MARITIM BATUBARA PERTAMA</v>
          </cell>
          <cell r="F842" t="str">
            <v>MBP/VI-26/0225</v>
          </cell>
          <cell r="G842" t="str">
            <v>921/OPS-VII/2026</v>
          </cell>
          <cell r="H842" t="str">
            <v>Mooring &amp; Unmooring Surya Segara 3 - Finacia 96</v>
          </cell>
          <cell r="I842">
            <v>2000000</v>
          </cell>
          <cell r="K842">
            <v>0</v>
          </cell>
          <cell r="M842">
            <v>0</v>
          </cell>
          <cell r="P842">
            <v>2000000</v>
          </cell>
          <cell r="Q842">
            <v>46225</v>
          </cell>
        </row>
        <row r="843">
          <cell r="B843" t="str">
            <v>092/K/VII/26</v>
          </cell>
          <cell r="C843">
            <v>46225</v>
          </cell>
          <cell r="D843" t="str">
            <v>260507LL1</v>
          </cell>
          <cell r="E843" t="str">
            <v>PT MARITIM BATUBARA PERTAMA</v>
          </cell>
          <cell r="F843" t="str">
            <v>MBP/VI-26/0233</v>
          </cell>
          <cell r="G843" t="str">
            <v>922/OPS-VII/2026</v>
          </cell>
          <cell r="H843" t="str">
            <v>Mooring &amp; Unmooring Abhiprama 107 - Alara 107</v>
          </cell>
          <cell r="I843">
            <v>2000000</v>
          </cell>
          <cell r="J843">
            <v>660000</v>
          </cell>
          <cell r="K843">
            <v>0</v>
          </cell>
          <cell r="M843">
            <v>-120000</v>
          </cell>
          <cell r="N843">
            <v>2500</v>
          </cell>
          <cell r="P843">
            <v>2542500</v>
          </cell>
          <cell r="Q843">
            <v>46225</v>
          </cell>
        </row>
        <row r="844">
          <cell r="B844" t="str">
            <v>092/K/VII/26</v>
          </cell>
          <cell r="C844">
            <v>46225</v>
          </cell>
          <cell r="D844" t="str">
            <v>260507LL1</v>
          </cell>
          <cell r="E844" t="str">
            <v>PT MARITIM BATUBARA PERTAMA</v>
          </cell>
          <cell r="F844" t="str">
            <v>MBP/VII-26/0234</v>
          </cell>
          <cell r="G844" t="str">
            <v>923/OPS-VII/2026</v>
          </cell>
          <cell r="H844" t="str">
            <v>Mooring &amp; Unmooring AAPL 7 - BAIDURI 70273</v>
          </cell>
          <cell r="I844">
            <v>2000000</v>
          </cell>
          <cell r="K844">
            <v>0</v>
          </cell>
          <cell r="M844">
            <v>0</v>
          </cell>
          <cell r="P844">
            <v>2000000</v>
          </cell>
          <cell r="Q844">
            <v>46225</v>
          </cell>
        </row>
        <row r="845">
          <cell r="B845" t="str">
            <v>093/K/VII/26</v>
          </cell>
          <cell r="C845">
            <v>46225</v>
          </cell>
          <cell r="D845" t="str">
            <v>260507LKY</v>
          </cell>
          <cell r="E845" t="str">
            <v>PT HAVEN SAMUDRA INDONESIA</v>
          </cell>
          <cell r="F845" t="str">
            <v>012/HSI-KEU/VI/2026</v>
          </cell>
          <cell r="G845" t="str">
            <v>933/OPS-VII/2026</v>
          </cell>
          <cell r="H845" t="str">
            <v>Biaya Keagenan TB APL 7 / BG Baiduri 70273 Voy. 158 D</v>
          </cell>
          <cell r="I845">
            <v>21928141</v>
          </cell>
          <cell r="J845">
            <v>220000</v>
          </cell>
          <cell r="K845">
            <v>0</v>
          </cell>
          <cell r="M845">
            <v>-40000</v>
          </cell>
          <cell r="P845">
            <v>22108141</v>
          </cell>
          <cell r="Q845">
            <v>46225</v>
          </cell>
        </row>
        <row r="846">
          <cell r="B846" t="str">
            <v>094/K/VII/26</v>
          </cell>
          <cell r="C846">
            <v>46226</v>
          </cell>
          <cell r="D846" t="str">
            <v>26050OO1B</v>
          </cell>
          <cell r="E846" t="str">
            <v>PT PATRIA MARITIME LINES</v>
          </cell>
          <cell r="F846" t="str">
            <v>9231002526</v>
          </cell>
          <cell r="G846" t="str">
            <v>348/PV-MAR/2026</v>
          </cell>
          <cell r="H846" t="str">
            <v>Biaya Freight Charter TB Patria 31 / BG Patria 3217 ( Talenta Bumi - PLTU Lontar )</v>
          </cell>
          <cell r="I846">
            <v>1108830060</v>
          </cell>
          <cell r="K846">
            <v>15</v>
          </cell>
          <cell r="M846">
            <v>-13305960.720000001</v>
          </cell>
          <cell r="P846">
            <v>1095524099.28</v>
          </cell>
          <cell r="Q846">
            <v>46226</v>
          </cell>
        </row>
        <row r="847">
          <cell r="B847" t="str">
            <v>095/K/VII/26</v>
          </cell>
          <cell r="C847">
            <v>46226</v>
          </cell>
          <cell r="D847" t="str">
            <v>26050OO1A</v>
          </cell>
          <cell r="E847" t="str">
            <v>PT ANDALAN LANCAR NIAGA</v>
          </cell>
          <cell r="F847" t="str">
            <v>00096/ALN-INV/V/2026</v>
          </cell>
          <cell r="G847" t="str">
            <v>347/PV-MAR/2026</v>
          </cell>
          <cell r="H847" t="str">
            <v>Biaya Freight Charter TB Michelle XVIII / BG Benami XVIII (Jetty MP Kintap - PLTU Lontar)</v>
          </cell>
          <cell r="I847">
            <v>1023525450</v>
          </cell>
          <cell r="K847">
            <v>15</v>
          </cell>
          <cell r="M847">
            <v>-12282305.4</v>
          </cell>
          <cell r="N847">
            <v>15000</v>
          </cell>
          <cell r="P847">
            <v>1011258144.6</v>
          </cell>
          <cell r="Q847">
            <v>46226</v>
          </cell>
        </row>
        <row r="848">
          <cell r="B848" t="str">
            <v>096/K/VII/26</v>
          </cell>
          <cell r="C848">
            <v>46226</v>
          </cell>
          <cell r="D848" t="str">
            <v>26050OO18</v>
          </cell>
          <cell r="E848" t="str">
            <v>PT ANDALAN LANCAR NIAGA</v>
          </cell>
          <cell r="F848" t="str">
            <v>00095/ALN-INV/V/2026</v>
          </cell>
          <cell r="G848" t="str">
            <v>346/PV-MAR/2026</v>
          </cell>
          <cell r="H848" t="str">
            <v>Biaya Freight Charter TB Michelle II &amp; BG Benami II (Jetty Patratani - PLTU Paiton 7-8)</v>
          </cell>
          <cell r="I848">
            <v>1298675000</v>
          </cell>
          <cell r="K848">
            <v>15</v>
          </cell>
          <cell r="M848">
            <v>-15584100</v>
          </cell>
          <cell r="N848">
            <v>15000</v>
          </cell>
          <cell r="P848">
            <v>1283105900</v>
          </cell>
          <cell r="Q848">
            <v>46226</v>
          </cell>
        </row>
        <row r="849">
          <cell r="B849" t="str">
            <v>097/K/VII/26</v>
          </cell>
          <cell r="C849">
            <v>46226</v>
          </cell>
          <cell r="E849" t="str">
            <v>ZULFADHLI JUSUF</v>
          </cell>
          <cell r="G849" t="str">
            <v>345/PV-MAR/2026</v>
          </cell>
          <cell r="H849" t="str">
            <v>Reimburse service berkala mobil operasional - CRV B 2376 HA &amp; Alphard B 2677 SMC</v>
          </cell>
          <cell r="I849">
            <v>6120927</v>
          </cell>
          <cell r="K849">
            <v>0</v>
          </cell>
          <cell r="M849">
            <v>0</v>
          </cell>
          <cell r="P849">
            <v>6120927</v>
          </cell>
          <cell r="Q849">
            <v>46226</v>
          </cell>
        </row>
        <row r="850">
          <cell r="B850" t="str">
            <v>098/K/VII/26</v>
          </cell>
          <cell r="C850">
            <v>46224</v>
          </cell>
          <cell r="D850" t="str">
            <v>2604XWYVI</v>
          </cell>
          <cell r="E850" t="str">
            <v>MAS NUROH YUSUF</v>
          </cell>
          <cell r="G850" t="str">
            <v>341/PV-MAR/2026</v>
          </cell>
          <cell r="H850" t="str">
            <v>Komisi sewa kapal TB Karya Agung 25 / BG Sumber Jaya 3022 (Transaksi 1)</v>
          </cell>
          <cell r="I850">
            <v>106525000</v>
          </cell>
          <cell r="K850">
            <v>0</v>
          </cell>
          <cell r="M850">
            <v>-2663125</v>
          </cell>
          <cell r="N850">
            <v>15000</v>
          </cell>
          <cell r="O850">
            <v>-875</v>
          </cell>
          <cell r="P850">
            <v>103876000</v>
          </cell>
          <cell r="Q850">
            <v>46224</v>
          </cell>
        </row>
        <row r="851">
          <cell r="B851" t="str">
            <v>099/K/VII/26</v>
          </cell>
          <cell r="C851">
            <v>46224</v>
          </cell>
          <cell r="D851" t="str">
            <v>2604XWYVH</v>
          </cell>
          <cell r="E851" t="str">
            <v>MAS NUROH YUSUF</v>
          </cell>
          <cell r="G851" t="str">
            <v>342/PV-MAR/2026</v>
          </cell>
          <cell r="H851" t="str">
            <v>Komisi sewa kapal TB Karya Agung 25 / BG Sumber Jaya 3022 (Transaksi 2)</v>
          </cell>
          <cell r="I851">
            <v>106525000</v>
          </cell>
          <cell r="K851">
            <v>0</v>
          </cell>
          <cell r="M851">
            <v>-2663125</v>
          </cell>
          <cell r="N851">
            <v>15000</v>
          </cell>
          <cell r="O851">
            <v>875</v>
          </cell>
          <cell r="P851">
            <v>103877750</v>
          </cell>
          <cell r="Q851">
            <v>46224</v>
          </cell>
        </row>
        <row r="852">
          <cell r="B852" t="str">
            <v>100/K/VII/26</v>
          </cell>
          <cell r="C852">
            <v>46227</v>
          </cell>
          <cell r="E852" t="str">
            <v>BINA SARANA INFORMATIKA</v>
          </cell>
          <cell r="F852" t="str">
            <v>187.02/Y-BSI/VI/2026</v>
          </cell>
          <cell r="G852" t="str">
            <v>353/PV-MAR/2026</v>
          </cell>
          <cell r="H852" t="str">
            <v>Pembayaran Listrik periode 18 Mei - 15 Juni 2026</v>
          </cell>
          <cell r="I852">
            <v>5436600</v>
          </cell>
          <cell r="K852">
            <v>0</v>
          </cell>
          <cell r="M852">
            <v>0</v>
          </cell>
          <cell r="N852">
            <v>2500</v>
          </cell>
          <cell r="P852">
            <v>5439100</v>
          </cell>
          <cell r="Q852">
            <v>46227</v>
          </cell>
        </row>
        <row r="853">
          <cell r="B853" t="str">
            <v>101/K/VII/26</v>
          </cell>
          <cell r="C853">
            <v>46227</v>
          </cell>
          <cell r="E853" t="str">
            <v>DIREKSI DAN STAFF</v>
          </cell>
          <cell r="G853" t="str">
            <v>349/PV-MAR/2026</v>
          </cell>
          <cell r="H853" t="str">
            <v>Gaji Direksi dan staff periode Juli 2026 sesuai lampiran</v>
          </cell>
          <cell r="I853">
            <v>139363874</v>
          </cell>
          <cell r="K853">
            <v>0</v>
          </cell>
          <cell r="M853">
            <v>0</v>
          </cell>
          <cell r="P853">
            <v>139363874</v>
          </cell>
          <cell r="Q853">
            <v>46227</v>
          </cell>
        </row>
        <row r="854">
          <cell r="B854" t="str">
            <v>102/K/VII/26</v>
          </cell>
          <cell r="C854">
            <v>46227</v>
          </cell>
          <cell r="E854" t="str">
            <v>BPJS KETENAGAKERJAAN staff</v>
          </cell>
          <cell r="G854" t="str">
            <v>350/PV-MAR/2026</v>
          </cell>
          <cell r="H854" t="str">
            <v>BPJS Ketenagakerjaan staff periode Juli 2026</v>
          </cell>
          <cell r="I854">
            <v>11560536</v>
          </cell>
          <cell r="K854">
            <v>0</v>
          </cell>
          <cell r="M854">
            <v>0</v>
          </cell>
          <cell r="P854">
            <v>11560536</v>
          </cell>
          <cell r="Q854">
            <v>46227</v>
          </cell>
        </row>
        <row r="855">
          <cell r="B855" t="str">
            <v>103/K/VII/26</v>
          </cell>
          <cell r="C855">
            <v>46227</v>
          </cell>
          <cell r="E855" t="str">
            <v>BPJS KESEHATAN</v>
          </cell>
          <cell r="G855" t="str">
            <v>351/PV-MAR/2026</v>
          </cell>
          <cell r="H855" t="str">
            <v>BPJS Kesehatan crew ES 30 dan staff periode Juli 2026</v>
          </cell>
          <cell r="I855">
            <v>7543964</v>
          </cell>
          <cell r="K855">
            <v>0</v>
          </cell>
          <cell r="M855">
            <v>0</v>
          </cell>
          <cell r="P855">
            <v>7543964</v>
          </cell>
          <cell r="Q855">
            <v>46227</v>
          </cell>
        </row>
        <row r="856">
          <cell r="B856" t="str">
            <v>104/K/VII/26</v>
          </cell>
          <cell r="C856">
            <v>46224</v>
          </cell>
          <cell r="E856" t="str">
            <v>CAESAR EHRLICH SAMPURNA ACHMAD</v>
          </cell>
          <cell r="G856" t="str">
            <v>343/PV-MAR/2026</v>
          </cell>
          <cell r="H856" t="str">
            <v>Biaya operasional bongkar muat di Talenta - Mei 2026</v>
          </cell>
          <cell r="I856">
            <v>42610000</v>
          </cell>
          <cell r="K856">
            <v>0</v>
          </cell>
          <cell r="M856">
            <v>0</v>
          </cell>
          <cell r="N856">
            <v>2500</v>
          </cell>
          <cell r="P856">
            <v>42612500</v>
          </cell>
          <cell r="Q856">
            <v>46224</v>
          </cell>
        </row>
        <row r="857">
          <cell r="B857" t="str">
            <v>105/K/VII/26</v>
          </cell>
          <cell r="C857">
            <v>46229</v>
          </cell>
          <cell r="E857" t="str">
            <v>PT DUTA BAHTERA SEMESTA</v>
          </cell>
          <cell r="F857" t="str">
            <v>0731/VII/DA/DBSMRK/2026</v>
          </cell>
          <cell r="G857" t="str">
            <v xml:space="preserve"> 001/OPS-VII/2026</v>
          </cell>
          <cell r="H857" t="str">
            <v>Biaya DP U/ TB APL 7/BG BAIDURI 70723</v>
          </cell>
          <cell r="I857">
            <v>24484985</v>
          </cell>
          <cell r="K857">
            <v>0</v>
          </cell>
          <cell r="M857">
            <v>0</v>
          </cell>
          <cell r="P857">
            <v>24484985</v>
          </cell>
          <cell r="Q857">
            <v>46229</v>
          </cell>
        </row>
        <row r="858">
          <cell r="B858" t="str">
            <v>106/K/VII/26</v>
          </cell>
          <cell r="C858">
            <v>46229</v>
          </cell>
          <cell r="E858" t="str">
            <v>CV CAHAYA ABADI</v>
          </cell>
          <cell r="F858" t="str">
            <v>000101</v>
          </cell>
          <cell r="G858" t="str">
            <v>003/OPS-VII/2026</v>
          </cell>
          <cell r="H858" t="str">
            <v>DP (ADVANCE) BY PEMBELIAN TERPAL PLASTIK CAP RAJAWALI</v>
          </cell>
          <cell r="I858">
            <v>19425000</v>
          </cell>
          <cell r="K858">
            <v>0</v>
          </cell>
          <cell r="M858">
            <v>0</v>
          </cell>
          <cell r="N858">
            <v>2500</v>
          </cell>
          <cell r="P858">
            <v>19427500</v>
          </cell>
          <cell r="Q858">
            <v>46229</v>
          </cell>
        </row>
        <row r="859">
          <cell r="B859" t="str">
            <v>107/K/VII/26</v>
          </cell>
          <cell r="C859">
            <v>46230</v>
          </cell>
          <cell r="E859" t="str">
            <v>BPJS KETENAGAKERJAAN crew</v>
          </cell>
          <cell r="G859" t="str">
            <v>352/PV-MAR/2026</v>
          </cell>
          <cell r="H859" t="str">
            <v>BPJS Ketenagakerjaan crew kapal Entebe Star 30 periode Juli 2026</v>
          </cell>
          <cell r="I859">
            <v>2063300</v>
          </cell>
          <cell r="K859">
            <v>0</v>
          </cell>
          <cell r="M859">
            <v>0</v>
          </cell>
          <cell r="P859">
            <v>2063300</v>
          </cell>
          <cell r="Q859">
            <v>46230</v>
          </cell>
        </row>
        <row r="860">
          <cell r="B860" t="str">
            <v>108/K/VII/26</v>
          </cell>
          <cell r="C860">
            <v>46230</v>
          </cell>
          <cell r="D860" t="str">
            <v>26052UCHR</v>
          </cell>
          <cell r="E860" t="str">
            <v>PT KRAKATAU SAMUDRA SOLUSI</v>
          </cell>
          <cell r="F860" t="str">
            <v>KSS.SI.260433</v>
          </cell>
          <cell r="H860" t="str">
            <v>Biaya Freight Charter TB Prima Bahari 29 / BG Citra 3013 (Jetty Tersus - Morosi)</v>
          </cell>
          <cell r="I860">
            <v>951674490</v>
          </cell>
          <cell r="K860">
            <v>0</v>
          </cell>
          <cell r="M860">
            <v>-11420094</v>
          </cell>
          <cell r="P860">
            <v>940254396</v>
          </cell>
          <cell r="Q860">
            <v>46230</v>
          </cell>
        </row>
        <row r="861">
          <cell r="B861" t="str">
            <v>109/K/VII/26</v>
          </cell>
          <cell r="C861">
            <v>46231</v>
          </cell>
          <cell r="E861" t="str">
            <v>PT ALPHA PACIFIC LINE</v>
          </cell>
          <cell r="F861" t="str">
            <v xml:space="preserve">001/APL-F/VII/2026 </v>
          </cell>
          <cell r="G861" t="str">
            <v>355/PV-MAR/2026</v>
          </cell>
          <cell r="H861" t="str">
            <v>Biaya Time Charter TB APL 7 / BG Baiduri 70273 periode 11 Juli - 09 Agustus 2026</v>
          </cell>
          <cell r="I861">
            <v>875000000</v>
          </cell>
          <cell r="K861">
            <v>0</v>
          </cell>
          <cell r="M861">
            <v>-10500000</v>
          </cell>
          <cell r="P861">
            <v>864500000</v>
          </cell>
          <cell r="Q861">
            <v>46231</v>
          </cell>
        </row>
        <row r="862">
          <cell r="B862" t="str">
            <v>110/K/VII/26</v>
          </cell>
          <cell r="C862">
            <v>46232</v>
          </cell>
          <cell r="D862" t="str">
            <v>2604ZVBB5</v>
          </cell>
          <cell r="E862" t="str">
            <v xml:space="preserve">PT PERMATA LINTAS ABADI </v>
          </cell>
          <cell r="F862" t="str">
            <v xml:space="preserve">SD/2607/0011 </v>
          </cell>
          <cell r="G862" t="str">
            <v>358/PV-MAR/2026</v>
          </cell>
          <cell r="H862" t="str">
            <v>Biaya Freight Charter TB Natasha Makmur / BG Permata PLA 3318 (STS Salira, MV Manalagi Tara - PLTU Suralaya Baru)</v>
          </cell>
          <cell r="I862">
            <v>313998828</v>
          </cell>
          <cell r="K862">
            <v>0</v>
          </cell>
          <cell r="M862">
            <v>-3767986</v>
          </cell>
          <cell r="N862">
            <v>15000</v>
          </cell>
          <cell r="P862">
            <v>310245842</v>
          </cell>
          <cell r="Q862">
            <v>46232</v>
          </cell>
        </row>
        <row r="863">
          <cell r="B863" t="str">
            <v>111/K/VII/26</v>
          </cell>
          <cell r="C863">
            <v>46232</v>
          </cell>
          <cell r="D863" t="str">
            <v>26051OEZN</v>
          </cell>
          <cell r="E863" t="str">
            <v>PT ELISHA MILAN TANKERS</v>
          </cell>
          <cell r="F863" t="str">
            <v>067/INV/EMT-MAR/VII/2026</v>
          </cell>
          <cell r="G863" t="str">
            <v>357/PV-MAR/2026</v>
          </cell>
          <cell r="H863" t="str">
            <v>Biaya Freight Charter TB Mahesa 105 / BG Kalya 105 (STS Salira MV. Manalagi - PLTU Pel. Ratu) - PELUNASAN</v>
          </cell>
          <cell r="I863">
            <v>297409280</v>
          </cell>
          <cell r="K863">
            <v>0</v>
          </cell>
          <cell r="M863">
            <v>-3568911</v>
          </cell>
          <cell r="N863">
            <v>15000</v>
          </cell>
          <cell r="O863">
            <v>-1</v>
          </cell>
          <cell r="P863">
            <v>293855368</v>
          </cell>
          <cell r="Q863">
            <v>46232</v>
          </cell>
        </row>
        <row r="864">
          <cell r="B864" t="str">
            <v>112/K/VII/26</v>
          </cell>
          <cell r="C864">
            <v>46230</v>
          </cell>
          <cell r="E864" t="str">
            <v>PT SUMBER ENERGI SUKSES MAKMUR</v>
          </cell>
          <cell r="F864" t="str">
            <v>468 Pro/MARSESM/VII/26</v>
          </cell>
          <cell r="H864" t="str">
            <v>Refund Bank Transit PI 468 Pro/MAR-SESM/VII/26, Refund Bank Transit PI 467 Pro/MAR-SESM/VII/26</v>
          </cell>
          <cell r="I864">
            <v>892500000</v>
          </cell>
          <cell r="K864">
            <v>0</v>
          </cell>
          <cell r="M864">
            <v>0</v>
          </cell>
          <cell r="P864">
            <v>892500000</v>
          </cell>
          <cell r="Q864">
            <v>46230</v>
          </cell>
        </row>
        <row r="865">
          <cell r="B865" t="str">
            <v>112/K/VII/26</v>
          </cell>
          <cell r="C865">
            <v>46230</v>
          </cell>
          <cell r="E865" t="str">
            <v>PT SUMBER ENERGI SUKSES MAKMUR</v>
          </cell>
          <cell r="F865" t="str">
            <v>467 Pro/MARSESM/VII/26</v>
          </cell>
          <cell r="H865" t="str">
            <v>Refund Bank Transit PI 468 Pro/MAR-SESM/VII/26, Refund Bank Transit PI 467 Pro/MAR-SESM/VII/26</v>
          </cell>
          <cell r="I865">
            <v>892500000</v>
          </cell>
          <cell r="K865">
            <v>0</v>
          </cell>
          <cell r="M865">
            <v>0</v>
          </cell>
          <cell r="P865">
            <v>892500000</v>
          </cell>
          <cell r="Q865">
            <v>46230</v>
          </cell>
        </row>
        <row r="866">
          <cell r="B866" t="str">
            <v>113/K/VII/26</v>
          </cell>
          <cell r="C866">
            <v>46231</v>
          </cell>
          <cell r="E866" t="str">
            <v>ANDI ARDI SAID</v>
          </cell>
          <cell r="G866" t="str">
            <v>152/OPS-Premi/2026</v>
          </cell>
          <cell r="H866" t="str">
            <v>Premi crew TB Surva Segara 3 - BG Finacia 96 Voy. 152</v>
          </cell>
          <cell r="I866">
            <v>26878913</v>
          </cell>
          <cell r="K866">
            <v>0</v>
          </cell>
          <cell r="M866">
            <v>0</v>
          </cell>
          <cell r="N866">
            <v>2500</v>
          </cell>
          <cell r="P866">
            <v>26881413</v>
          </cell>
          <cell r="Q866">
            <v>46231</v>
          </cell>
        </row>
        <row r="867">
          <cell r="B867" t="str">
            <v>114/K/VII/26</v>
          </cell>
          <cell r="C867">
            <v>46231</v>
          </cell>
          <cell r="E867" t="str">
            <v>DENY SAMUDRA</v>
          </cell>
          <cell r="G867" t="str">
            <v>159/OPS-Premi/2026</v>
          </cell>
          <cell r="H867" t="str">
            <v>Premi crew TB Entebe Star 30 / BG Finacia 71 Voy. 153</v>
          </cell>
          <cell r="I867">
            <v>8968695</v>
          </cell>
          <cell r="K867">
            <v>0</v>
          </cell>
          <cell r="M867">
            <v>0</v>
          </cell>
          <cell r="P867">
            <v>8968695</v>
          </cell>
          <cell r="Q867">
            <v>46231</v>
          </cell>
        </row>
        <row r="868">
          <cell r="B868" t="str">
            <v>115/K/VII/26</v>
          </cell>
          <cell r="C868">
            <v>46231</v>
          </cell>
          <cell r="E868" t="str">
            <v>DENY SAMUDRA</v>
          </cell>
          <cell r="G868" t="str">
            <v>153/OPS-Premi/2026</v>
          </cell>
          <cell r="H868" t="str">
            <v>Premi crew TB Entebe Star 30 / BG Finacia 71 Voy. 159</v>
          </cell>
          <cell r="I868">
            <v>7622796</v>
          </cell>
          <cell r="K868">
            <v>0</v>
          </cell>
          <cell r="M868">
            <v>0</v>
          </cell>
          <cell r="P868">
            <v>7622796</v>
          </cell>
          <cell r="Q868">
            <v>46231</v>
          </cell>
        </row>
        <row r="869">
          <cell r="B869" t="str">
            <v>116/K/VII/26</v>
          </cell>
          <cell r="C869">
            <v>46231</v>
          </cell>
          <cell r="E869" t="str">
            <v>ANDI ARMAN</v>
          </cell>
          <cell r="G869" t="str">
            <v>155/OPS-Premi/2026</v>
          </cell>
          <cell r="H869" t="str">
            <v>Premi crew TB Michelle 219-08 - BG Angeline 219-08 Voy. 155</v>
          </cell>
          <cell r="I869">
            <v>20161814</v>
          </cell>
          <cell r="K869">
            <v>0</v>
          </cell>
          <cell r="M869">
            <v>0</v>
          </cell>
          <cell r="N869">
            <v>2500</v>
          </cell>
          <cell r="P869">
            <v>20164314</v>
          </cell>
          <cell r="Q869">
            <v>46231</v>
          </cell>
        </row>
        <row r="870">
          <cell r="B870" t="str">
            <v>117/K/VII/26</v>
          </cell>
          <cell r="C870">
            <v>46231</v>
          </cell>
          <cell r="E870" t="str">
            <v>NURSANDI</v>
          </cell>
          <cell r="G870" t="str">
            <v>156/OPS-Premi/2026</v>
          </cell>
          <cell r="H870" t="str">
            <v>Premi crew TB Michelle XV / BG Benami XV Voy. 156</v>
          </cell>
          <cell r="I870">
            <v>18235633</v>
          </cell>
          <cell r="K870">
            <v>0</v>
          </cell>
          <cell r="M870">
            <v>0</v>
          </cell>
          <cell r="P870">
            <v>18235633</v>
          </cell>
          <cell r="Q870">
            <v>46231</v>
          </cell>
        </row>
        <row r="871">
          <cell r="B871" t="str">
            <v>118/K/VII/26</v>
          </cell>
          <cell r="C871">
            <v>46231</v>
          </cell>
          <cell r="E871" t="str">
            <v>STEVANUS HATMOKO</v>
          </cell>
          <cell r="G871" t="str">
            <v>157/OPS-Premi/2026</v>
          </cell>
          <cell r="H871" t="str">
            <v>Premi crew TB Abhiprama 107 - BG Alara 107 Voy. 157</v>
          </cell>
          <cell r="I871">
            <v>31428273</v>
          </cell>
          <cell r="K871">
            <v>0</v>
          </cell>
          <cell r="M871">
            <v>0</v>
          </cell>
          <cell r="P871">
            <v>31428273</v>
          </cell>
          <cell r="Q871">
            <v>46231</v>
          </cell>
        </row>
        <row r="872">
          <cell r="B872" t="str">
            <v>119/K/VII/26</v>
          </cell>
          <cell r="C872">
            <v>46231</v>
          </cell>
          <cell r="E872" t="str">
            <v>LASTE FERI KUSUMA</v>
          </cell>
          <cell r="G872" t="str">
            <v>158/OPS-Premi/2026</v>
          </cell>
          <cell r="H872" t="str">
            <v>Premi crew TB APL 7 - Baiduri 70273 Voy. 158</v>
          </cell>
          <cell r="I872">
            <v>42852827</v>
          </cell>
          <cell r="K872">
            <v>0</v>
          </cell>
          <cell r="M872">
            <v>0</v>
          </cell>
          <cell r="P872">
            <v>42852827</v>
          </cell>
          <cell r="Q872">
            <v>46231</v>
          </cell>
        </row>
        <row r="873">
          <cell r="B873" t="str">
            <v>120/K/VII/26</v>
          </cell>
          <cell r="C873">
            <v>46231</v>
          </cell>
          <cell r="E873" t="str">
            <v>ANDI ARDI SAID</v>
          </cell>
          <cell r="G873" t="str">
            <v>160/OPS-Premi/2026</v>
          </cell>
          <cell r="H873" t="str">
            <v>Premi crew TB Surya Segara 3 - BG Finacia 96 Voy. 160</v>
          </cell>
          <cell r="I873">
            <v>29718114</v>
          </cell>
          <cell r="K873">
            <v>0</v>
          </cell>
          <cell r="M873">
            <v>0</v>
          </cell>
          <cell r="N873">
            <v>2500</v>
          </cell>
          <cell r="P873">
            <v>29720614</v>
          </cell>
          <cell r="Q873">
            <v>46231</v>
          </cell>
        </row>
        <row r="874">
          <cell r="B874" t="str">
            <v>121/K/VII/26</v>
          </cell>
          <cell r="C874">
            <v>46231</v>
          </cell>
          <cell r="E874" t="str">
            <v>STEVANUS HATMOKO</v>
          </cell>
          <cell r="G874" t="str">
            <v>161/OPS-Premi/2026</v>
          </cell>
          <cell r="H874" t="str">
            <v>Premi crew TB Abhiprama 107 - BG Alara 107 Voy. 161</v>
          </cell>
          <cell r="I874">
            <v>22803768</v>
          </cell>
          <cell r="K874">
            <v>0</v>
          </cell>
          <cell r="M874">
            <v>0</v>
          </cell>
          <cell r="P874">
            <v>22803768</v>
          </cell>
          <cell r="Q874">
            <v>46231</v>
          </cell>
        </row>
        <row r="875">
          <cell r="B875" t="str">
            <v>122/K/VII/26</v>
          </cell>
          <cell r="C875">
            <v>46231</v>
          </cell>
          <cell r="E875" t="str">
            <v>LASTE FERI KUSUMA</v>
          </cell>
          <cell r="G875" t="str">
            <v>162/OPS-Premi/2026</v>
          </cell>
          <cell r="H875" t="str">
            <v>Premi crew TB APL 7 / BG Baiduri 70273 Voy. 162</v>
          </cell>
          <cell r="I875">
            <v>21252049</v>
          </cell>
          <cell r="K875">
            <v>0</v>
          </cell>
          <cell r="M875">
            <v>0</v>
          </cell>
          <cell r="P875">
            <v>21252049</v>
          </cell>
          <cell r="Q875">
            <v>46231</v>
          </cell>
        </row>
        <row r="876">
          <cell r="B876" t="str">
            <v>123/K/VII/26</v>
          </cell>
          <cell r="C876">
            <v>46231</v>
          </cell>
          <cell r="E876" t="str">
            <v>AGUS</v>
          </cell>
          <cell r="G876" t="str">
            <v>163/OPS-Premi/2026</v>
          </cell>
          <cell r="H876" t="str">
            <v>Premi crew TB Ocean Power 21 - BG Angeline 219-05 Voy. 163</v>
          </cell>
          <cell r="I876">
            <v>13619872</v>
          </cell>
          <cell r="K876">
            <v>0</v>
          </cell>
          <cell r="M876">
            <v>0</v>
          </cell>
          <cell r="N876">
            <v>2500</v>
          </cell>
          <cell r="P876">
            <v>13622372</v>
          </cell>
          <cell r="Q876">
            <v>46231</v>
          </cell>
        </row>
        <row r="877">
          <cell r="B877" t="str">
            <v>124/K/VII/26</v>
          </cell>
          <cell r="C877">
            <v>46231</v>
          </cell>
          <cell r="E877" t="str">
            <v>ANDI ARMAN</v>
          </cell>
          <cell r="G877" t="str">
            <v>164/OPS-Premi/2026</v>
          </cell>
          <cell r="H877" t="str">
            <v>Premi crew TB Michelle 219-08 / BG Angeline 219-08 Voy. 164</v>
          </cell>
          <cell r="I877">
            <v>24223889</v>
          </cell>
          <cell r="K877">
            <v>0</v>
          </cell>
          <cell r="M877">
            <v>0</v>
          </cell>
          <cell r="N877">
            <v>2500</v>
          </cell>
          <cell r="P877">
            <v>24226389</v>
          </cell>
          <cell r="Q877">
            <v>46231</v>
          </cell>
        </row>
        <row r="878">
          <cell r="B878" t="str">
            <v>125/K/VII/16</v>
          </cell>
          <cell r="C878">
            <v>46231</v>
          </cell>
          <cell r="E878" t="str">
            <v>NURSANDI</v>
          </cell>
          <cell r="G878" t="str">
            <v>166/OPS-Premi/2026</v>
          </cell>
          <cell r="H878" t="str">
            <v>Premi crew TB Michelle XV / BG Benami XV Voy. 166</v>
          </cell>
          <cell r="I878">
            <v>13728357</v>
          </cell>
          <cell r="K878">
            <v>0</v>
          </cell>
          <cell r="M878">
            <v>0</v>
          </cell>
          <cell r="P878">
            <v>13728357</v>
          </cell>
          <cell r="Q878">
            <v>46231</v>
          </cell>
        </row>
        <row r="879">
          <cell r="B879" t="str">
            <v>126/K/VII/26</v>
          </cell>
          <cell r="C879">
            <v>46225</v>
          </cell>
          <cell r="E879" t="str">
            <v>YONI FIRDAUS WIBOWO</v>
          </cell>
          <cell r="G879" t="str">
            <v>344/PV-MAR/2026</v>
          </cell>
          <cell r="H879" t="str">
            <v>Reimbursement Pak Yoni periode 09 s.d 12 Juli 2026</v>
          </cell>
          <cell r="I879">
            <v>1590160</v>
          </cell>
          <cell r="K879">
            <v>0</v>
          </cell>
          <cell r="M879">
            <v>0</v>
          </cell>
          <cell r="P879">
            <v>1590160</v>
          </cell>
          <cell r="Q879">
            <v>46225</v>
          </cell>
        </row>
        <row r="880">
          <cell r="B880" t="str">
            <v>127/K/VII/26</v>
          </cell>
          <cell r="C880">
            <v>46233</v>
          </cell>
          <cell r="D880" t="str">
            <v>2604ZVBB3</v>
          </cell>
          <cell r="E880" t="str">
            <v>PT ANDALAN LANCAR NIAGA</v>
          </cell>
          <cell r="F880" t="str">
            <v>00151/ALN-INV/VII/2026</v>
          </cell>
          <cell r="G880" t="str">
            <v>361/PV-MAR/2026</v>
          </cell>
          <cell r="H880" t="str">
            <v>Biaya Time Charter TB Michelle XV / BG Benami XV periode 25 Juli s.d 24 Agustus 2026</v>
          </cell>
          <cell r="I880">
            <v>850000000</v>
          </cell>
          <cell r="K880">
            <v>0</v>
          </cell>
          <cell r="M880">
            <v>-10200000</v>
          </cell>
          <cell r="N880">
            <v>15000</v>
          </cell>
          <cell r="P880">
            <v>839815000</v>
          </cell>
          <cell r="Q880">
            <v>46233</v>
          </cell>
        </row>
        <row r="881">
          <cell r="B881" t="str">
            <v>128/K/VII/26</v>
          </cell>
          <cell r="C881">
            <v>46233</v>
          </cell>
          <cell r="E881" t="str">
            <v>PT ALPHA PACIFIC LINE</v>
          </cell>
          <cell r="F881" t="str">
            <v xml:space="preserve">002/APL-F/VI/2026 </v>
          </cell>
          <cell r="G881" t="str">
            <v>362/PV-MAR/2026</v>
          </cell>
          <cell r="H881" t="str">
            <v>Biaya Freight Charter TB APL 5 / BG Amethyst 8300 ( Jetty BATS - Bintang Ninggi )</v>
          </cell>
          <cell r="I881">
            <v>1293201951</v>
          </cell>
          <cell r="K881">
            <v>0</v>
          </cell>
          <cell r="M881">
            <v>-15518432</v>
          </cell>
          <cell r="O881">
            <v>10</v>
          </cell>
          <cell r="P881">
            <v>1277683529</v>
          </cell>
          <cell r="Q881">
            <v>46233</v>
          </cell>
        </row>
        <row r="882">
          <cell r="B882" t="str">
            <v>129/K/VII/26</v>
          </cell>
          <cell r="C882">
            <v>46233</v>
          </cell>
          <cell r="D882" t="str">
            <v>2604ZVBB2</v>
          </cell>
          <cell r="E882" t="str">
            <v>PT DINASTI SAMUDERA ABADI</v>
          </cell>
          <cell r="F882" t="str">
            <v>23/INV-TK/MAR-DSA/VII/26</v>
          </cell>
          <cell r="G882" t="str">
            <v>363/PV-MAR/2026</v>
          </cell>
          <cell r="H882" t="str">
            <v xml:space="preserve">Biaya Freight Charter TB Emperor 3 / BG Dinasti 3003 ( Jetty WBS - PLTU Paiton ) </v>
          </cell>
          <cell r="I882">
            <v>1297641687</v>
          </cell>
          <cell r="K882">
            <v>15</v>
          </cell>
          <cell r="M882">
            <v>-15571700.244000001</v>
          </cell>
          <cell r="N882">
            <v>15000</v>
          </cell>
          <cell r="O882">
            <v>-1</v>
          </cell>
          <cell r="P882">
            <v>1282084985.756</v>
          </cell>
          <cell r="Q882">
            <v>46233</v>
          </cell>
        </row>
        <row r="883">
          <cell r="B883" t="str">
            <v>130/K/VII/26</v>
          </cell>
          <cell r="C883">
            <v>46233</v>
          </cell>
          <cell r="E883" t="str">
            <v>ZULFADHLI JUSUF</v>
          </cell>
          <cell r="G883" t="str">
            <v>359/PV-MAR/2026</v>
          </cell>
          <cell r="H883" t="str">
            <v>Penambahan petty cash periode Mei s.d Juli 2026</v>
          </cell>
          <cell r="I883">
            <v>255000000</v>
          </cell>
          <cell r="K883">
            <v>0</v>
          </cell>
          <cell r="M883">
            <v>0</v>
          </cell>
          <cell r="P883">
            <v>255000000</v>
          </cell>
          <cell r="Q883">
            <v>46233</v>
          </cell>
        </row>
        <row r="884">
          <cell r="B884" t="str">
            <v>131/K/VII/26</v>
          </cell>
          <cell r="C884">
            <v>46233</v>
          </cell>
          <cell r="E884" t="str">
            <v>PT MARITIM ARMADA RAYA</v>
          </cell>
          <cell r="G884" t="str">
            <v>360/PV-MAR/2026</v>
          </cell>
          <cell r="H884" t="str">
            <v>Penambahan saldo rekening giro</v>
          </cell>
          <cell r="I884">
            <v>10000000</v>
          </cell>
          <cell r="K884">
            <v>0</v>
          </cell>
          <cell r="M884">
            <v>0</v>
          </cell>
          <cell r="P884">
            <v>10000000</v>
          </cell>
          <cell r="Q884">
            <v>46233</v>
          </cell>
        </row>
        <row r="885">
          <cell r="B885" t="str">
            <v>132/K/VII/26</v>
          </cell>
          <cell r="C885">
            <v>46234</v>
          </cell>
          <cell r="E885" t="str">
            <v>DIRJEN PAJAK</v>
          </cell>
          <cell r="G885" t="str">
            <v>364/PV-MAR/2026</v>
          </cell>
          <cell r="H885" t="str">
            <v>Pembayaran PPN periode Juni 2026</v>
          </cell>
          <cell r="I885">
            <v>3098983262</v>
          </cell>
          <cell r="K885">
            <v>0</v>
          </cell>
          <cell r="M885">
            <v>0</v>
          </cell>
          <cell r="P885">
            <v>3098983262</v>
          </cell>
          <cell r="Q885">
            <v>46234</v>
          </cell>
        </row>
        <row r="886">
          <cell r="B886" t="str">
            <v>133/K/VII/26</v>
          </cell>
          <cell r="C886">
            <v>46234</v>
          </cell>
          <cell r="E886" t="str">
            <v>CREW ENTEBE STAR 30 / FINACIA 71</v>
          </cell>
          <cell r="H886" t="str">
            <v>Gaji Crew TB Entebe Star 30/BG Finacia 71 Per Juli 2026</v>
          </cell>
          <cell r="I886">
            <v>68500000</v>
          </cell>
          <cell r="K886">
            <v>0</v>
          </cell>
          <cell r="M886">
            <v>0</v>
          </cell>
          <cell r="N886">
            <v>26000</v>
          </cell>
          <cell r="P886">
            <v>68526000</v>
          </cell>
          <cell r="Q886">
            <v>46234</v>
          </cell>
        </row>
        <row r="887">
          <cell r="B887" t="str">
            <v>134/K/VII/26</v>
          </cell>
          <cell r="C887">
            <v>46234</v>
          </cell>
          <cell r="E887" t="str">
            <v>CREW SURYA SEGARA 3 / FINACIA 96</v>
          </cell>
          <cell r="H887" t="str">
            <v>Gaji Crew TB Surya Segara 3/BG Finacia 96 Per Juli 2026</v>
          </cell>
          <cell r="I887">
            <v>68500000</v>
          </cell>
          <cell r="K887">
            <v>0</v>
          </cell>
          <cell r="M887">
            <v>0</v>
          </cell>
          <cell r="N887">
            <v>39000</v>
          </cell>
          <cell r="P887">
            <v>68539000</v>
          </cell>
          <cell r="Q887">
            <v>46234</v>
          </cell>
        </row>
        <row r="888">
          <cell r="B888" t="str">
            <v>135/K/VII/26</v>
          </cell>
          <cell r="C888">
            <v>46234</v>
          </cell>
          <cell r="E888" t="str">
            <v>CREW MICHELLE 219-08 / ANGELINE 219-08</v>
          </cell>
          <cell r="H888" t="str">
            <v>Gaji Crew TB Michelle 219-08/BG Angeline 219-08 Per Juli 2026</v>
          </cell>
          <cell r="I888">
            <v>68500000</v>
          </cell>
          <cell r="K888">
            <v>0</v>
          </cell>
          <cell r="M888">
            <v>0</v>
          </cell>
          <cell r="N888">
            <v>19500</v>
          </cell>
          <cell r="P888">
            <v>68519500</v>
          </cell>
          <cell r="Q888">
            <v>46234</v>
          </cell>
        </row>
        <row r="889">
          <cell r="B889" t="str">
            <v>136/K/VII/26</v>
          </cell>
          <cell r="C889">
            <v>46234</v>
          </cell>
          <cell r="E889" t="str">
            <v>CREW OCEAN POWER 21 / BG ANGELINE 219-05</v>
          </cell>
          <cell r="H889" t="str">
            <v>Gaji Crew TB Ocean Power 21 / BG Angeline 219-05 Per Juli 2026</v>
          </cell>
          <cell r="I889">
            <v>72919355</v>
          </cell>
          <cell r="K889">
            <v>0</v>
          </cell>
          <cell r="M889">
            <v>0</v>
          </cell>
          <cell r="N889">
            <v>19500</v>
          </cell>
          <cell r="O889">
            <v>1</v>
          </cell>
          <cell r="P889">
            <v>72938856</v>
          </cell>
          <cell r="Q889">
            <v>46234</v>
          </cell>
        </row>
        <row r="890">
          <cell r="B890" t="str">
            <v>137/K/VII/26</v>
          </cell>
          <cell r="C890">
            <v>46234</v>
          </cell>
          <cell r="E890" t="str">
            <v>YUDIANTO</v>
          </cell>
          <cell r="G890" t="str">
            <v>369/PV-MAR/2026</v>
          </cell>
          <cell r="H890" t="str">
            <v>Uang makan crew Entebe Star 30 / Finacia 71 periode Agustus 2026</v>
          </cell>
          <cell r="I890">
            <v>17050000</v>
          </cell>
          <cell r="K890">
            <v>0</v>
          </cell>
          <cell r="M890">
            <v>0</v>
          </cell>
          <cell r="P890">
            <v>17050000</v>
          </cell>
          <cell r="Q890">
            <v>46234</v>
          </cell>
        </row>
        <row r="891">
          <cell r="B891" t="str">
            <v>138/K/VII/26</v>
          </cell>
          <cell r="C891">
            <v>46234</v>
          </cell>
          <cell r="E891" t="str">
            <v>ANDI ARDI SAID</v>
          </cell>
          <cell r="G891" t="str">
            <v>370/PV-MAR/2026</v>
          </cell>
          <cell r="H891" t="str">
            <v>Uang makan crew Surya Segara 3 / Finacia 96 periode Agustus 2026</v>
          </cell>
          <cell r="I891">
            <v>17050000</v>
          </cell>
          <cell r="K891">
            <v>0</v>
          </cell>
          <cell r="M891">
            <v>0</v>
          </cell>
          <cell r="N891">
            <v>2500</v>
          </cell>
          <cell r="P891">
            <v>17052500</v>
          </cell>
          <cell r="Q891">
            <v>46234</v>
          </cell>
        </row>
        <row r="892">
          <cell r="B892" t="str">
            <v>139/K/VII/26</v>
          </cell>
          <cell r="C892">
            <v>46234</v>
          </cell>
          <cell r="E892" t="str">
            <v>ANDI ARMAN</v>
          </cell>
          <cell r="G892" t="str">
            <v>371/PV-MAR/2026</v>
          </cell>
          <cell r="H892" t="str">
            <v>Uang makan crew Michelle 219-08/Angeline 219-08 periode Agustus 2026</v>
          </cell>
          <cell r="I892">
            <v>17050000</v>
          </cell>
          <cell r="K892">
            <v>0</v>
          </cell>
          <cell r="M892">
            <v>0</v>
          </cell>
          <cell r="N892">
            <v>2500</v>
          </cell>
          <cell r="P892">
            <v>17052500</v>
          </cell>
          <cell r="Q892">
            <v>46234</v>
          </cell>
        </row>
        <row r="893">
          <cell r="B893" t="str">
            <v>140/K/VII/26</v>
          </cell>
          <cell r="C893">
            <v>46234</v>
          </cell>
          <cell r="E893" t="str">
            <v>BUDI KAHANA</v>
          </cell>
          <cell r="G893" t="str">
            <v>372/PV-MAR/2026</v>
          </cell>
          <cell r="H893" t="str">
            <v>Uang makan crew Ocean Power 21/Angeline 219-05 periode Agustus 2026</v>
          </cell>
          <cell r="I893">
            <v>17050000</v>
          </cell>
          <cell r="K893">
            <v>0</v>
          </cell>
          <cell r="M893">
            <v>0</v>
          </cell>
          <cell r="P893">
            <v>17050000</v>
          </cell>
          <cell r="Q893">
            <v>46234</v>
          </cell>
        </row>
        <row r="894">
          <cell r="B894" t="str">
            <v>141/K/VII/26</v>
          </cell>
          <cell r="C894">
            <v>46230</v>
          </cell>
          <cell r="D894" t="str">
            <v>260572W4Z</v>
          </cell>
          <cell r="E894" t="str">
            <v>CV MULTI REZEKI</v>
          </cell>
          <cell r="F894" t="str">
            <v>941/PP/TB MICHELLE-219/MR/VII/2026</v>
          </cell>
          <cell r="H894" t="str">
            <v>Pelunasan Jasa Pengelasan Perbaikan Slincer Knalpot TB Michelle 219</v>
          </cell>
          <cell r="I894">
            <v>10000000</v>
          </cell>
          <cell r="K894">
            <v>0</v>
          </cell>
          <cell r="M894">
            <v>-500000</v>
          </cell>
          <cell r="P894">
            <v>9500000</v>
          </cell>
          <cell r="Q894">
            <v>46230</v>
          </cell>
        </row>
        <row r="895">
          <cell r="B895" t="str">
            <v>142/K/VII/26</v>
          </cell>
          <cell r="C895">
            <v>46225</v>
          </cell>
          <cell r="E895" t="str">
            <v>PT TANTO CITRA MANDIRI</v>
          </cell>
          <cell r="F895">
            <v>13025</v>
          </cell>
          <cell r="G895" t="str">
            <v>926/OPS-VII/2026</v>
          </cell>
          <cell r="H895" t="str">
            <v>Premi asusransi TB Ocean Power 21 / BG Angeline 219-05</v>
          </cell>
          <cell r="I895">
            <v>8110000</v>
          </cell>
          <cell r="K895">
            <v>0</v>
          </cell>
          <cell r="M895">
            <v>0</v>
          </cell>
          <cell r="N895">
            <v>2500</v>
          </cell>
          <cell r="P895">
            <v>8112500</v>
          </cell>
          <cell r="Q895">
            <v>46225</v>
          </cell>
        </row>
        <row r="896">
          <cell r="B896" t="str">
            <v>143/K/VII/26</v>
          </cell>
          <cell r="C896">
            <v>46225</v>
          </cell>
          <cell r="E896" t="str">
            <v>PT MULTI ARTHA SEGORO</v>
          </cell>
          <cell r="F896" t="str">
            <v>049/MAS-MAR/HSD/VII/2026</v>
          </cell>
          <cell r="G896" t="str">
            <v>911/OPS-VII/2026</v>
          </cell>
          <cell r="H896" t="str">
            <v>Bunker TB Michelle 219-08 Voy. 170 L Port. Cirebon</v>
          </cell>
          <cell r="I896">
            <v>501000000</v>
          </cell>
          <cell r="J896">
            <v>55110000</v>
          </cell>
          <cell r="K896">
            <v>0</v>
          </cell>
          <cell r="M896">
            <v>0</v>
          </cell>
          <cell r="P896">
            <v>556110000</v>
          </cell>
          <cell r="Q896">
            <v>46225</v>
          </cell>
        </row>
        <row r="897">
          <cell r="B897" t="str">
            <v>144/K/VII/26</v>
          </cell>
          <cell r="C897">
            <v>46212</v>
          </cell>
          <cell r="E897" t="str">
            <v>PT ADHI GUNA PUTERA (Banten)</v>
          </cell>
          <cell r="H897" t="str">
            <v>Double Bayar Adhiguna Paiton Invoice K0167 &amp; 135</v>
          </cell>
          <cell r="I897">
            <v>35553027</v>
          </cell>
          <cell r="K897">
            <v>0</v>
          </cell>
          <cell r="M897">
            <v>0</v>
          </cell>
          <cell r="P897">
            <v>35553027</v>
          </cell>
          <cell r="Q897">
            <v>46212</v>
          </cell>
        </row>
        <row r="898">
          <cell r="B898" t="str">
            <v>145/K/VII/26</v>
          </cell>
          <cell r="C898">
            <v>46206</v>
          </cell>
          <cell r="E898" t="str">
            <v>KHARISMA DUTA</v>
          </cell>
          <cell r="H898" t="str">
            <v xml:space="preserve">Transport terpal </v>
          </cell>
          <cell r="I898">
            <v>8800000</v>
          </cell>
          <cell r="K898">
            <v>0</v>
          </cell>
          <cell r="M898">
            <v>0</v>
          </cell>
          <cell r="P898">
            <v>8800000</v>
          </cell>
          <cell r="Q898">
            <v>46206</v>
          </cell>
        </row>
        <row r="899">
          <cell r="B899" t="str">
            <v>146/K/VII/26</v>
          </cell>
          <cell r="C899">
            <v>46230</v>
          </cell>
          <cell r="E899" t="str">
            <v>RIZAL</v>
          </cell>
          <cell r="G899" t="str">
            <v>004/OPS-VII/2026</v>
          </cell>
          <cell r="H899" t="str">
            <v>Pelunasan perbaikan 004/OPS-VII/2026</v>
          </cell>
          <cell r="I899">
            <v>9500000</v>
          </cell>
          <cell r="K899">
            <v>0</v>
          </cell>
          <cell r="M899">
            <v>0</v>
          </cell>
          <cell r="P899">
            <v>9500000</v>
          </cell>
          <cell r="Q899">
            <v>46230</v>
          </cell>
        </row>
        <row r="900">
          <cell r="K900">
            <v>0</v>
          </cell>
          <cell r="M900">
            <v>0</v>
          </cell>
          <cell r="P900">
            <v>0</v>
          </cell>
        </row>
        <row r="901">
          <cell r="K901">
            <v>0</v>
          </cell>
          <cell r="M901">
            <v>0</v>
          </cell>
          <cell r="P901">
            <v>0</v>
          </cell>
        </row>
        <row r="902">
          <cell r="B902" t="str">
            <v>001/K/VIII/26</v>
          </cell>
          <cell r="C902" t="str">
            <v>03 Aug 2026</v>
          </cell>
          <cell r="D902" t="str">
            <v>26053JW44</v>
          </cell>
          <cell r="E902" t="str">
            <v>PT ADHI GUNA PUTERA (Banten)</v>
          </cell>
          <cell r="F902" t="str">
            <v>485/INV-ASS/LBN/VIII/2026</v>
          </cell>
          <cell r="H902" t="str">
            <v>Tug Assist, pilotage TB Abhiprama 107 / BG Alara Port Banten Voy. 168</v>
          </cell>
          <cell r="I902">
            <v>21811820</v>
          </cell>
          <cell r="K902">
            <v>0</v>
          </cell>
          <cell r="M902">
            <v>-436236</v>
          </cell>
          <cell r="N902">
            <v>2500</v>
          </cell>
          <cell r="O902">
            <v>1271773</v>
          </cell>
          <cell r="P902">
            <v>22649857</v>
          </cell>
          <cell r="Q902" t="str">
            <v>03 Aug 2026</v>
          </cell>
        </row>
        <row r="903">
          <cell r="B903" t="str">
            <v>002/K/VIII/26</v>
          </cell>
          <cell r="C903" t="str">
            <v>03 Aug 2026</v>
          </cell>
          <cell r="E903" t="str">
            <v>SYAFRIZAL HJ LAADA</v>
          </cell>
          <cell r="G903" t="str">
            <v>941/OPS-VIII/2026</v>
          </cell>
          <cell r="H903" t="str">
            <v>Operasional pengisian BBM TB Ocean Power 21 Voy. 172 Port Tangkan</v>
          </cell>
          <cell r="I903">
            <v>225400000</v>
          </cell>
          <cell r="K903">
            <v>0</v>
          </cell>
          <cell r="M903">
            <v>0</v>
          </cell>
          <cell r="P903">
            <v>225400000</v>
          </cell>
          <cell r="Q903" t="str">
            <v>03 Aug 2026</v>
          </cell>
        </row>
        <row r="904">
          <cell r="B904" t="str">
            <v>003/K/VIII/26</v>
          </cell>
          <cell r="C904" t="str">
            <v>03 Aug 2026</v>
          </cell>
          <cell r="D904" t="str">
            <v>26051C6NI</v>
          </cell>
          <cell r="E904" t="str">
            <v>PT BARUNA DIRGA DHARMA</v>
          </cell>
          <cell r="F904" t="str">
            <v>B2607000015</v>
          </cell>
          <cell r="G904" t="str">
            <v>373/PV-MAR/2026</v>
          </cell>
          <cell r="H904" t="str">
            <v>Biaya Freight Charter TB Kaili VII / BG Moana VII (STS Salira MV Manalagi Tara - PLTU Lontar)</v>
          </cell>
          <cell r="I904">
            <v>250653447</v>
          </cell>
          <cell r="K904">
            <v>15</v>
          </cell>
          <cell r="M904">
            <v>-3007841.3640000001</v>
          </cell>
          <cell r="O904">
            <v>-1</v>
          </cell>
          <cell r="P904">
            <v>247645604.63600001</v>
          </cell>
          <cell r="Q904" t="str">
            <v>03 Aug 2026</v>
          </cell>
        </row>
        <row r="905">
          <cell r="B905" t="str">
            <v>004/K/VIII/26</v>
          </cell>
          <cell r="C905" t="str">
            <v>03 Aug 2026</v>
          </cell>
          <cell r="D905" t="str">
            <v>2604ZVBB4</v>
          </cell>
          <cell r="E905" t="str">
            <v>PT TRANS MARITIM PRATAMA</v>
          </cell>
          <cell r="F905" t="str">
            <v>274-INV/MAX03/0222/07/2026</v>
          </cell>
          <cell r="G905" t="str">
            <v>374/PV-MAR/2026</v>
          </cell>
          <cell r="H905" t="str">
            <v>Biaya Freight Charter TB Max 03 / BG Max 9003 (STS Salira MV Manalagi Tara - PLTU Pel. Ratu)</v>
          </cell>
          <cell r="I905">
            <v>646275060</v>
          </cell>
          <cell r="K905">
            <v>0</v>
          </cell>
          <cell r="M905">
            <v>-7755301</v>
          </cell>
          <cell r="N905">
            <v>15000</v>
          </cell>
          <cell r="P905">
            <v>638534759</v>
          </cell>
          <cell r="Q905" t="str">
            <v>03 Aug 2026</v>
          </cell>
        </row>
        <row r="906">
          <cell r="B906" t="str">
            <v>005/K/VIII/26</v>
          </cell>
          <cell r="C906" t="str">
            <v>03 Aug 2026</v>
          </cell>
          <cell r="E906" t="str">
            <v>PT BIMA KALTIM UTAMA</v>
          </cell>
          <cell r="F906" t="str">
            <v>INV-BKU.202/VII.2026</v>
          </cell>
          <cell r="G906" t="str">
            <v>935/OPS-VII/2026</v>
          </cell>
          <cell r="H906" t="str">
            <v>P55-2020 PM TB Entebe Star 30</v>
          </cell>
          <cell r="I906">
            <v>12409500</v>
          </cell>
          <cell r="J906">
            <v>1365045</v>
          </cell>
          <cell r="K906">
            <v>0</v>
          </cell>
          <cell r="M906">
            <v>0</v>
          </cell>
          <cell r="N906">
            <v>2500</v>
          </cell>
          <cell r="P906">
            <v>13777045</v>
          </cell>
          <cell r="Q906" t="str">
            <v>03 Aug 2026</v>
          </cell>
        </row>
        <row r="907">
          <cell r="B907" t="str">
            <v>005/K/VIII/26</v>
          </cell>
          <cell r="C907" t="str">
            <v>03 Aug 2026</v>
          </cell>
          <cell r="E907" t="str">
            <v>PT BIMA KALTIM UTAMA</v>
          </cell>
          <cell r="F907" t="str">
            <v>INV-BKU.203/VII.2026</v>
          </cell>
          <cell r="G907" t="str">
            <v>934/OPS-VII/2026</v>
          </cell>
          <cell r="H907" t="str">
            <v>CIR 8 (Tali PP Monofilament) TB Entebe Star 30</v>
          </cell>
          <cell r="I907">
            <v>17806000</v>
          </cell>
          <cell r="J907">
            <v>1958660</v>
          </cell>
          <cell r="K907">
            <v>0</v>
          </cell>
          <cell r="M907">
            <v>0</v>
          </cell>
          <cell r="P907">
            <v>19764660</v>
          </cell>
          <cell r="Q907" t="str">
            <v>03 Aug 2026</v>
          </cell>
        </row>
        <row r="908">
          <cell r="B908" t="str">
            <v>006/K/VIII/26</v>
          </cell>
          <cell r="C908" t="str">
            <v>03 Aug 2026</v>
          </cell>
          <cell r="D908" t="str">
            <v>2605751AA</v>
          </cell>
          <cell r="E908" t="str">
            <v>PT BHINEKA BAHARI JAYA</v>
          </cell>
          <cell r="F908" t="str">
            <v>BBJ/INV/2606-A009</v>
          </cell>
          <cell r="G908" t="str">
            <v>936/OPS-VII/2026</v>
          </cell>
          <cell r="H908" t="str">
            <v>Biaya keagenan TB Surya Segara 3</v>
          </cell>
          <cell r="I908">
            <v>20332000</v>
          </cell>
          <cell r="J908">
            <v>1980000</v>
          </cell>
          <cell r="K908">
            <v>0</v>
          </cell>
          <cell r="M908">
            <v>-2332000</v>
          </cell>
          <cell r="N908">
            <v>2500</v>
          </cell>
          <cell r="P908">
            <v>19982500</v>
          </cell>
          <cell r="Q908" t="str">
            <v>03 Aug 2026</v>
          </cell>
        </row>
        <row r="909">
          <cell r="B909" t="str">
            <v>007/K/VIII/26</v>
          </cell>
          <cell r="C909" t="str">
            <v>03 Aug 2026</v>
          </cell>
          <cell r="D909" t="str">
            <v>260529GQZ</v>
          </cell>
          <cell r="E909" t="str">
            <v>CV SHARE MULTI TEKNIKA</v>
          </cell>
          <cell r="F909" t="str">
            <v>030/SMT/R.D/VII/26</v>
          </cell>
          <cell r="H909" t="str">
            <v>Pelunasan Transportasi Lolak - Bitung TB Entebe Star 30</v>
          </cell>
          <cell r="I909">
            <v>5130000</v>
          </cell>
          <cell r="K909">
            <v>0</v>
          </cell>
          <cell r="M909">
            <v>0</v>
          </cell>
          <cell r="N909">
            <v>2500</v>
          </cell>
          <cell r="P909">
            <v>5132500</v>
          </cell>
          <cell r="Q909" t="str">
            <v>03 Aug 2026</v>
          </cell>
        </row>
        <row r="910">
          <cell r="B910" t="str">
            <v>008/K/VIII/26</v>
          </cell>
          <cell r="C910" t="str">
            <v>05 Aug 2026</v>
          </cell>
          <cell r="E910" t="str">
            <v>BINA SARANA INFORMATIKA</v>
          </cell>
          <cell r="F910" t="str">
            <v>227.02/Y-BSI/VII/2026</v>
          </cell>
          <cell r="G910" t="str">
            <v>376/PV-MAR/2026</v>
          </cell>
          <cell r="H910" t="str">
            <v>Parkir member Graha MIR periode 10/10 s.d 09/09 2026</v>
          </cell>
          <cell r="I910">
            <v>3600000</v>
          </cell>
          <cell r="K910">
            <v>0</v>
          </cell>
          <cell r="M910">
            <v>0</v>
          </cell>
          <cell r="N910">
            <v>2500</v>
          </cell>
          <cell r="P910">
            <v>3602500</v>
          </cell>
          <cell r="Q910" t="str">
            <v>05 Aug 2026</v>
          </cell>
        </row>
        <row r="911">
          <cell r="B911" t="str">
            <v>009/K/VIII/26</v>
          </cell>
          <cell r="C911" t="str">
            <v>05 Aug 2026</v>
          </cell>
          <cell r="E911" t="str">
            <v>DIRJEN PAJAK</v>
          </cell>
          <cell r="G911" t="str">
            <v>377/PV-MAR/2026</v>
          </cell>
          <cell r="H911" t="str">
            <v>Pembayaran PPH Badan Masa Pajak 2025</v>
          </cell>
          <cell r="I911">
            <v>11217685</v>
          </cell>
          <cell r="K911">
            <v>0</v>
          </cell>
          <cell r="M911">
            <v>0</v>
          </cell>
          <cell r="P911">
            <v>11217685</v>
          </cell>
          <cell r="Q911" t="str">
            <v>05 Aug 2026</v>
          </cell>
        </row>
        <row r="912">
          <cell r="B912" t="str">
            <v>010/K/VIII/26</v>
          </cell>
          <cell r="C912" t="str">
            <v>05 Aug 2026</v>
          </cell>
          <cell r="E912" t="str">
            <v>MASUDI</v>
          </cell>
          <cell r="G912" t="str">
            <v>378/PV-MAR/2026</v>
          </cell>
          <cell r="H912" t="str">
            <v>Balance advance trip le Batam 04 s.d 14 Juni 2026 - Survey Galangan di Tegal persiapan docking SS3/Fin 96</v>
          </cell>
          <cell r="I912">
            <v>933181</v>
          </cell>
          <cell r="K912">
            <v>0</v>
          </cell>
          <cell r="M912">
            <v>0</v>
          </cell>
          <cell r="P912">
            <v>933181</v>
          </cell>
          <cell r="Q912" t="str">
            <v>05 Aug 2026</v>
          </cell>
        </row>
        <row r="913">
          <cell r="B913" t="str">
            <v>011/K/VIII/26</v>
          </cell>
          <cell r="C913">
            <v>46239</v>
          </cell>
          <cell r="E913" t="str">
            <v>HENDY KUSSUNAR ARYA</v>
          </cell>
          <cell r="G913" t="str">
            <v>379/PV-MAR/2026</v>
          </cell>
          <cell r="H913" t="str">
            <v>reimburse traveling survey galangan persiapan docking SS3/Fin 96 di Tegal tgl 30/07/2026 &amp; meeting CGL</v>
          </cell>
          <cell r="I913">
            <v>1449400</v>
          </cell>
          <cell r="K913">
            <v>0</v>
          </cell>
          <cell r="M913">
            <v>0</v>
          </cell>
          <cell r="P913">
            <v>1449400</v>
          </cell>
          <cell r="Q913">
            <v>46239</v>
          </cell>
        </row>
        <row r="914">
          <cell r="B914" t="str">
            <v>012/K/VIII/26</v>
          </cell>
          <cell r="C914">
            <v>46239</v>
          </cell>
          <cell r="E914" t="str">
            <v>YONI FIRDAUS WIBOWO</v>
          </cell>
          <cell r="G914" t="str">
            <v>380/PV-MAR/2026</v>
          </cell>
          <cell r="H914" t="str">
            <v>Reimbursement Pak Yoni s.d. 31/07/2026</v>
          </cell>
          <cell r="I914">
            <v>1286940</v>
          </cell>
          <cell r="K914">
            <v>0</v>
          </cell>
          <cell r="M914">
            <v>0</v>
          </cell>
          <cell r="P914">
            <v>1286940</v>
          </cell>
          <cell r="Q914">
            <v>46239</v>
          </cell>
        </row>
        <row r="915">
          <cell r="B915" t="str">
            <v>013/K/VIII/26</v>
          </cell>
          <cell r="C915" t="str">
            <v>05 Aug 2026</v>
          </cell>
          <cell r="E915" t="str">
            <v>TRI HANDOYO</v>
          </cell>
          <cell r="G915" t="str">
            <v>381/PV-MAR/2026</v>
          </cell>
          <cell r="H915" t="str">
            <v>Reimbursement mobil operasional periode Juli 2026</v>
          </cell>
          <cell r="I915">
            <v>4108000</v>
          </cell>
          <cell r="K915">
            <v>0</v>
          </cell>
          <cell r="M915">
            <v>0</v>
          </cell>
          <cell r="N915">
            <v>2500</v>
          </cell>
          <cell r="P915">
            <v>4110500</v>
          </cell>
          <cell r="Q915" t="str">
            <v>05 Aug 2026</v>
          </cell>
        </row>
        <row r="916">
          <cell r="B916" t="str">
            <v>014/K/VIII/26</v>
          </cell>
          <cell r="C916" t="str">
            <v>05 Aug 2026</v>
          </cell>
          <cell r="E916" t="str">
            <v>ZULFADHLI JUSUF</v>
          </cell>
          <cell r="G916" t="str">
            <v>385/PV-MAR/2026</v>
          </cell>
          <cell r="H916" t="str">
            <v xml:space="preserve"> Biaya operasional - penggantian dana talangan</v>
          </cell>
          <cell r="I916">
            <v>500000000</v>
          </cell>
          <cell r="K916">
            <v>0</v>
          </cell>
          <cell r="M916">
            <v>0</v>
          </cell>
          <cell r="P916">
            <v>500000000</v>
          </cell>
          <cell r="Q916" t="str">
            <v>05 Aug 2026</v>
          </cell>
        </row>
        <row r="917">
          <cell r="B917" t="str">
            <v>001/K/VIII/26 CAV</v>
          </cell>
          <cell r="C917">
            <v>46239</v>
          </cell>
          <cell r="E917" t="str">
            <v>MUHAMMAD ZAKI</v>
          </cell>
          <cell r="G917" t="str">
            <v>CAV012/OPS-VIII/2026</v>
          </cell>
          <cell r="H917" t="str">
            <v>Advance operasional Bulan Agustus 2026</v>
          </cell>
          <cell r="I917">
            <v>19951704</v>
          </cell>
          <cell r="N917">
            <v>2500</v>
          </cell>
          <cell r="Q917">
            <v>46239</v>
          </cell>
        </row>
        <row r="918">
          <cell r="B918" t="str">
            <v>016/K/VIII/26</v>
          </cell>
          <cell r="C918" t="str">
            <v>06 Aug 2026</v>
          </cell>
          <cell r="E918" t="str">
            <v>PT HOKARI LINEX PRATAMA</v>
          </cell>
          <cell r="F918" t="str">
            <v>008/INV/HLP-SMG/VII/2026</v>
          </cell>
          <cell r="G918" t="str">
            <v>005/OPS-VII/2026</v>
          </cell>
          <cell r="H918" t="str">
            <v>Biosolar TB Surya Segara 3</v>
          </cell>
          <cell r="I918">
            <v>901801780</v>
          </cell>
          <cell r="J918">
            <v>99198220</v>
          </cell>
          <cell r="K918">
            <v>0</v>
          </cell>
          <cell r="M918">
            <v>0</v>
          </cell>
          <cell r="P918">
            <v>1001000000</v>
          </cell>
          <cell r="Q918" t="str">
            <v>06 Aug 2026</v>
          </cell>
        </row>
        <row r="919">
          <cell r="B919" t="str">
            <v>017/K/VIII/26</v>
          </cell>
          <cell r="C919" t="str">
            <v>12 Aug 2026</v>
          </cell>
          <cell r="D919" t="str">
            <v>2605DM8F1</v>
          </cell>
          <cell r="E919" t="str">
            <v>PT ANDALAN LANCAR NIAGA</v>
          </cell>
          <cell r="F919" t="str">
            <v>00102/ALN-INV/V/2026</v>
          </cell>
          <cell r="H919" t="str">
            <v>Freight Charter TB Michelle III / BG Benami III (Jetty Patratani / PLTU Paiton) Qty 7.362 MT Price 175.000</v>
          </cell>
          <cell r="I919">
            <v>1288350000</v>
          </cell>
          <cell r="K919">
            <v>0</v>
          </cell>
          <cell r="M919">
            <v>-15460200</v>
          </cell>
          <cell r="N919">
            <v>15000</v>
          </cell>
          <cell r="P919">
            <v>1272904800</v>
          </cell>
          <cell r="Q919" t="str">
            <v>12 Aug 2026</v>
          </cell>
        </row>
        <row r="920">
          <cell r="B920" t="str">
            <v>018/K/VIII/26</v>
          </cell>
          <cell r="C920" t="str">
            <v>07 Aug 2026</v>
          </cell>
          <cell r="E920" t="str">
            <v>PT HOKARI LINEX PRATAMA</v>
          </cell>
          <cell r="F920" t="str">
            <v>012/INV/HLP-SMG/VII/2026</v>
          </cell>
          <cell r="H920" t="str">
            <v>BBM TB Michelle XV Voyage 171 Qty 50.000 ltr Price 16.900</v>
          </cell>
          <cell r="I920">
            <v>761261235</v>
          </cell>
          <cell r="J920">
            <v>83738765</v>
          </cell>
          <cell r="K920">
            <v>0</v>
          </cell>
          <cell r="M920">
            <v>0</v>
          </cell>
          <cell r="P920">
            <v>845000000</v>
          </cell>
          <cell r="Q920" t="str">
            <v>07 Aug 2026</v>
          </cell>
        </row>
        <row r="921">
          <cell r="B921" t="str">
            <v>019/K/VIII/26</v>
          </cell>
          <cell r="C921" t="str">
            <v>07 Aug 2026</v>
          </cell>
          <cell r="D921" t="str">
            <v>2605DM8F0</v>
          </cell>
          <cell r="E921" t="str">
            <v>PT ANDALAN LANCAR NIAGA</v>
          </cell>
          <cell r="F921" t="str">
            <v>00123/ALN-INV/VI/26</v>
          </cell>
          <cell r="H921" t="str">
            <v>Freight Charter TB Michelle II / BG Benami II (Tarahan - PLTU Suralaya Baru)</v>
          </cell>
          <cell r="I921">
            <v>408085535</v>
          </cell>
          <cell r="K921">
            <v>0</v>
          </cell>
          <cell r="M921">
            <v>-4897026</v>
          </cell>
          <cell r="N921">
            <v>15000</v>
          </cell>
          <cell r="P921">
            <v>403203509</v>
          </cell>
          <cell r="Q921" t="str">
            <v>07 Aug 2026</v>
          </cell>
        </row>
        <row r="922">
          <cell r="B922" t="str">
            <v>020/K/VIII/26</v>
          </cell>
          <cell r="C922" t="str">
            <v>07 Aug 2026</v>
          </cell>
          <cell r="E922" t="str">
            <v>PT DAIDAN UTAMA PIALANG ASURANSI</v>
          </cell>
          <cell r="F922" t="str">
            <v>1473/CPNI/07/26</v>
          </cell>
          <cell r="H922" t="str">
            <v>Asuransi MSIG Speciality Marine NV (PIB) TB Ocean Power 21 / BG Angeline 219-08</v>
          </cell>
          <cell r="J922">
            <v>27330987.5</v>
          </cell>
          <cell r="K922">
            <v>0</v>
          </cell>
          <cell r="M922">
            <v>0</v>
          </cell>
          <cell r="N922">
            <v>539250</v>
          </cell>
          <cell r="P922">
            <v>27870237.5</v>
          </cell>
          <cell r="Q922" t="str">
            <v>07 Aug 2026</v>
          </cell>
        </row>
        <row r="923">
          <cell r="B923" t="str">
            <v>021/K/VIII/26</v>
          </cell>
          <cell r="C923">
            <v>46242</v>
          </cell>
          <cell r="E923" t="str">
            <v>PT AZAZ SHIPS SERVICES</v>
          </cell>
          <cell r="F923" t="str">
            <v>001/ASS-MAR/AT/VI/2026</v>
          </cell>
          <cell r="G923" t="str">
            <v>011/OPS-VIII/2026</v>
          </cell>
          <cell r="H923" t="str">
            <v>Fresh Water TB OP 21 V.163L</v>
          </cell>
          <cell r="I923">
            <v>1800000</v>
          </cell>
          <cell r="K923">
            <v>0</v>
          </cell>
          <cell r="M923">
            <v>0</v>
          </cell>
          <cell r="P923">
            <v>1800000</v>
          </cell>
          <cell r="Q923">
            <v>46242</v>
          </cell>
        </row>
        <row r="924">
          <cell r="B924" t="str">
            <v>022/K/VIII/26</v>
          </cell>
          <cell r="C924">
            <v>46242</v>
          </cell>
          <cell r="D924" t="str">
            <v>2605JIGQZ</v>
          </cell>
          <cell r="E924" t="str">
            <v>PT AZAZ SHIPS SERVICES</v>
          </cell>
          <cell r="F924" t="str">
            <v>001/ASS-MAR/VI/2026</v>
          </cell>
          <cell r="H924" t="str">
            <v>Keagenan TB OP 21 V.163L Sepapah</v>
          </cell>
          <cell r="I924">
            <v>34900000</v>
          </cell>
          <cell r="J924">
            <v>3839000</v>
          </cell>
          <cell r="K924">
            <v>0</v>
          </cell>
          <cell r="M924">
            <v>-50000</v>
          </cell>
          <cell r="O924">
            <v>-350000</v>
          </cell>
          <cell r="P924">
            <v>38339000</v>
          </cell>
          <cell r="Q924">
            <v>46242</v>
          </cell>
        </row>
        <row r="925">
          <cell r="B925" t="str">
            <v>023/K/VIII/26</v>
          </cell>
          <cell r="C925">
            <v>46245</v>
          </cell>
          <cell r="E925" t="str">
            <v>PT RINA INDONESIA</v>
          </cell>
          <cell r="F925" t="str">
            <v>26/X3/1372</v>
          </cell>
          <cell r="H925" t="str">
            <v>Installment five year block fee agreement (3rb installment) BG Finacia 71</v>
          </cell>
          <cell r="I925">
            <v>29181600</v>
          </cell>
          <cell r="J925">
            <v>3209976</v>
          </cell>
          <cell r="K925">
            <v>0</v>
          </cell>
          <cell r="M925">
            <v>-583632</v>
          </cell>
          <cell r="N925">
            <v>2500</v>
          </cell>
          <cell r="O925">
            <v>583632</v>
          </cell>
          <cell r="P925">
            <v>32394076</v>
          </cell>
          <cell r="Q925">
            <v>46245</v>
          </cell>
        </row>
        <row r="926">
          <cell r="B926" t="str">
            <v>024/K/VIII/26</v>
          </cell>
          <cell r="C926">
            <v>46245</v>
          </cell>
          <cell r="D926" t="str">
            <v>2604ZVBB7</v>
          </cell>
          <cell r="E926" t="str">
            <v>PT PELNAS SABANG RAYA INDAH</v>
          </cell>
          <cell r="F926" t="str">
            <v>2026/SRI/159</v>
          </cell>
          <cell r="H926" t="str">
            <v>Freight Charter TB Karya Agung 25 / BG Sumber Jaya 3022 (Jetty Patratani - PLTU Paiton)</v>
          </cell>
          <cell r="I926">
            <v>1445349520</v>
          </cell>
          <cell r="K926">
            <v>0</v>
          </cell>
          <cell r="M926">
            <v>-17344194</v>
          </cell>
          <cell r="O926">
            <v>-1</v>
          </cell>
          <cell r="P926">
            <v>1428005325</v>
          </cell>
          <cell r="Q926">
            <v>46245</v>
          </cell>
        </row>
        <row r="927">
          <cell r="B927" t="str">
            <v>025/K/VIII/26</v>
          </cell>
          <cell r="E927" t="str">
            <v>BINA SARANA INFORMATIKA</v>
          </cell>
          <cell r="K927">
            <v>0</v>
          </cell>
          <cell r="M927">
            <v>0</v>
          </cell>
          <cell r="P927">
            <v>0</v>
          </cell>
        </row>
        <row r="928">
          <cell r="B928" t="str">
            <v>026/K/VIII/26</v>
          </cell>
          <cell r="C928">
            <v>46242</v>
          </cell>
          <cell r="E928" t="str">
            <v>PT TANTO CITRA MANDIRI</v>
          </cell>
          <cell r="F928">
            <v>13104</v>
          </cell>
          <cell r="H928" t="str">
            <v>Premi asuransi Marine Cargo, PSR Batubara 7500 MT (Lati Indonesia - Sangkuliran Indonesia ETD 5/08/26) TB ES30 - BG71</v>
          </cell>
          <cell r="I928">
            <v>5010000</v>
          </cell>
          <cell r="K928">
            <v>0</v>
          </cell>
          <cell r="M928">
            <v>0</v>
          </cell>
          <cell r="N928">
            <v>2500</v>
          </cell>
          <cell r="P928">
            <v>5012500</v>
          </cell>
          <cell r="Q928">
            <v>46242</v>
          </cell>
        </row>
        <row r="929">
          <cell r="B929" t="str">
            <v>027/K/VIII/26</v>
          </cell>
          <cell r="C929">
            <v>46247</v>
          </cell>
          <cell r="E929" t="str">
            <v>ZULFADHLI JUSUF</v>
          </cell>
          <cell r="G929" t="str">
            <v>390/PV-MAR/2026</v>
          </cell>
          <cell r="H929" t="str">
            <v>Penggantian Dana Talangan</v>
          </cell>
          <cell r="I929">
            <v>500000000</v>
          </cell>
          <cell r="K929">
            <v>0</v>
          </cell>
          <cell r="M929">
            <v>0</v>
          </cell>
          <cell r="P929">
            <v>500000000</v>
          </cell>
          <cell r="Q929">
            <v>46247</v>
          </cell>
        </row>
        <row r="930">
          <cell r="B930" t="str">
            <v>028/K/VIII/26</v>
          </cell>
          <cell r="C930">
            <v>46247</v>
          </cell>
          <cell r="D930" t="str">
            <v>2605CV1RY</v>
          </cell>
          <cell r="E930" t="str">
            <v>PT ALPHA PACIFIC LINE</v>
          </cell>
          <cell r="F930" t="str">
            <v>001/APL-F/VIII/2026</v>
          </cell>
          <cell r="G930" t="str">
            <v>392/PV-MAR/2026</v>
          </cell>
          <cell r="H930" t="str">
            <v>Biaya Time Charter TB APL 7 / BG Baiduri 70273 Periode 10 Agustus - 08 September 2026</v>
          </cell>
          <cell r="I930">
            <v>775000000</v>
          </cell>
          <cell r="K930">
            <v>0</v>
          </cell>
          <cell r="M930">
            <v>-9300000</v>
          </cell>
          <cell r="P930">
            <v>765700000</v>
          </cell>
          <cell r="Q930">
            <v>46247</v>
          </cell>
        </row>
        <row r="931">
          <cell r="B931" t="str">
            <v>029/K/VIII/26</v>
          </cell>
          <cell r="C931">
            <v>46247</v>
          </cell>
          <cell r="D931" t="str">
            <v>26058XWMP</v>
          </cell>
          <cell r="E931" t="str">
            <v>PT ELISHA MILAN TANKERS</v>
          </cell>
          <cell r="F931" t="str">
            <v>079/INV/EMT-MAR/VIII/2026</v>
          </cell>
          <cell r="G931" t="str">
            <v>394/PV-MAR/2026</v>
          </cell>
          <cell r="H931" t="str">
            <v>Biaya Time Charter TB Abhiprama 107 / BG Alara 107 periode 13 Agustus - 13 September 2026</v>
          </cell>
          <cell r="I931">
            <v>700000000</v>
          </cell>
          <cell r="K931">
            <v>15</v>
          </cell>
          <cell r="M931">
            <v>-8400000</v>
          </cell>
          <cell r="N931">
            <v>15000</v>
          </cell>
          <cell r="P931">
            <v>691615000</v>
          </cell>
          <cell r="Q931">
            <v>46247</v>
          </cell>
        </row>
        <row r="932">
          <cell r="B932" t="str">
            <v>030/K/VIII/26</v>
          </cell>
          <cell r="C932">
            <v>46247</v>
          </cell>
          <cell r="D932" t="str">
            <v>2605MIFPL</v>
          </cell>
          <cell r="E932" t="str">
            <v>PT MUTIARA LAUTAN SEMESTA</v>
          </cell>
          <cell r="F932" t="str">
            <v>357/REV/INV/MLS-MAR/VII/2026</v>
          </cell>
          <cell r="G932" t="str">
            <v>395/PV-MAR/2026</v>
          </cell>
          <cell r="H932" t="str">
            <v>Biaya Freight Charter TB Martha Glory / BG Sentana Marine (Jetty SDJ - MV Qi Fan Lun)</v>
          </cell>
          <cell r="I932">
            <v>444390780</v>
          </cell>
          <cell r="K932">
            <v>0</v>
          </cell>
          <cell r="M932">
            <v>-5332689</v>
          </cell>
          <cell r="O932">
            <v>-1</v>
          </cell>
          <cell r="P932">
            <v>439058090</v>
          </cell>
          <cell r="Q932">
            <v>46247</v>
          </cell>
        </row>
        <row r="933">
          <cell r="B933" t="str">
            <v>031/K/VIII/26</v>
          </cell>
          <cell r="C933">
            <v>46246</v>
          </cell>
          <cell r="D933" t="str">
            <v>2605MWJAY</v>
          </cell>
          <cell r="E933" t="str">
            <v>PT KARYA PACIFIC SHIPPING</v>
          </cell>
          <cell r="F933" t="str">
            <v>INV/JKT/26/VIII/043</v>
          </cell>
          <cell r="G933" t="str">
            <v>389/PV-MAR/2026</v>
          </cell>
          <cell r="H933" t="str">
            <v>Biaya Freight Charter TB Karya Pacific 2227 / BG Pacific Star 20 (Jetty SDJ - PLTU Jawa 9-10 Suralaya)</v>
          </cell>
          <cell r="I933">
            <v>901790280</v>
          </cell>
          <cell r="K933">
            <v>0</v>
          </cell>
          <cell r="M933">
            <v>-10821483</v>
          </cell>
          <cell r="N933">
            <v>15000</v>
          </cell>
          <cell r="O933">
            <v>-1</v>
          </cell>
          <cell r="P933">
            <v>890983796</v>
          </cell>
          <cell r="Q933">
            <v>46246</v>
          </cell>
        </row>
        <row r="934">
          <cell r="B934" t="str">
            <v>032/K/VIII/26</v>
          </cell>
          <cell r="C934">
            <v>46252</v>
          </cell>
          <cell r="E934" t="str">
            <v>PT BARUGA MANDIRI PRATAMA (AGENCY)</v>
          </cell>
          <cell r="F934" t="str">
            <v>083/PT.BMP/VIII/2026</v>
          </cell>
          <cell r="H934" t="str">
            <v>DP Keagenan TB OP 21 V.182 (Maili - Balikpapan)</v>
          </cell>
          <cell r="I934">
            <v>15000000</v>
          </cell>
          <cell r="K934">
            <v>0</v>
          </cell>
          <cell r="M934">
            <v>0</v>
          </cell>
          <cell r="P934">
            <v>15000000</v>
          </cell>
          <cell r="Q934">
            <v>46252</v>
          </cell>
        </row>
        <row r="935">
          <cell r="B935" t="str">
            <v>033/K/VIII/26</v>
          </cell>
          <cell r="C935">
            <v>46252</v>
          </cell>
          <cell r="D935" t="str">
            <v>2605P26SG</v>
          </cell>
          <cell r="E935" t="str">
            <v>PT BARUGA MANDIRI PRATAMA (AGENCY)</v>
          </cell>
          <cell r="F935" t="str">
            <v>012/PT.BMP/VIII/2026</v>
          </cell>
          <cell r="H935" t="str">
            <v>Sewa Ramdoor TB Ocean Power 21 V.182</v>
          </cell>
          <cell r="I935">
            <v>25000000</v>
          </cell>
          <cell r="K935">
            <v>0</v>
          </cell>
          <cell r="M935">
            <v>-500000</v>
          </cell>
          <cell r="P935">
            <v>24500000</v>
          </cell>
          <cell r="Q935">
            <v>46252</v>
          </cell>
        </row>
        <row r="936">
          <cell r="B936" t="str">
            <v>034/K/VIII/26</v>
          </cell>
          <cell r="C936">
            <v>46252</v>
          </cell>
          <cell r="E936" t="str">
            <v>YONI FIRDAUS WIBOWO</v>
          </cell>
          <cell r="G936" t="str">
            <v>398/PV-MAR/2026</v>
          </cell>
          <cell r="H936" t="str">
            <v>Reimburse Pembelian 1 Printer Brother DCP T730DW 4.000.000; Reimburse Entertain dengan SESM 1.193.250</v>
          </cell>
          <cell r="I936">
            <v>5193250</v>
          </cell>
          <cell r="K936">
            <v>0</v>
          </cell>
          <cell r="M936">
            <v>0</v>
          </cell>
          <cell r="P936">
            <v>5193250</v>
          </cell>
          <cell r="Q936">
            <v>46252</v>
          </cell>
        </row>
        <row r="937">
          <cell r="B937" t="str">
            <v>002/K/VIII/26 CAV</v>
          </cell>
          <cell r="C937">
            <v>46252</v>
          </cell>
          <cell r="E937" t="str">
            <v>MASUDI</v>
          </cell>
          <cell r="G937" t="str">
            <v>397/PV-MAR/2026</v>
          </cell>
          <cell r="H937" t="str">
            <v>Cash Advance trip ke Tegal - Monitoring Docking TB SS3 / F96 Periode 16/08 - 16/09</v>
          </cell>
          <cell r="I937">
            <v>7500000</v>
          </cell>
          <cell r="K937">
            <v>0</v>
          </cell>
          <cell r="M937">
            <v>0</v>
          </cell>
          <cell r="P937">
            <v>7500000</v>
          </cell>
          <cell r="Q937">
            <v>46252</v>
          </cell>
        </row>
        <row r="938">
          <cell r="B938" t="str">
            <v>036/K/VIII/26</v>
          </cell>
          <cell r="C938">
            <v>46252</v>
          </cell>
          <cell r="E938" t="str">
            <v>DIRJEN PAJAK</v>
          </cell>
          <cell r="G938" t="str">
            <v>396/PV-MAR/2026</v>
          </cell>
          <cell r="H938" t="str">
            <v>Pembayaran PPH Unifikasi 490.253.587 ; PPH 21 Juli 2026 22.958.349</v>
          </cell>
          <cell r="I938">
            <v>513211936</v>
          </cell>
          <cell r="K938">
            <v>0</v>
          </cell>
          <cell r="M938">
            <v>0</v>
          </cell>
          <cell r="P938">
            <v>513211936</v>
          </cell>
          <cell r="Q938">
            <v>46252</v>
          </cell>
        </row>
        <row r="939">
          <cell r="B939" t="str">
            <v>037/K/VIII/26</v>
          </cell>
          <cell r="C939">
            <v>46253</v>
          </cell>
          <cell r="D939" t="str">
            <v>2605MJD9V</v>
          </cell>
          <cell r="E939" t="str">
            <v>PT ELISHA MILAN TANKERS</v>
          </cell>
          <cell r="F939" t="str">
            <v>083/INV/EMT-MAR/VIII/2026</v>
          </cell>
          <cell r="G939" t="str">
            <v>399/PV-MAR/2026</v>
          </cell>
          <cell r="H939" t="str">
            <v xml:space="preserve">Biaya Freight Charter TB Mahesa 105 / BG Kalya 105 (Jetty RMK -
Paiton)
</v>
          </cell>
          <cell r="I939">
            <v>684750000</v>
          </cell>
          <cell r="K939">
            <v>0</v>
          </cell>
          <cell r="M939">
            <v>-8217000</v>
          </cell>
          <cell r="N939">
            <v>15000</v>
          </cell>
          <cell r="P939">
            <v>676548000</v>
          </cell>
          <cell r="Q939">
            <v>46253</v>
          </cell>
        </row>
        <row r="940">
          <cell r="B940" t="str">
            <v>038/K/VIII/26</v>
          </cell>
          <cell r="C940">
            <v>46253</v>
          </cell>
          <cell r="D940" t="str">
            <v>2605SVV8V</v>
          </cell>
          <cell r="E940" t="str">
            <v>PT ELEANOR PRADANA SHIPPING</v>
          </cell>
          <cell r="F940" t="str">
            <v>004/INV-ELPRAS/VII/2026</v>
          </cell>
          <cell r="G940" t="str">
            <v>940/OPS-VII/2026</v>
          </cell>
          <cell r="H940" t="str">
            <v>Biaya Keagenan TB Michelle 219-08 / BG Angeline 219-08</v>
          </cell>
          <cell r="I940">
            <v>20629785</v>
          </cell>
          <cell r="J940">
            <v>220000</v>
          </cell>
          <cell r="K940">
            <v>0</v>
          </cell>
          <cell r="M940">
            <v>-40000</v>
          </cell>
          <cell r="N940">
            <v>2500</v>
          </cell>
          <cell r="P940">
            <v>20812285</v>
          </cell>
          <cell r="Q940">
            <v>46253</v>
          </cell>
        </row>
        <row r="941">
          <cell r="B941" t="str">
            <v>038/K/VIII/26</v>
          </cell>
          <cell r="C941">
            <v>46253</v>
          </cell>
          <cell r="E941" t="str">
            <v>PT ELEANOR PRADANA SHIPPING</v>
          </cell>
          <cell r="F941" t="str">
            <v>0039/INV-ELPRAS/VII/2026</v>
          </cell>
          <cell r="G941" t="str">
            <v>938/OPS-VII/2026</v>
          </cell>
          <cell r="H941" t="str">
            <v>Biaya Keagenan TB APL 7 - BG Baiduri 70273</v>
          </cell>
          <cell r="I941">
            <v>10005835</v>
          </cell>
          <cell r="J941">
            <v>220000</v>
          </cell>
          <cell r="K941">
            <v>0</v>
          </cell>
          <cell r="M941">
            <v>-40000</v>
          </cell>
          <cell r="P941">
            <v>10185835</v>
          </cell>
          <cell r="Q941">
            <v>46253</v>
          </cell>
        </row>
        <row r="942">
          <cell r="B942" t="str">
            <v>038/K/VIII/26</v>
          </cell>
          <cell r="C942">
            <v>46253</v>
          </cell>
          <cell r="E942" t="str">
            <v>PT ELEANOR PRADANA SHIPPING</v>
          </cell>
          <cell r="F942" t="str">
            <v>0040/INV-ELPRAS/VII/2026</v>
          </cell>
          <cell r="G942" t="str">
            <v>931/OPS-VII/2026</v>
          </cell>
          <cell r="H942" t="str">
            <v>Biaya keagenan TB Surya Segara 3 / BG Financia 96</v>
          </cell>
          <cell r="I942">
            <v>14111350</v>
          </cell>
          <cell r="J942">
            <v>220000</v>
          </cell>
          <cell r="K942">
            <v>0</v>
          </cell>
          <cell r="M942">
            <v>-40000</v>
          </cell>
          <cell r="P942">
            <v>14291350</v>
          </cell>
          <cell r="Q942">
            <v>46253</v>
          </cell>
        </row>
        <row r="943">
          <cell r="B943" t="str">
            <v>038/K/VIII/26</v>
          </cell>
          <cell r="C943">
            <v>46253</v>
          </cell>
          <cell r="E943" t="str">
            <v>PT ELEANOR PRADANA SHIPPING</v>
          </cell>
          <cell r="F943" t="str">
            <v>0041/INV-ELPRAS/VII/2026</v>
          </cell>
          <cell r="G943" t="str">
            <v>939/OPS-VII/2026</v>
          </cell>
          <cell r="H943" t="str">
            <v>Biaya keagenan TB Abhiprama 107 / BG Alara 107</v>
          </cell>
          <cell r="I943">
            <v>11048278</v>
          </cell>
          <cell r="J943">
            <v>220000</v>
          </cell>
          <cell r="K943">
            <v>0</v>
          </cell>
          <cell r="M943">
            <v>-40000</v>
          </cell>
          <cell r="P943">
            <v>11228278</v>
          </cell>
          <cell r="Q943">
            <v>46253</v>
          </cell>
        </row>
        <row r="944">
          <cell r="B944" t="str">
            <v>039/K/VIII/26</v>
          </cell>
          <cell r="C944">
            <v>46253</v>
          </cell>
          <cell r="D944" t="str">
            <v>2605SZ9ZK</v>
          </cell>
          <cell r="E944" t="str">
            <v>PT ZIO JAYA BAHARI</v>
          </cell>
          <cell r="F944" t="str">
            <v>102/ZIO-CRB/VII/2026</v>
          </cell>
          <cell r="G944" t="str">
            <v>932/OPS-VII/26</v>
          </cell>
          <cell r="H944" t="str">
            <v>Biaya Keagenan TB Michelle 219-08 / BG Angeline 219-08</v>
          </cell>
          <cell r="I944">
            <v>22683703</v>
          </cell>
          <cell r="K944">
            <v>0</v>
          </cell>
          <cell r="M944">
            <v>-200000</v>
          </cell>
          <cell r="O944">
            <v>-200000</v>
          </cell>
          <cell r="P944">
            <v>22283703</v>
          </cell>
          <cell r="Q944">
            <v>46253</v>
          </cell>
        </row>
        <row r="945">
          <cell r="B945" t="str">
            <v>040/K/VIII/26</v>
          </cell>
          <cell r="C945">
            <v>46253</v>
          </cell>
          <cell r="D945" t="str">
            <v>2605SZ9ZJ</v>
          </cell>
          <cell r="E945" t="str">
            <v>PT PELAYARAN BARITO DUTA SARANA</v>
          </cell>
          <cell r="F945" t="str">
            <v>A.085/BDS-S/VI/2026</v>
          </cell>
          <cell r="G945" t="str">
            <v>941/OPS-VII/2026</v>
          </cell>
          <cell r="H945" t="str">
            <v>Agency Fee TB Michelle 219-08 / BG Angeline 219 - 08</v>
          </cell>
          <cell r="I945">
            <v>3000000</v>
          </cell>
          <cell r="J945">
            <v>330000</v>
          </cell>
          <cell r="K945">
            <v>0</v>
          </cell>
          <cell r="M945">
            <v>-60000</v>
          </cell>
          <cell r="P945">
            <v>3270000</v>
          </cell>
          <cell r="Q945">
            <v>46253</v>
          </cell>
        </row>
        <row r="946">
          <cell r="B946" t="str">
            <v>040/K/VIII/26</v>
          </cell>
          <cell r="C946">
            <v>46253</v>
          </cell>
          <cell r="E946" t="str">
            <v>PT PELAYARAN BARITO DUTA SARANA</v>
          </cell>
          <cell r="F946" t="str">
            <v>B.085/BDS-S/VI/2026</v>
          </cell>
          <cell r="G946" t="str">
            <v>941/OPS-VII/2026</v>
          </cell>
          <cell r="H946" t="str">
            <v>Biaya Administrasi Pengapalan TB Michelle 219 - 08 / BG Angeline 219 - 08</v>
          </cell>
          <cell r="I946">
            <v>87373761</v>
          </cell>
          <cell r="O946">
            <v>-3000513</v>
          </cell>
          <cell r="P946">
            <v>84373248</v>
          </cell>
          <cell r="Q946">
            <v>46253</v>
          </cell>
        </row>
        <row r="947">
          <cell r="B947" t="str">
            <v>041/K/VIII/26</v>
          </cell>
          <cell r="C947">
            <v>46254</v>
          </cell>
          <cell r="E947" t="str">
            <v>PT DAIDAN UTAMA PIALANG ASURANSI</v>
          </cell>
          <cell r="F947" t="str">
            <v>1155/CCMH/06/26</v>
          </cell>
          <cell r="G947" t="str">
            <v>867/OPS-VI/2026</v>
          </cell>
          <cell r="H947" t="str">
            <v>Premi Marine Hull Insurance TB Entebe Star 30 / BG Finacia 71 period 29/05/2026 - 29/05/2027 (2/4)</v>
          </cell>
          <cell r="I947">
            <v>29750000</v>
          </cell>
          <cell r="K947">
            <v>0</v>
          </cell>
          <cell r="M947">
            <v>0</v>
          </cell>
          <cell r="N947">
            <v>2500</v>
          </cell>
          <cell r="P947">
            <v>29752500</v>
          </cell>
          <cell r="Q947">
            <v>46254</v>
          </cell>
        </row>
        <row r="948">
          <cell r="B948" t="str">
            <v>042/K/VIII/26</v>
          </cell>
          <cell r="C948">
            <v>46254</v>
          </cell>
          <cell r="D948" t="str">
            <v>2605TRZI6</v>
          </cell>
          <cell r="E948" t="str">
            <v>PT ANDALAN LANCAR NIAGA</v>
          </cell>
          <cell r="F948" t="str">
            <v>00108/ALN-INV/VI/26</v>
          </cell>
          <cell r="G948" t="str">
            <v>391/PV-MAR/2026</v>
          </cell>
          <cell r="H948" t="str">
            <v>Biaya Freight Charter TB Michelle VII / BG Benami VII (Jetty Patratani - PLTU Paiton 7-8)</v>
          </cell>
          <cell r="I948">
            <v>1295875000</v>
          </cell>
          <cell r="K948">
            <v>0</v>
          </cell>
          <cell r="M948">
            <v>-15550500</v>
          </cell>
          <cell r="N948">
            <v>15000</v>
          </cell>
          <cell r="P948">
            <v>1280339500</v>
          </cell>
          <cell r="Q948">
            <v>46254</v>
          </cell>
        </row>
        <row r="949">
          <cell r="B949" t="str">
            <v>043/K/VIII/26</v>
          </cell>
          <cell r="C949">
            <v>46254</v>
          </cell>
          <cell r="D949" t="str">
            <v>2605P66VX</v>
          </cell>
          <cell r="E949" t="str">
            <v>PT PERSADA LINTAS ASIA</v>
          </cell>
          <cell r="F949" t="str">
            <v>0452/INV-PLA/VIII/2026</v>
          </cell>
          <cell r="H949" t="str">
            <v>Biaya Keagenan TB Ocean Power 21/BG Angeline 219-08 (Jetty Conch - Jetty PT IPK)</v>
          </cell>
          <cell r="I949">
            <v>15000000</v>
          </cell>
          <cell r="J949">
            <v>1650000</v>
          </cell>
          <cell r="K949">
            <v>23</v>
          </cell>
          <cell r="M949">
            <v>-300000</v>
          </cell>
          <cell r="N949">
            <v>2500</v>
          </cell>
          <cell r="P949">
            <v>16352500</v>
          </cell>
          <cell r="Q949">
            <v>46254</v>
          </cell>
        </row>
        <row r="950">
          <cell r="B950" t="str">
            <v>044/K/VIII/26</v>
          </cell>
          <cell r="C950">
            <v>46254</v>
          </cell>
          <cell r="D950" t="str">
            <v>2605PAVR1</v>
          </cell>
          <cell r="E950" t="str">
            <v>JAMILLUDIN</v>
          </cell>
          <cell r="F950" t="str">
            <v>38/INV/VIII/2026</v>
          </cell>
          <cell r="H950" t="str">
            <v>Jasa cleaning kapal OP21 V. 172 Port Lolak</v>
          </cell>
          <cell r="I950">
            <v>20000000</v>
          </cell>
          <cell r="K950">
            <v>0</v>
          </cell>
          <cell r="M950">
            <v>-500000</v>
          </cell>
          <cell r="P950">
            <v>19500000</v>
          </cell>
          <cell r="Q950">
            <v>46254</v>
          </cell>
        </row>
        <row r="951">
          <cell r="B951" t="str">
            <v>045/K/VIII/26</v>
          </cell>
          <cell r="C951">
            <v>46254</v>
          </cell>
          <cell r="E951" t="str">
            <v>PT DAIDAN UTAMA PIALANG ASURANSI</v>
          </cell>
          <cell r="F951" t="str">
            <v>0477/CPNI/03/26</v>
          </cell>
          <cell r="G951" t="str">
            <v>874/OPS-VI/2026</v>
          </cell>
          <cell r="H951" t="str">
            <v>Premi PI TB Surya Segara 3 &amp; BG Finacia 96 Periode 02/03/2026 - 02/03/2027 (3/4)</v>
          </cell>
          <cell r="I951">
            <v>26998125</v>
          </cell>
          <cell r="K951">
            <v>0</v>
          </cell>
          <cell r="M951">
            <v>0</v>
          </cell>
          <cell r="N951">
            <v>535500</v>
          </cell>
          <cell r="O951">
            <v>75625</v>
          </cell>
          <cell r="P951">
            <v>27609250</v>
          </cell>
          <cell r="Q951">
            <v>46254</v>
          </cell>
        </row>
        <row r="952">
          <cell r="B952" t="str">
            <v>046/K/VIII/26</v>
          </cell>
          <cell r="C952">
            <v>46258</v>
          </cell>
          <cell r="E952" t="str">
            <v>PT MULTI ARTHA SEGORO</v>
          </cell>
          <cell r="F952" t="str">
            <v>054/MAS-MAR/HSD/VIII/2026</v>
          </cell>
          <cell r="G952" t="str">
            <v>034/OPS-VIII/2026</v>
          </cell>
          <cell r="H952" t="str">
            <v>Bunker TB Ocean Power 21 Voy. 172 Port Lolak</v>
          </cell>
          <cell r="I952">
            <v>494594594.55000001</v>
          </cell>
          <cell r="J952">
            <v>54405405.450000003</v>
          </cell>
          <cell r="K952">
            <v>0</v>
          </cell>
          <cell r="M952">
            <v>0</v>
          </cell>
          <cell r="P952">
            <v>549000000</v>
          </cell>
          <cell r="Q952">
            <v>46258</v>
          </cell>
        </row>
        <row r="953">
          <cell r="B953" t="str">
            <v>047/K/VIII/26</v>
          </cell>
          <cell r="C953">
            <v>46258</v>
          </cell>
          <cell r="E953" t="str">
            <v>PT BENAYA AMB MANDIRI</v>
          </cell>
          <cell r="F953" t="str">
            <v>42/BAM-MAR/INV/VIII/2026</v>
          </cell>
          <cell r="G953" t="str">
            <v>035/OPS-VIII/2026 D</v>
          </cell>
          <cell r="H953" t="str">
            <v>Bunker BG Baiduri 70273 Voy. 175 Port Palembang</v>
          </cell>
          <cell r="I953">
            <v>1443243243.27</v>
          </cell>
          <cell r="J953">
            <v>158756756.72999999</v>
          </cell>
          <cell r="K953">
            <v>0</v>
          </cell>
          <cell r="M953">
            <v>0</v>
          </cell>
          <cell r="P953">
            <v>1602000000</v>
          </cell>
          <cell r="Q953">
            <v>46258</v>
          </cell>
        </row>
        <row r="954">
          <cell r="B954" t="str">
            <v>048/K/VIII/26</v>
          </cell>
          <cell r="C954">
            <v>46258</v>
          </cell>
          <cell r="E954" t="str">
            <v>PT DINASTI SAMUDERA ABADI</v>
          </cell>
          <cell r="F954" t="str">
            <v>51/INV-TK/MAR-DSA/VIII/26</v>
          </cell>
          <cell r="G954" t="str">
            <v>403/PV-MAR/2026</v>
          </cell>
          <cell r="H954" t="str">
            <v>DP Biaya Freight Charter TB Emperor 2 / BG Dinasti 3002 (Jetty SDJ Palembang - PLTU Indramayu)</v>
          </cell>
          <cell r="I954">
            <v>500000000</v>
          </cell>
          <cell r="K954">
            <v>0</v>
          </cell>
          <cell r="M954">
            <v>0</v>
          </cell>
          <cell r="N954">
            <v>15000</v>
          </cell>
          <cell r="P954">
            <v>500015000</v>
          </cell>
          <cell r="Q954">
            <v>46258</v>
          </cell>
        </row>
        <row r="955">
          <cell r="B955" t="str">
            <v>049/K/VIII/26</v>
          </cell>
          <cell r="C955">
            <v>46258</v>
          </cell>
          <cell r="E955" t="str">
            <v>PT DIVEN MAJU SENTOSA</v>
          </cell>
          <cell r="F955" t="str">
            <v>01560_DMS/MAR/VIII/2026</v>
          </cell>
          <cell r="H955" t="str">
            <v>DP Keagenan TB Entebe Star 30 V. 183 Port Samarinda</v>
          </cell>
          <cell r="I955">
            <v>12000000</v>
          </cell>
          <cell r="J955">
            <v>1320000</v>
          </cell>
          <cell r="K955">
            <v>0</v>
          </cell>
          <cell r="M955">
            <v>0</v>
          </cell>
          <cell r="P955">
            <v>13320000</v>
          </cell>
          <cell r="Q955">
            <v>46258</v>
          </cell>
        </row>
        <row r="956">
          <cell r="B956" t="str">
            <v>050/K/VIII/26</v>
          </cell>
          <cell r="C956">
            <v>46258</v>
          </cell>
          <cell r="D956" t="str">
            <v>2605UBLFF</v>
          </cell>
          <cell r="E956" t="str">
            <v xml:space="preserve">AANG SETIAWAN </v>
          </cell>
          <cell r="G956" t="str">
            <v>943/OPS-VIII/2026</v>
          </cell>
          <cell r="H956" t="str">
            <v>Biaya Jasa Cleaning &amp; Operasional U/TB Entebe Star 30 Voy. 183</v>
          </cell>
          <cell r="I956">
            <v>6000000</v>
          </cell>
          <cell r="K956">
            <v>0</v>
          </cell>
          <cell r="M956">
            <v>-125000</v>
          </cell>
          <cell r="P956">
            <v>5875000</v>
          </cell>
          <cell r="Q956">
            <v>46258</v>
          </cell>
        </row>
        <row r="957">
          <cell r="B957" t="str">
            <v>051/K/VIII/26</v>
          </cell>
          <cell r="C957">
            <v>46255</v>
          </cell>
          <cell r="D957" t="str">
            <v>2605UWBYM</v>
          </cell>
          <cell r="E957" t="str">
            <v>PT ANDALAN LANCAR NIAGA</v>
          </cell>
          <cell r="F957" t="str">
            <v>00115/ALN-INV/VI/26</v>
          </cell>
          <cell r="G957" t="str">
            <v>400/PV-MAR/2026</v>
          </cell>
          <cell r="H957" t="str">
            <v>Biaya Freight Charter TB Michelle XVII / BG Benami XVII (Jetty Bontang - PLTU Lontar</v>
          </cell>
          <cell r="I957">
            <v>1277985200</v>
          </cell>
          <cell r="K957">
            <v>0</v>
          </cell>
          <cell r="M957">
            <v>-15335822</v>
          </cell>
          <cell r="N957">
            <v>15000</v>
          </cell>
          <cell r="P957">
            <v>1262664378</v>
          </cell>
          <cell r="Q957">
            <v>46255</v>
          </cell>
        </row>
        <row r="958">
          <cell r="B958" t="str">
            <v>052/K/VIII/26</v>
          </cell>
          <cell r="C958">
            <v>46255</v>
          </cell>
          <cell r="D958" t="str">
            <v>2604ZJVY7</v>
          </cell>
          <cell r="E958" t="str">
            <v>PT ALPHA PACIFIC LINE</v>
          </cell>
          <cell r="F958" t="str">
            <v>003/APL-F/VII/2026</v>
          </cell>
          <cell r="G958" t="str">
            <v>401/PV-MAR/2026</v>
          </cell>
          <cell r="H958" t="str">
            <v xml:space="preserve"> Biaya Freight Charter TB APL 5 / BG Amethyst 8300 (Jetty Patratani - PLTU
Paiton 7-8)</v>
          </cell>
          <cell r="I958">
            <v>1293750000</v>
          </cell>
          <cell r="K958">
            <v>15</v>
          </cell>
          <cell r="M958">
            <v>-15525000</v>
          </cell>
          <cell r="P958">
            <v>1278225000</v>
          </cell>
          <cell r="Q958">
            <v>46255</v>
          </cell>
        </row>
        <row r="959">
          <cell r="B959" t="str">
            <v>053/K/VIII/26</v>
          </cell>
          <cell r="C959">
            <v>46255</v>
          </cell>
          <cell r="D959" t="str">
            <v>26052T0ZO</v>
          </cell>
          <cell r="E959" t="str">
            <v>PT IMC PELITA LOGISTIK TBK</v>
          </cell>
          <cell r="F959" t="str">
            <v>PLOG/TNBF2607/032</v>
          </cell>
          <cell r="G959" t="str">
            <v>402/PV-MAR/2026</v>
          </cell>
          <cell r="H959" t="str">
            <v>Biaya Freight Charter TB Intan Megah / BG Intan Kelana 1 (Jetty SDJ - PLTU IPP Jawa 9-10)</v>
          </cell>
          <cell r="I959">
            <v>863010830</v>
          </cell>
          <cell r="K959">
            <v>15</v>
          </cell>
          <cell r="M959">
            <v>-10356129.960000001</v>
          </cell>
          <cell r="N959">
            <v>15000</v>
          </cell>
          <cell r="P959">
            <v>852669700.03999996</v>
          </cell>
          <cell r="Q959">
            <v>46255</v>
          </cell>
        </row>
        <row r="960">
          <cell r="B960" t="str">
            <v>054/K/VIII/26</v>
          </cell>
          <cell r="C960">
            <v>46260</v>
          </cell>
          <cell r="D960" t="str">
            <v>2605MJD9U</v>
          </cell>
          <cell r="E960" t="str">
            <v>PT DINASTI SAMUDERA ABADI</v>
          </cell>
          <cell r="F960" t="str">
            <v>51/INV-TK/MAR-DSA/VIII/26</v>
          </cell>
          <cell r="G960" t="str">
            <v>412/PV-MAR/2026</v>
          </cell>
          <cell r="H960" t="str">
            <v>Biaya Freight Charter TB Emperor 2 / BG Dinasi 3002 (Jetty SDJ Palembang - PLTU Indramayu) - Pelunasan</v>
          </cell>
          <cell r="I960">
            <v>441405510</v>
          </cell>
          <cell r="K960">
            <v>0</v>
          </cell>
          <cell r="M960">
            <v>-11376116</v>
          </cell>
          <cell r="N960">
            <v>15000</v>
          </cell>
          <cell r="P960">
            <v>430044394</v>
          </cell>
          <cell r="Q960">
            <v>46260</v>
          </cell>
        </row>
        <row r="961">
          <cell r="B961" t="str">
            <v>055/K/VIII/26</v>
          </cell>
          <cell r="C961">
            <v>46260</v>
          </cell>
          <cell r="D961" t="str">
            <v>2605SZ0DC</v>
          </cell>
          <cell r="E961" t="str">
            <v>PT MUTIARA LAUTAN SEMESTA</v>
          </cell>
          <cell r="F961" t="str">
            <v>363/REV/INV/MLS-MAR/VIII/2026</v>
          </cell>
          <cell r="G961" t="str">
            <v>411/PV-MAR/2026</v>
          </cell>
          <cell r="H961" t="str">
            <v>Biaya Freight Charter TB Oni XVII / BG Ilir Jaya I (Jetty SDJ - PLTU Jawa 91-10)</v>
          </cell>
          <cell r="I961">
            <v>900261480</v>
          </cell>
          <cell r="K961">
            <v>15</v>
          </cell>
          <cell r="M961">
            <v>-10803137.76</v>
          </cell>
          <cell r="P961">
            <v>889458342.24000001</v>
          </cell>
          <cell r="Q961">
            <v>46260</v>
          </cell>
        </row>
        <row r="962">
          <cell r="B962" t="str">
            <v>056/K/VIII/26</v>
          </cell>
          <cell r="C962">
            <v>46260</v>
          </cell>
          <cell r="D962" t="str">
            <v>2605V9SYZ</v>
          </cell>
          <cell r="E962" t="str">
            <v>PT KRAKATAU SAMUDRA SOLUSI</v>
          </cell>
          <cell r="F962" t="str">
            <v>KSS.SI.260584</v>
          </cell>
          <cell r="G962" t="str">
            <v>410/PV-MAR/2026</v>
          </cell>
          <cell r="H962" t="str">
            <v>Biaya Freight Charter TB Libra Sakti I / BG Libra Sakti II (Patratani - Paiton)</v>
          </cell>
          <cell r="I962">
            <v>1313025000</v>
          </cell>
          <cell r="K962">
            <v>15</v>
          </cell>
          <cell r="M962">
            <v>-15756300</v>
          </cell>
          <cell r="P962">
            <v>1297268700</v>
          </cell>
          <cell r="Q962">
            <v>46260</v>
          </cell>
        </row>
        <row r="963">
          <cell r="B963" t="str">
            <v>057/K/VIII/26</v>
          </cell>
          <cell r="C963">
            <v>46260</v>
          </cell>
          <cell r="E963" t="str">
            <v>BINA SARANA INFORMATIKA</v>
          </cell>
          <cell r="F963" t="str">
            <v>218.02/Y-BSI/VII/2026</v>
          </cell>
          <cell r="G963" t="str">
            <v>408/PV-MAR/2026</v>
          </cell>
          <cell r="H963" t="str">
            <v>Pembayaran Listrik Kantor Periode 15 Juni - 15 Juli 2026 LT 3 Zona B &amp; C</v>
          </cell>
          <cell r="I963">
            <v>5016350</v>
          </cell>
          <cell r="K963">
            <v>0</v>
          </cell>
          <cell r="M963">
            <v>0</v>
          </cell>
          <cell r="N963">
            <v>2500</v>
          </cell>
          <cell r="P963">
            <v>5018850</v>
          </cell>
          <cell r="Q963">
            <v>46260</v>
          </cell>
        </row>
        <row r="964">
          <cell r="B964" t="str">
            <v>058/K/VIII/26</v>
          </cell>
          <cell r="C964">
            <v>46260</v>
          </cell>
          <cell r="E964" t="str">
            <v>BPJS KESEHATAN</v>
          </cell>
          <cell r="G964" t="str">
            <v>406/PV-MAR/2026</v>
          </cell>
          <cell r="H964" t="str">
            <v>BPJS Kesehatan crew ES 30 dan staff periode Agustus 2026</v>
          </cell>
          <cell r="I964">
            <v>7543964</v>
          </cell>
          <cell r="K964">
            <v>0</v>
          </cell>
          <cell r="M964">
            <v>0</v>
          </cell>
          <cell r="P964">
            <v>7543964</v>
          </cell>
          <cell r="Q964">
            <v>46260</v>
          </cell>
        </row>
        <row r="965">
          <cell r="B965" t="str">
            <v>059/K/VIII/26</v>
          </cell>
          <cell r="C965">
            <v>46260</v>
          </cell>
          <cell r="E965" t="str">
            <v>BPJS KETENAGAKERJAAN</v>
          </cell>
          <cell r="G965" t="str">
            <v>405/PV-MAR/2026</v>
          </cell>
          <cell r="H965" t="str">
            <v>BPJS  Ketenagakerjaan staff periode Agustus 2026</v>
          </cell>
          <cell r="I965">
            <v>11560536</v>
          </cell>
          <cell r="K965">
            <v>0</v>
          </cell>
          <cell r="M965">
            <v>0</v>
          </cell>
          <cell r="P965">
            <v>11560536</v>
          </cell>
          <cell r="Q965">
            <v>46260</v>
          </cell>
        </row>
        <row r="966">
          <cell r="B966" t="str">
            <v>060/K/VIII/26</v>
          </cell>
          <cell r="C966">
            <v>46260</v>
          </cell>
          <cell r="E966" t="str">
            <v>BPJS KETENAGAKERJAAN</v>
          </cell>
          <cell r="G966" t="str">
            <v>407/PV-MAR/2026</v>
          </cell>
          <cell r="H966" t="str">
            <v>BPJS Ketenagakerjaan crew kapal Entebe Star 30 periode Agustus 2026</v>
          </cell>
          <cell r="I966">
            <v>1531850</v>
          </cell>
          <cell r="K966">
            <v>0</v>
          </cell>
          <cell r="M966">
            <v>0</v>
          </cell>
          <cell r="P966">
            <v>1531850</v>
          </cell>
          <cell r="Q966">
            <v>46260</v>
          </cell>
        </row>
        <row r="967">
          <cell r="B967" t="str">
            <v>061/K/VIII/26</v>
          </cell>
          <cell r="C967">
            <v>46260</v>
          </cell>
          <cell r="E967" t="str">
            <v>DIRJEN PAJAK</v>
          </cell>
          <cell r="G967" t="str">
            <v>409/PV-MAR/2026</v>
          </cell>
          <cell r="H967" t="str">
            <v>STP PPN masa Mei 2026 bayar Juli 2026 - 00738/107/25/069/CT/26</v>
          </cell>
          <cell r="I967">
            <v>19442045</v>
          </cell>
          <cell r="K967">
            <v>0</v>
          </cell>
          <cell r="M967">
            <v>0</v>
          </cell>
          <cell r="P967">
            <v>19442045</v>
          </cell>
          <cell r="Q967">
            <v>46260</v>
          </cell>
        </row>
        <row r="968">
          <cell r="B968" t="str">
            <v>062/K/VIII/26</v>
          </cell>
          <cell r="C968">
            <v>46260</v>
          </cell>
          <cell r="E968" t="str">
            <v>DIREKSI DAN STAFF</v>
          </cell>
          <cell r="G968" t="str">
            <v>404/PV-MAR/2026</v>
          </cell>
          <cell r="H968" t="str">
            <v>Gaji Direksi dan staff periode Agustus 2026 sesuai lampiran</v>
          </cell>
          <cell r="I968">
            <v>139363874</v>
          </cell>
          <cell r="K968">
            <v>0</v>
          </cell>
          <cell r="M968">
            <v>0</v>
          </cell>
          <cell r="P968">
            <v>139363874</v>
          </cell>
          <cell r="Q968">
            <v>46260</v>
          </cell>
        </row>
        <row r="969">
          <cell r="B969" t="str">
            <v>063/K/VIII/26</v>
          </cell>
          <cell r="C969">
            <v>46262</v>
          </cell>
          <cell r="E969" t="str">
            <v>PT PERSADA LINTAS ASIA</v>
          </cell>
          <cell r="F969" t="str">
            <v>0067/RI-PLA/VIII/2026</v>
          </cell>
          <cell r="G969" t="str">
            <v>027/OPS-VIII/2026</v>
          </cell>
          <cell r="H969" t="str">
            <v>Buka tutup terpal &amp; amprahan OP21 V. 172 Port Kolaka</v>
          </cell>
          <cell r="I969">
            <v>3137000</v>
          </cell>
          <cell r="K969">
            <v>0</v>
          </cell>
          <cell r="M969">
            <v>0</v>
          </cell>
          <cell r="N969">
            <v>2500</v>
          </cell>
          <cell r="P969">
            <v>3139500</v>
          </cell>
          <cell r="Q969">
            <v>46262</v>
          </cell>
        </row>
        <row r="970">
          <cell r="B970" t="str">
            <v>063/K/VIII/26</v>
          </cell>
          <cell r="C970">
            <v>46262</v>
          </cell>
          <cell r="E970" t="str">
            <v>PT PERSADA LINTAS ASIA</v>
          </cell>
          <cell r="F970" t="str">
            <v>0060/RI-PLA/VIII/2026</v>
          </cell>
          <cell r="G970" t="str">
            <v>041/OPS-VIII/2026</v>
          </cell>
          <cell r="H970" t="str">
            <v>Reimbursement TB Ocean Power 21 / BG Angeline 219-05 (Jetty Conch - Tersus IPK)</v>
          </cell>
          <cell r="I970">
            <v>13000000</v>
          </cell>
          <cell r="K970">
            <v>0</v>
          </cell>
          <cell r="M970">
            <v>0</v>
          </cell>
          <cell r="P970">
            <v>13000000</v>
          </cell>
          <cell r="Q970">
            <v>46262</v>
          </cell>
        </row>
        <row r="971">
          <cell r="B971" t="str">
            <v>064/K/VIII/26</v>
          </cell>
          <cell r="C971">
            <v>46262</v>
          </cell>
          <cell r="E971" t="str">
            <v>CV CAHAYA ABADI</v>
          </cell>
          <cell r="F971" t="str">
            <v>000117</v>
          </cell>
          <cell r="G971" t="str">
            <v>045/OPS-VIII/2026</v>
          </cell>
          <cell r="H971" t="str">
            <v>Pelunasa Biaya Terpal Plastik Cap Rajawali TB Entebe Star 30</v>
          </cell>
          <cell r="I971">
            <v>15575000</v>
          </cell>
          <cell r="J971">
            <v>3850000</v>
          </cell>
          <cell r="K971">
            <v>0</v>
          </cell>
          <cell r="M971">
            <v>0</v>
          </cell>
          <cell r="P971">
            <v>19425000</v>
          </cell>
          <cell r="Q971">
            <v>46262</v>
          </cell>
        </row>
        <row r="972">
          <cell r="B972" t="str">
            <v>065/K/VIII/26</v>
          </cell>
          <cell r="C972">
            <v>46265</v>
          </cell>
          <cell r="D972" t="str">
            <v>2605X255T</v>
          </cell>
          <cell r="E972" t="str">
            <v>PT KARYA PACIFIC SHIPPING</v>
          </cell>
          <cell r="F972" t="str">
            <v>INV/JKT/26/VIII/110</v>
          </cell>
          <cell r="G972" t="str">
            <v>423/PV-MAR/2026</v>
          </cell>
          <cell r="H972" t="str">
            <v>DP Freight Charter TB Karya Pacific 21 / BG Pacific Star 21 (Jetty SDJ - PLTU Jawa 9-10)</v>
          </cell>
          <cell r="I972">
            <v>431250000</v>
          </cell>
          <cell r="K972">
            <v>0</v>
          </cell>
          <cell r="M972">
            <v>-10375780</v>
          </cell>
          <cell r="N972">
            <v>15000</v>
          </cell>
          <cell r="O972">
            <v>5200780</v>
          </cell>
          <cell r="P972">
            <v>426090000</v>
          </cell>
          <cell r="Q972">
            <v>46265</v>
          </cell>
        </row>
        <row r="973">
          <cell r="B973" t="str">
            <v>066/K/VIII/26</v>
          </cell>
          <cell r="C973">
            <v>46262</v>
          </cell>
          <cell r="E973" t="str">
            <v>ZULFADHLI JUSUF</v>
          </cell>
          <cell r="G973" t="str">
            <v>414/PV-MAR/2026</v>
          </cell>
          <cell r="H973" t="str">
            <v>Penggantian Dana Talangan</v>
          </cell>
          <cell r="I973">
            <v>500000000</v>
          </cell>
          <cell r="K973">
            <v>0</v>
          </cell>
          <cell r="M973">
            <v>0</v>
          </cell>
          <cell r="P973">
            <v>500000000</v>
          </cell>
          <cell r="Q973">
            <v>46262</v>
          </cell>
        </row>
        <row r="974">
          <cell r="B974" t="str">
            <v>067/K/VIII/26</v>
          </cell>
          <cell r="C974">
            <v>46262</v>
          </cell>
          <cell r="E974" t="str">
            <v>WINDA MUPLIAH</v>
          </cell>
          <cell r="G974" t="str">
            <v>413/PV-MAR/2026</v>
          </cell>
          <cell r="H974" t="str">
            <v>Biaya operasional bongkar muat di Paiton Per Maret - Juni 2026</v>
          </cell>
          <cell r="I974">
            <v>139650000</v>
          </cell>
          <cell r="K974">
            <v>0</v>
          </cell>
          <cell r="M974">
            <v>0</v>
          </cell>
          <cell r="P974">
            <v>139650000</v>
          </cell>
          <cell r="Q974">
            <v>46262</v>
          </cell>
        </row>
        <row r="975">
          <cell r="B975" t="str">
            <v>068/K/VIII/26</v>
          </cell>
          <cell r="K975">
            <v>0</v>
          </cell>
          <cell r="M975">
            <v>0</v>
          </cell>
          <cell r="P975">
            <v>0</v>
          </cell>
        </row>
        <row r="976">
          <cell r="B976" t="str">
            <v>069/K/VIII/26</v>
          </cell>
          <cell r="C976">
            <v>46249</v>
          </cell>
          <cell r="E976" t="str">
            <v>MANDIRI KARADENAN</v>
          </cell>
          <cell r="H976" t="str">
            <v>Pembayaran pinjaman untuk angsuran ke-2 pinjaman 9.500.000.000</v>
          </cell>
          <cell r="I976">
            <v>337518102.07999998</v>
          </cell>
          <cell r="K976">
            <v>0</v>
          </cell>
          <cell r="M976">
            <v>0</v>
          </cell>
          <cell r="P976">
            <v>337518102.07999998</v>
          </cell>
          <cell r="Q976">
            <v>46249</v>
          </cell>
        </row>
        <row r="977">
          <cell r="B977" t="str">
            <v>070/K/VIII/26</v>
          </cell>
          <cell r="C977">
            <v>46249</v>
          </cell>
          <cell r="H977" t="str">
            <v>Pembayaran pinjaman untuk angsuran ke-10 limit 11,5 Juta</v>
          </cell>
          <cell r="I977">
            <v>390794444</v>
          </cell>
          <cell r="K977">
            <v>0</v>
          </cell>
          <cell r="M977">
            <v>0</v>
          </cell>
          <cell r="P977">
            <v>390794444</v>
          </cell>
          <cell r="Q977">
            <v>46249</v>
          </cell>
        </row>
        <row r="978">
          <cell r="B978" t="str">
            <v>071/K/VIII/26</v>
          </cell>
          <cell r="C978">
            <v>46265</v>
          </cell>
          <cell r="E978" t="str">
            <v>CREW ENTEBE STAR 30 / FINACIA 71</v>
          </cell>
          <cell r="G978" t="str">
            <v>415/PV-MAR/2026</v>
          </cell>
          <cell r="H978" t="str">
            <v>Gaji crew Entebe Star 30 / Financia 71 periode Agustus 2026</v>
          </cell>
          <cell r="I978">
            <v>68500000</v>
          </cell>
          <cell r="K978">
            <v>0</v>
          </cell>
          <cell r="M978">
            <v>0</v>
          </cell>
          <cell r="N978">
            <v>26000</v>
          </cell>
          <cell r="P978">
            <v>68526000</v>
          </cell>
          <cell r="Q978">
            <v>46265</v>
          </cell>
        </row>
        <row r="979">
          <cell r="B979" t="str">
            <v>072/K/VIII/26</v>
          </cell>
          <cell r="C979">
            <v>46265</v>
          </cell>
          <cell r="E979" t="str">
            <v>CREW SURYA SEGARA 3 / FINACIA 96</v>
          </cell>
          <cell r="G979" t="str">
            <v>416/PV-MAR/2026</v>
          </cell>
          <cell r="H979" t="str">
            <v>Gaji crew Surya Segara 3 / Financia 96 periode Agustus 2026</v>
          </cell>
          <cell r="I979">
            <v>68500000</v>
          </cell>
          <cell r="K979">
            <v>0</v>
          </cell>
          <cell r="M979">
            <v>0</v>
          </cell>
          <cell r="N979">
            <v>39000</v>
          </cell>
          <cell r="P979">
            <v>68539000</v>
          </cell>
          <cell r="Q979">
            <v>46265</v>
          </cell>
        </row>
        <row r="980">
          <cell r="B980" t="str">
            <v>073/K/VIII/26</v>
          </cell>
          <cell r="C980">
            <v>46265</v>
          </cell>
          <cell r="E980" t="str">
            <v>CREW MICHELLE 219-08 / ANGELINE 219-08</v>
          </cell>
          <cell r="G980" t="str">
            <v>417/PV-MAR/2026</v>
          </cell>
          <cell r="H980" t="str">
            <v>Gaji crew Michelle 219-08 / Angeline 219-08 periode Agustus 2026</v>
          </cell>
          <cell r="I980">
            <v>68500000</v>
          </cell>
          <cell r="K980">
            <v>0</v>
          </cell>
          <cell r="M980">
            <v>0</v>
          </cell>
          <cell r="N980">
            <v>19500</v>
          </cell>
          <cell r="P980">
            <v>68519500</v>
          </cell>
          <cell r="Q980">
            <v>46265</v>
          </cell>
        </row>
        <row r="981">
          <cell r="B981" t="str">
            <v>074/K/VIII/26</v>
          </cell>
          <cell r="C981">
            <v>46265</v>
          </cell>
          <cell r="E981" t="str">
            <v>CREW OCEAN POWER 21 / BG ANGELINE 219-05</v>
          </cell>
          <cell r="G981" t="str">
            <v>418/PV-MAR/2026</v>
          </cell>
          <cell r="H981" t="str">
            <v>Gaji crew Ocean Power 21 / Angeline 219-05 periode Agustus 2026</v>
          </cell>
          <cell r="I981">
            <v>68500000</v>
          </cell>
          <cell r="K981">
            <v>0</v>
          </cell>
          <cell r="M981">
            <v>0</v>
          </cell>
          <cell r="N981">
            <v>19500</v>
          </cell>
          <cell r="P981">
            <v>68519500</v>
          </cell>
          <cell r="Q981">
            <v>46265</v>
          </cell>
        </row>
        <row r="982">
          <cell r="B982" t="str">
            <v>075/K/VIII/26</v>
          </cell>
          <cell r="C982">
            <v>46265</v>
          </cell>
          <cell r="E982" t="str">
            <v>YUDIANTO</v>
          </cell>
          <cell r="G982" t="str">
            <v>419/PV-MAR/2026</v>
          </cell>
          <cell r="H982" t="str">
            <v>Uang makan Crew TB Entebe Star 30 / BG Finacia 71 Per September 2026</v>
          </cell>
          <cell r="I982">
            <v>16500000</v>
          </cell>
          <cell r="K982">
            <v>0</v>
          </cell>
          <cell r="M982">
            <v>0</v>
          </cell>
          <cell r="P982">
            <v>16500000</v>
          </cell>
          <cell r="Q982">
            <v>46265</v>
          </cell>
        </row>
        <row r="983">
          <cell r="B983" t="str">
            <v>076/K/VIII/26</v>
          </cell>
          <cell r="C983">
            <v>46265</v>
          </cell>
          <cell r="E983" t="str">
            <v>ANDI ARDI SAID</v>
          </cell>
          <cell r="G983" t="str">
            <v>420/PV-MAR/2026</v>
          </cell>
          <cell r="H983" t="str">
            <v>Uang makan Crew TB Surya Segara 3 / BG Finacia 96 Per September 2026</v>
          </cell>
          <cell r="I983">
            <v>16500000</v>
          </cell>
          <cell r="K983">
            <v>0</v>
          </cell>
          <cell r="M983">
            <v>0</v>
          </cell>
          <cell r="N983">
            <v>2500</v>
          </cell>
          <cell r="P983">
            <v>16502500</v>
          </cell>
          <cell r="Q983">
            <v>46265</v>
          </cell>
        </row>
        <row r="984">
          <cell r="B984" t="str">
            <v>077/K/VIII/26</v>
          </cell>
          <cell r="C984">
            <v>46265</v>
          </cell>
          <cell r="E984" t="str">
            <v>ANDI ARMAN</v>
          </cell>
          <cell r="G984" t="str">
            <v>421/PV-MAR/2026</v>
          </cell>
          <cell r="H984" t="str">
            <v>Uang makan Crew TB Michelle 219-08 / BG Angeline 219-08 Per September 2026</v>
          </cell>
          <cell r="I984">
            <v>16500000</v>
          </cell>
          <cell r="K984">
            <v>0</v>
          </cell>
          <cell r="M984">
            <v>0</v>
          </cell>
          <cell r="N984">
            <v>2500</v>
          </cell>
          <cell r="P984">
            <v>16502500</v>
          </cell>
          <cell r="Q984">
            <v>46265</v>
          </cell>
        </row>
        <row r="985">
          <cell r="B985" t="str">
            <v>078/K/VIII/26</v>
          </cell>
          <cell r="C985">
            <v>46265</v>
          </cell>
          <cell r="E985" t="str">
            <v>BUDI KAHANA</v>
          </cell>
          <cell r="G985" t="str">
            <v>422/PV-MAR/2026</v>
          </cell>
          <cell r="H985" t="str">
            <v>Uang makan Crew TB Ocean Power 21 / BG Angeline 219-05 Per September 2026</v>
          </cell>
          <cell r="I985">
            <v>16500000</v>
          </cell>
          <cell r="K985">
            <v>0</v>
          </cell>
          <cell r="M985">
            <v>0</v>
          </cell>
          <cell r="N985">
            <v>2500</v>
          </cell>
          <cell r="P985">
            <v>16502500</v>
          </cell>
          <cell r="Q985">
            <v>46265</v>
          </cell>
        </row>
        <row r="986">
          <cell r="B986" t="str">
            <v>079/K/VIII/26</v>
          </cell>
          <cell r="C986">
            <v>46265</v>
          </cell>
          <cell r="E986" t="str">
            <v>DIRJEN PAJAK</v>
          </cell>
          <cell r="G986" t="str">
            <v>424/PV-MAR/2026</v>
          </cell>
          <cell r="H986" t="str">
            <v>Pembayaran PPN per Juli 2026</v>
          </cell>
          <cell r="I986">
            <v>896278395</v>
          </cell>
          <cell r="K986">
            <v>0</v>
          </cell>
          <cell r="M986">
            <v>0</v>
          </cell>
          <cell r="P986">
            <v>896278395</v>
          </cell>
          <cell r="Q986">
            <v>46265</v>
          </cell>
        </row>
        <row r="987">
          <cell r="B987" t="str">
            <v>080/K/VIII/26</v>
          </cell>
          <cell r="C987">
            <v>46251</v>
          </cell>
          <cell r="E987" t="str">
            <v>PT SURVEYOR INDONESIA</v>
          </cell>
          <cell r="F987" t="str">
            <v>INT-INV-2608-0343</v>
          </cell>
          <cell r="H987" t="str">
            <v>Jasa Vetting Inspection for TB Karya pAcific 21 + BG Pacific Star 22 / Setoff LB INV 2509-0252</v>
          </cell>
          <cell r="I987">
            <v>20000000</v>
          </cell>
          <cell r="J987">
            <v>2200000</v>
          </cell>
          <cell r="K987">
            <v>23</v>
          </cell>
          <cell r="M987">
            <v>-400000</v>
          </cell>
          <cell r="O987">
            <v>-550000</v>
          </cell>
          <cell r="P987">
            <v>21250000</v>
          </cell>
          <cell r="Q987">
            <v>46251</v>
          </cell>
        </row>
        <row r="988">
          <cell r="B988" t="str">
            <v>081/K/VIII/26</v>
          </cell>
          <cell r="C988">
            <v>46241</v>
          </cell>
          <cell r="D988" t="str">
            <v>2605A75D5</v>
          </cell>
          <cell r="E988" t="str">
            <v>PT MARITIM INDO RAYA</v>
          </cell>
          <cell r="F988" t="str">
            <v>078/INV/MIR-MAR/VII/2026 &amp; 078/DN/MIR-MAR/VII/2026</v>
          </cell>
          <cell r="G988" t="str">
            <v>927/OPS-VII/2026</v>
          </cell>
          <cell r="H988" t="str">
            <v>Biaya keagenan &amp; operasional TB Michelle XV / BG Benami XV Voy. 166 Port Palembang</v>
          </cell>
          <cell r="I988">
            <v>92372598</v>
          </cell>
          <cell r="J988">
            <v>440000</v>
          </cell>
          <cell r="K988">
            <v>0</v>
          </cell>
          <cell r="M988">
            <v>-20000</v>
          </cell>
          <cell r="O988">
            <v>-14012482</v>
          </cell>
          <cell r="P988">
            <v>78780116</v>
          </cell>
          <cell r="Q988">
            <v>46241</v>
          </cell>
        </row>
        <row r="990">
          <cell r="K990">
            <v>0</v>
          </cell>
          <cell r="M990">
            <v>0</v>
          </cell>
          <cell r="P990">
            <v>0</v>
          </cell>
        </row>
        <row r="991">
          <cell r="B991" t="str">
            <v>001/K/IX/26</v>
          </cell>
          <cell r="C991">
            <v>46266</v>
          </cell>
          <cell r="E991" t="str">
            <v>PT SUMBER ENERGI SUKSES MAKMUR</v>
          </cell>
          <cell r="G991" t="str">
            <v>425/PV-MAR/2026</v>
          </cell>
          <cell r="H991" t="str">
            <v>Refund bank transit PI 137 &amp; 141 Pro/MAR-SESM/VIII/26</v>
          </cell>
          <cell r="I991">
            <v>1784000000</v>
          </cell>
          <cell r="K991">
            <v>0</v>
          </cell>
          <cell r="M991">
            <v>0</v>
          </cell>
          <cell r="P991">
            <v>1784000000</v>
          </cell>
          <cell r="Q991">
            <v>46266</v>
          </cell>
        </row>
        <row r="992">
          <cell r="B992" t="str">
            <v>002/K/IX/26</v>
          </cell>
          <cell r="C992">
            <v>46270</v>
          </cell>
          <cell r="D992" t="str">
            <v>26061WJYT</v>
          </cell>
          <cell r="E992" t="str">
            <v>FUJIANTO</v>
          </cell>
          <cell r="G992" t="str">
            <v>944/OPS-IX/2026</v>
          </cell>
          <cell r="H992" t="str">
            <v>Cleaning BG Angeline 219-5 Voy. 187 L Port Sepapah</v>
          </cell>
          <cell r="I992">
            <v>14717949</v>
          </cell>
          <cell r="K992">
            <v>0</v>
          </cell>
          <cell r="M992">
            <v>-367949</v>
          </cell>
          <cell r="P992">
            <v>14350000</v>
          </cell>
          <cell r="Q992">
            <v>46270</v>
          </cell>
        </row>
        <row r="993">
          <cell r="B993" t="str">
            <v>003/K/IX/26</v>
          </cell>
          <cell r="C993">
            <v>46270</v>
          </cell>
          <cell r="D993" t="str">
            <v>26061WJYU</v>
          </cell>
          <cell r="E993" t="str">
            <v>FIDA UL ADN</v>
          </cell>
          <cell r="F993" t="str">
            <v>001/INV/BJT/IX/2026</v>
          </cell>
          <cell r="G993" t="str">
            <v>945/OPS-IX/2026</v>
          </cell>
          <cell r="H993" t="str">
            <v>Rewelding lambung dan deck TB Ocean Power 21 Port Sepapah</v>
          </cell>
          <cell r="I993">
            <v>8717949</v>
          </cell>
          <cell r="K993">
            <v>0</v>
          </cell>
          <cell r="M993">
            <v>-217949</v>
          </cell>
          <cell r="P993">
            <v>8500000</v>
          </cell>
          <cell r="Q993">
            <v>46270</v>
          </cell>
        </row>
        <row r="994">
          <cell r="B994" t="str">
            <v>004/K/IX/26</v>
          </cell>
          <cell r="C994">
            <v>46269</v>
          </cell>
          <cell r="D994" t="str">
            <v>26068IHU2</v>
          </cell>
          <cell r="E994" t="str">
            <v>PT KARYA PACIFIC SHIPPING</v>
          </cell>
          <cell r="F994" t="str">
            <v>INV/JKT/26/VIII/137</v>
          </cell>
          <cell r="G994" t="str">
            <v>429/PV-MAR/2026</v>
          </cell>
          <cell r="H994" t="str">
            <v>Biaya Freight Charter TB Karya Pacific 21 / BG Pacific Star 22 (Jetty SDJ - PLTU Jawa 9-10)</v>
          </cell>
          <cell r="I994">
            <v>433398315</v>
          </cell>
          <cell r="K994">
            <v>0</v>
          </cell>
          <cell r="M994">
            <v>-5200779</v>
          </cell>
          <cell r="N994">
            <v>15000</v>
          </cell>
          <cell r="O994">
            <v>-1</v>
          </cell>
          <cell r="P994">
            <v>428212535</v>
          </cell>
          <cell r="Q994">
            <v>46269</v>
          </cell>
        </row>
        <row r="995">
          <cell r="B995" t="str">
            <v>005/K/IX/26</v>
          </cell>
          <cell r="C995">
            <v>46269</v>
          </cell>
          <cell r="E995" t="str">
            <v>PT BENAYA AMB MANDIRI</v>
          </cell>
          <cell r="F995" t="str">
            <v>44/BAM-MAR/INV/VIII/2026</v>
          </cell>
          <cell r="G995" t="str">
            <v>039/OPS-VIII/2026</v>
          </cell>
          <cell r="H995" t="str">
            <v>Solar HSD TB Michelle 219-08</v>
          </cell>
          <cell r="I995">
            <v>356756757</v>
          </cell>
          <cell r="J995">
            <v>39243243</v>
          </cell>
          <cell r="K995">
            <v>0</v>
          </cell>
          <cell r="M995">
            <v>0</v>
          </cell>
          <cell r="P995">
            <v>396000000</v>
          </cell>
          <cell r="Q995">
            <v>46269</v>
          </cell>
        </row>
        <row r="996">
          <cell r="B996" t="str">
            <v>006/K/IX/26</v>
          </cell>
          <cell r="C996">
            <v>46269</v>
          </cell>
          <cell r="E996" t="str">
            <v>PT BENAYA AMB MANDIRI</v>
          </cell>
          <cell r="F996" t="str">
            <v>45/BAM-MAR/INV/VIII/2026</v>
          </cell>
          <cell r="G996" t="str">
            <v>040/OPS-VIII/2026</v>
          </cell>
          <cell r="H996" t="str">
            <v>Solar HSD TB Abhiprama 107 - Parsial I</v>
          </cell>
          <cell r="I996">
            <v>650000000</v>
          </cell>
          <cell r="K996">
            <v>0</v>
          </cell>
          <cell r="M996">
            <v>0</v>
          </cell>
          <cell r="P996">
            <v>650000000</v>
          </cell>
          <cell r="Q996">
            <v>46269</v>
          </cell>
        </row>
        <row r="997">
          <cell r="B997" t="str">
            <v>007/K/IX/26</v>
          </cell>
          <cell r="C997">
            <v>46269</v>
          </cell>
          <cell r="E997" t="str">
            <v>PT ANDALAN LANCAR NIAGA</v>
          </cell>
          <cell r="F997" t="str">
            <v>00122/ALN-INV/VI/2026</v>
          </cell>
          <cell r="G997" t="str">
            <v>430/PV-MAR/2026</v>
          </cell>
          <cell r="H997" t="str">
            <v>Biaya Freight Charter TB Michelle XVI / BG Benami XVI (Kintap - PLTU 2 Jatim)</v>
          </cell>
          <cell r="I997">
            <v>715652290</v>
          </cell>
          <cell r="K997">
            <v>15</v>
          </cell>
          <cell r="M997">
            <v>-8587827.4800000004</v>
          </cell>
          <cell r="N997">
            <v>15000</v>
          </cell>
          <cell r="P997">
            <v>707079462.51999998</v>
          </cell>
          <cell r="Q997">
            <v>46269</v>
          </cell>
        </row>
        <row r="998">
          <cell r="B998" t="str">
            <v>008/K/IX/26</v>
          </cell>
          <cell r="C998">
            <v>46269</v>
          </cell>
          <cell r="D998" t="str">
            <v>2605T41Q5</v>
          </cell>
          <cell r="E998" t="str">
            <v>PT ANDALAN LANCAR NIAGA</v>
          </cell>
          <cell r="F998" t="str">
            <v>00183/ALN-INV/VIII/2026</v>
          </cell>
          <cell r="G998" t="str">
            <v>431/PV-MAR/2026</v>
          </cell>
          <cell r="H998" t="str">
            <v>Biaya Time Charter TB Michelle XV / BG Benami XV periode 25 Agustus s.d 24 September 2026</v>
          </cell>
          <cell r="I998">
            <v>850000000</v>
          </cell>
          <cell r="K998">
            <v>15</v>
          </cell>
          <cell r="M998">
            <v>-10200000</v>
          </cell>
          <cell r="N998">
            <v>15000</v>
          </cell>
          <cell r="P998">
            <v>839815000</v>
          </cell>
          <cell r="Q998">
            <v>46269</v>
          </cell>
        </row>
        <row r="999">
          <cell r="B999" t="str">
            <v>009/K/IX/26</v>
          </cell>
          <cell r="C999">
            <v>46266</v>
          </cell>
          <cell r="E999" t="str">
            <v>PT HOKARI LINEX PRATAMA</v>
          </cell>
          <cell r="F999" t="str">
            <v>003/HLP-BPN/VIII/2026</v>
          </cell>
          <cell r="G999" t="str">
            <v>048/OPS-VIII/2026</v>
          </cell>
          <cell r="H999" t="str">
            <v>Bio solar (B40) TB Entebe Star 30</v>
          </cell>
          <cell r="I999">
            <v>489549580</v>
          </cell>
          <cell r="J999">
            <v>53850454</v>
          </cell>
          <cell r="K999">
            <v>0</v>
          </cell>
          <cell r="M999">
            <v>0</v>
          </cell>
          <cell r="O999">
            <v>-34</v>
          </cell>
          <cell r="P999">
            <v>543400000</v>
          </cell>
          <cell r="Q999">
            <v>46266</v>
          </cell>
        </row>
        <row r="1000">
          <cell r="B1000" t="str">
            <v>010/K/IX/26</v>
          </cell>
          <cell r="C1000">
            <v>46268</v>
          </cell>
          <cell r="E1000" t="str">
            <v>PT ADHI GUNA PUTERA (Banten)</v>
          </cell>
          <cell r="F1000" t="str">
            <v>564/PI-ASS/LTR/VIII/2026</v>
          </cell>
          <cell r="G1000" t="str">
            <v>007/OPS-IX/2026</v>
          </cell>
          <cell r="H1000" t="str">
            <v>Pilotage &amp; Tug Assist TB Michelle XV / BG Benami XV</v>
          </cell>
          <cell r="I1000">
            <v>20727516</v>
          </cell>
          <cell r="K1000">
            <v>23</v>
          </cell>
          <cell r="M1000">
            <v>-414550.32</v>
          </cell>
          <cell r="N1000">
            <v>2500</v>
          </cell>
          <cell r="P1000">
            <v>20315465.68</v>
          </cell>
          <cell r="Q1000">
            <v>46268</v>
          </cell>
        </row>
        <row r="1001">
          <cell r="B1001" t="str">
            <v>011/K/IX/26</v>
          </cell>
          <cell r="C1001">
            <v>46266</v>
          </cell>
          <cell r="E1001" t="str">
            <v>TRI HANDOYO</v>
          </cell>
          <cell r="G1001" t="str">
            <v>426/PV-MAR/2026</v>
          </cell>
          <cell r="H1001" t="str">
            <v>Reimbursement mobil operasional periode Agustus 2026</v>
          </cell>
          <cell r="I1001">
            <v>3298500</v>
          </cell>
          <cell r="K1001">
            <v>0</v>
          </cell>
          <cell r="M1001">
            <v>0</v>
          </cell>
          <cell r="N1001">
            <v>6500</v>
          </cell>
          <cell r="P1001">
            <v>3305000</v>
          </cell>
          <cell r="Q1001">
            <v>46266</v>
          </cell>
        </row>
        <row r="1002">
          <cell r="B1002" t="str">
            <v>012/K/IX/26</v>
          </cell>
          <cell r="C1002">
            <v>46266</v>
          </cell>
          <cell r="E1002" t="str">
            <v>YONI FIRDAUS WIBOWO</v>
          </cell>
          <cell r="G1002" t="str">
            <v>427/PV-MAR/2026</v>
          </cell>
          <cell r="H1002" t="str">
            <v>Reimbursement Pak Yoni periode 18/08 s.d 04/09 2026</v>
          </cell>
          <cell r="I1002">
            <v>3583928</v>
          </cell>
          <cell r="K1002">
            <v>0</v>
          </cell>
          <cell r="M1002">
            <v>0</v>
          </cell>
          <cell r="P1002">
            <v>3583928</v>
          </cell>
          <cell r="Q1002">
            <v>46266</v>
          </cell>
        </row>
        <row r="1003">
          <cell r="B1003" t="str">
            <v>001/K/IX/26 CAV</v>
          </cell>
          <cell r="C1003">
            <v>46267</v>
          </cell>
          <cell r="E1003" t="str">
            <v>MUHAMMAD ZAKI</v>
          </cell>
          <cell r="G1003" t="str">
            <v>CAV013/OPS-IX/2026</v>
          </cell>
          <cell r="H1003" t="str">
            <v>Advance operasional Bulan September 2026</v>
          </cell>
          <cell r="I1003">
            <v>19395892</v>
          </cell>
          <cell r="K1003">
            <v>0</v>
          </cell>
          <cell r="M1003">
            <v>0</v>
          </cell>
          <cell r="N1003">
            <v>2500</v>
          </cell>
          <cell r="P1003">
            <v>19398392</v>
          </cell>
          <cell r="Q1003">
            <v>46267</v>
          </cell>
        </row>
        <row r="1004">
          <cell r="B1004" t="str">
            <v>014/K/IX/26</v>
          </cell>
          <cell r="C1004">
            <v>46267</v>
          </cell>
          <cell r="E1004" t="str">
            <v>PT SURYA BANJAR UTAMA</v>
          </cell>
          <cell r="F1004" t="str">
            <v>INV-SBU.182/VI.2026</v>
          </cell>
          <cell r="G1004" t="str">
            <v>020/OPS-VIII/2026</v>
          </cell>
          <cell r="H1004" t="str">
            <v>Terpal A5 30x35 TB Ocean Power 21 Voy. 163 L port Sepapah</v>
          </cell>
          <cell r="I1004">
            <v>24750000</v>
          </cell>
          <cell r="J1004">
            <v>2722500</v>
          </cell>
          <cell r="K1004">
            <v>0</v>
          </cell>
          <cell r="M1004">
            <v>0</v>
          </cell>
          <cell r="N1004">
            <v>2500</v>
          </cell>
          <cell r="P1004">
            <v>27475000</v>
          </cell>
          <cell r="Q1004">
            <v>46267</v>
          </cell>
        </row>
        <row r="1005">
          <cell r="B1005" t="str">
            <v>015/K/IX/26</v>
          </cell>
          <cell r="C1005">
            <v>46267</v>
          </cell>
          <cell r="E1005" t="str">
            <v>PT ADHIUTAMA POWER MANDALA</v>
          </cell>
          <cell r="F1005" t="str">
            <v>INV-APM.046/VII.2026</v>
          </cell>
          <cell r="G1005" t="str">
            <v>018/OPS-VIII/2026</v>
          </cell>
          <cell r="H1005" t="str">
            <v>BHH-CIR 8 TB Surya Segara 3</v>
          </cell>
          <cell r="I1005">
            <v>14500000</v>
          </cell>
          <cell r="J1005">
            <v>1595000</v>
          </cell>
          <cell r="K1005">
            <v>0</v>
          </cell>
          <cell r="N1005">
            <v>2500</v>
          </cell>
          <cell r="P1005">
            <v>16097500</v>
          </cell>
          <cell r="Q1005">
            <v>46267</v>
          </cell>
        </row>
        <row r="1006">
          <cell r="B1006" t="str">
            <v>015/K/IX/26</v>
          </cell>
          <cell r="C1006">
            <v>46267</v>
          </cell>
          <cell r="E1006" t="str">
            <v>PT ADHIUTAMA POWER MANDALA</v>
          </cell>
          <cell r="F1006" t="str">
            <v>INV-APM.047/VII.2026</v>
          </cell>
          <cell r="G1006" t="str">
            <v>019/OPS-VIII/2026</v>
          </cell>
          <cell r="H1006" t="str">
            <v>Biaya ongkir perahu TB Surya Segara 3</v>
          </cell>
          <cell r="I1006">
            <v>1650000</v>
          </cell>
          <cell r="J1006">
            <v>181500</v>
          </cell>
          <cell r="K1006">
            <v>23</v>
          </cell>
          <cell r="M1006">
            <v>-33000</v>
          </cell>
          <cell r="P1006">
            <v>1798500</v>
          </cell>
          <cell r="Q1006">
            <v>46267</v>
          </cell>
        </row>
        <row r="1007">
          <cell r="B1007" t="str">
            <v>016/K/IX/26</v>
          </cell>
          <cell r="C1007">
            <v>46267</v>
          </cell>
          <cell r="E1007" t="str">
            <v>PT CAHAYA SAMODERA BERSAUDARA</v>
          </cell>
          <cell r="F1007" t="str">
            <v>CSB/INV/PLMCS/26/03396</v>
          </cell>
          <cell r="G1007" t="str">
            <v>021/OPS-VIII/2026</v>
          </cell>
          <cell r="H1007" t="str">
            <v>Sirius S4 15W-40 1*209L TB Surya Segara 3</v>
          </cell>
          <cell r="I1007">
            <v>30150000</v>
          </cell>
          <cell r="J1007">
            <v>3316500</v>
          </cell>
          <cell r="K1007">
            <v>0</v>
          </cell>
          <cell r="M1007">
            <v>0</v>
          </cell>
          <cell r="N1007">
            <v>2900</v>
          </cell>
          <cell r="P1007">
            <v>33469400</v>
          </cell>
          <cell r="Q1007">
            <v>46267</v>
          </cell>
        </row>
        <row r="1008">
          <cell r="B1008" t="str">
            <v>016/K/IX/26</v>
          </cell>
          <cell r="C1008">
            <v>46267</v>
          </cell>
          <cell r="E1008" t="str">
            <v>PT CAHAYA SAMODERA BERSAUDARA</v>
          </cell>
          <cell r="F1008" t="str">
            <v>CSB/INV/PLMCS/26/03398</v>
          </cell>
          <cell r="G1008" t="str">
            <v>022/OPS-VIII/2026</v>
          </cell>
          <cell r="H1008" t="str">
            <v>Sirius S4 15W-40 1*209L TB Michelle 219-08</v>
          </cell>
          <cell r="I1008">
            <v>30150000</v>
          </cell>
          <cell r="J1008">
            <v>3316500</v>
          </cell>
          <cell r="K1008">
            <v>0</v>
          </cell>
          <cell r="M1008">
            <v>0</v>
          </cell>
          <cell r="P1008">
            <v>33466500</v>
          </cell>
          <cell r="Q1008">
            <v>46267</v>
          </cell>
        </row>
        <row r="1009">
          <cell r="B1009" t="str">
            <v>016/K/IX/26</v>
          </cell>
          <cell r="C1009">
            <v>46267</v>
          </cell>
          <cell r="D1009" t="str">
            <v>26055XK4C</v>
          </cell>
          <cell r="E1009" t="str">
            <v>PT CAHAYA SAMODERA BERSAUDARA</v>
          </cell>
          <cell r="F1009" t="str">
            <v>CSB/INV/PLMCS/26/03399</v>
          </cell>
          <cell r="G1009" t="str">
            <v>023/OPS-VIII/2026</v>
          </cell>
          <cell r="H1009" t="str">
            <v>Boat Charge TB Michelle 219-08</v>
          </cell>
          <cell r="I1009">
            <v>750000</v>
          </cell>
          <cell r="J1009">
            <v>82500</v>
          </cell>
          <cell r="K1009">
            <v>0</v>
          </cell>
          <cell r="M1009">
            <v>-15000</v>
          </cell>
          <cell r="P1009">
            <v>817500</v>
          </cell>
          <cell r="Q1009">
            <v>46267</v>
          </cell>
        </row>
        <row r="1010">
          <cell r="B1010" t="str">
            <v>016/K/IX/26</v>
          </cell>
          <cell r="C1010">
            <v>46267</v>
          </cell>
          <cell r="D1010" t="str">
            <v>26055XK4D</v>
          </cell>
          <cell r="E1010" t="str">
            <v>PT CAHAYA SAMODERA BERSAUDARA</v>
          </cell>
          <cell r="F1010" t="str">
            <v>CSB/INV/PLMCS/26/03397</v>
          </cell>
          <cell r="G1010" t="str">
            <v>024/OPS-VIII/2026</v>
          </cell>
          <cell r="H1010" t="str">
            <v>Boat charge TB Surya Segara 3</v>
          </cell>
          <cell r="I1010">
            <v>750000</v>
          </cell>
          <cell r="J1010">
            <v>82500</v>
          </cell>
          <cell r="K1010">
            <v>0</v>
          </cell>
          <cell r="M1010">
            <v>-15000</v>
          </cell>
          <cell r="P1010">
            <v>817500</v>
          </cell>
          <cell r="Q1010">
            <v>46267</v>
          </cell>
        </row>
        <row r="1011">
          <cell r="B1011" t="str">
            <v>017/K/IX/26</v>
          </cell>
          <cell r="C1011">
            <v>46267</v>
          </cell>
          <cell r="E1011" t="str">
            <v>PT SINARMAS LDA USAHA PELABUHAN</v>
          </cell>
          <cell r="F1011" t="str">
            <v>CI26-04955</v>
          </cell>
          <cell r="G1011" t="str">
            <v>029/OPS-VIII/2026</v>
          </cell>
          <cell r="H1011" t="str">
            <v>Pilotage &amp; Towing TB Michelle XV - BG Benami XV</v>
          </cell>
          <cell r="I1011">
            <v>21490308</v>
          </cell>
          <cell r="K1011">
            <v>23</v>
          </cell>
          <cell r="M1011">
            <v>-429806.16000000003</v>
          </cell>
          <cell r="N1011">
            <v>2500</v>
          </cell>
          <cell r="O1011">
            <v>-429674</v>
          </cell>
          <cell r="P1011">
            <v>20633327.84</v>
          </cell>
          <cell r="Q1011">
            <v>46267</v>
          </cell>
        </row>
        <row r="1012">
          <cell r="B1012" t="str">
            <v>018/K/IX/26</v>
          </cell>
          <cell r="C1012">
            <v>46267</v>
          </cell>
          <cell r="D1012" t="str">
            <v>2605TX0Q7</v>
          </cell>
          <cell r="E1012" t="str">
            <v>PT MARITIM BATUBARA PERTAMA</v>
          </cell>
          <cell r="F1012" t="str">
            <v>MBP/VIII-26/0287</v>
          </cell>
          <cell r="G1012" t="str">
            <v>044/OPS-VIII/2026</v>
          </cell>
          <cell r="H1012" t="str">
            <v>Mooring &amp; Unmooring TB Surya Segara 3 - BG Finacia 96</v>
          </cell>
          <cell r="I1012">
            <v>2000000</v>
          </cell>
          <cell r="K1012">
            <v>23</v>
          </cell>
          <cell r="M1012">
            <v>-40000</v>
          </cell>
          <cell r="N1012">
            <v>2900</v>
          </cell>
          <cell r="P1012">
            <v>1962900</v>
          </cell>
          <cell r="Q1012">
            <v>46267</v>
          </cell>
        </row>
        <row r="1013">
          <cell r="B1013" t="str">
            <v>019/K/IX/26</v>
          </cell>
          <cell r="C1013">
            <v>46267</v>
          </cell>
          <cell r="D1013" t="str">
            <v>260643N03</v>
          </cell>
          <cell r="E1013" t="str">
            <v>PT TIRTA SAMUDERA AGENCY</v>
          </cell>
          <cell r="F1013" t="str">
            <v>106/TSA-MAR/VII/2026</v>
          </cell>
          <cell r="G1013" t="str">
            <v>007/OPS-VIII/2026</v>
          </cell>
          <cell r="H1013" t="str">
            <v>Biaya keagenan TB Surya Segara 3 / BG Finacia 96</v>
          </cell>
          <cell r="I1013">
            <v>2000000</v>
          </cell>
          <cell r="K1013">
            <v>23</v>
          </cell>
          <cell r="M1013">
            <v>-40000</v>
          </cell>
          <cell r="N1013">
            <v>2500</v>
          </cell>
          <cell r="P1013">
            <v>1962500</v>
          </cell>
          <cell r="Q1013">
            <v>46267</v>
          </cell>
        </row>
        <row r="1014">
          <cell r="B1014" t="str">
            <v>019/K/IX/26</v>
          </cell>
          <cell r="C1014">
            <v>46267</v>
          </cell>
          <cell r="E1014" t="str">
            <v>PT TIRTA SAMUDERA AGENCY</v>
          </cell>
          <cell r="F1014" t="str">
            <v>107/TSA-MAR/VII/2026</v>
          </cell>
          <cell r="G1014" t="str">
            <v>006/OPS-VIII/2026</v>
          </cell>
          <cell r="H1014" t="str">
            <v>Biaya port clearance in/out  TB Surya Segara 3 / BG Finacia 96</v>
          </cell>
          <cell r="I1014">
            <v>35187746</v>
          </cell>
          <cell r="K1014">
            <v>0</v>
          </cell>
          <cell r="M1014">
            <v>0</v>
          </cell>
          <cell r="P1014">
            <v>35187746</v>
          </cell>
          <cell r="Q1014">
            <v>46267</v>
          </cell>
        </row>
        <row r="1015">
          <cell r="B1015" t="str">
            <v>020/K/IX/26</v>
          </cell>
          <cell r="C1015">
            <v>46268</v>
          </cell>
          <cell r="E1015" t="str">
            <v>PT PELAYARAN LAKSITA ADITYA PARAMA</v>
          </cell>
          <cell r="F1015" t="str">
            <v>037/PLAP-SD/INV/VI/2026</v>
          </cell>
          <cell r="G1015" t="str">
            <v>016/OPS-VIII/2026</v>
          </cell>
          <cell r="H1015" t="str">
            <v>Biaya keagenan TB Michelle XV / Benami XV V. 156</v>
          </cell>
          <cell r="I1015">
            <v>2500000</v>
          </cell>
          <cell r="J1015">
            <v>275000</v>
          </cell>
          <cell r="K1015">
            <v>23</v>
          </cell>
          <cell r="M1015">
            <v>-50000</v>
          </cell>
          <cell r="P1015">
            <v>2725000</v>
          </cell>
          <cell r="Q1015">
            <v>46268</v>
          </cell>
        </row>
        <row r="1016">
          <cell r="B1016" t="str">
            <v>020/K/IX/26</v>
          </cell>
          <cell r="C1016">
            <v>46268</v>
          </cell>
          <cell r="E1016" t="str">
            <v>PT PELAYARAN LAKSITA ADITYA PARAMA</v>
          </cell>
          <cell r="F1016" t="str">
            <v>DN.037/PLAP-SD/INV/VI/2026</v>
          </cell>
          <cell r="G1016" t="str">
            <v>017/OPS-VIII/2026</v>
          </cell>
          <cell r="H1016" t="str">
            <v>Biaya keagenan TB Michelle XV / Benami XV V. 156</v>
          </cell>
          <cell r="I1016">
            <v>53733608</v>
          </cell>
          <cell r="K1016">
            <v>0</v>
          </cell>
          <cell r="M1016">
            <v>0</v>
          </cell>
          <cell r="P1016">
            <v>53733608</v>
          </cell>
          <cell r="Q1016">
            <v>46268</v>
          </cell>
        </row>
        <row r="1017">
          <cell r="B1017" t="str">
            <v>002/K/IX/26 CAV</v>
          </cell>
          <cell r="C1017">
            <v>46266</v>
          </cell>
          <cell r="E1017" t="str">
            <v>MASUDI</v>
          </cell>
          <cell r="G1017" t="str">
            <v>428/PV-MAR/2026</v>
          </cell>
          <cell r="H1017" t="str">
            <v>Advance trip ke Batam - Monitoring ship building periode 03 - 30 September 2026</v>
          </cell>
          <cell r="I1017">
            <v>7500000</v>
          </cell>
          <cell r="K1017">
            <v>0</v>
          </cell>
          <cell r="M1017">
            <v>0</v>
          </cell>
          <cell r="P1017">
            <v>7500000</v>
          </cell>
          <cell r="Q1017">
            <v>46266</v>
          </cell>
        </row>
        <row r="1018">
          <cell r="B1018" t="str">
            <v>021/K/IX/26</v>
          </cell>
          <cell r="C1018">
            <v>46267</v>
          </cell>
          <cell r="D1018" t="str">
            <v>2605TWIVE</v>
          </cell>
          <cell r="E1018" t="str">
            <v>PT PERSADA LINTAS ASIA</v>
          </cell>
          <cell r="F1018" t="str">
            <v>0461/INV-PLA/VIII/2026</v>
          </cell>
          <cell r="G1018" t="str">
            <v>047/OPS-VIII/2026</v>
          </cell>
          <cell r="H1018" t="str">
            <v xml:space="preserve">SPOG Labuh &amp; Exhibitum Logbook Kapal TB OP 21 </v>
          </cell>
          <cell r="I1018">
            <v>1000000</v>
          </cell>
          <cell r="J1018">
            <v>110000</v>
          </cell>
          <cell r="K1018">
            <v>23</v>
          </cell>
          <cell r="M1018">
            <v>-20000</v>
          </cell>
          <cell r="N1018">
            <v>2500</v>
          </cell>
          <cell r="P1018">
            <v>1092500</v>
          </cell>
          <cell r="Q1018">
            <v>46267</v>
          </cell>
        </row>
        <row r="1019">
          <cell r="B1019" t="str">
            <v>022/K/IX/26</v>
          </cell>
          <cell r="C1019">
            <v>46267</v>
          </cell>
          <cell r="E1019" t="str">
            <v>PT CAHAYA MALUKU LESTARI</v>
          </cell>
          <cell r="F1019" t="str">
            <v>03/REIMBPOD/CML-LU/VII/2026</v>
          </cell>
          <cell r="G1019" t="str">
            <v>066/OPS-VIII/2026</v>
          </cell>
          <cell r="H1019" t="str">
            <v>Reimbursement operational TB Ocean Power 21 / BG Angeline 219-05 (Tersus Conch - Labuan Uki)</v>
          </cell>
          <cell r="I1019">
            <v>13220000</v>
          </cell>
          <cell r="K1019">
            <v>0</v>
          </cell>
          <cell r="M1019">
            <v>0</v>
          </cell>
          <cell r="N1019">
            <v>2500</v>
          </cell>
          <cell r="P1019">
            <v>13222500</v>
          </cell>
          <cell r="Q1019">
            <v>46267</v>
          </cell>
        </row>
        <row r="1020">
          <cell r="B1020" t="str">
            <v>022/K/IX/26</v>
          </cell>
          <cell r="C1020">
            <v>46267</v>
          </cell>
          <cell r="E1020" t="str">
            <v>PT CAHAYA MALUKU LESTARI</v>
          </cell>
          <cell r="F1020" t="str">
            <v>004/REIMBPOL/CML-LU/VII/2026</v>
          </cell>
          <cell r="G1020" t="str">
            <v>067/OPS-VIII/2026</v>
          </cell>
          <cell r="H1020" t="str">
            <v>Reimbursement biaya operasional TB Ocean Power 21 / BG Angeline 219-05 (Tersus Conch - Labuan Uki)</v>
          </cell>
          <cell r="I1020">
            <v>3100000</v>
          </cell>
          <cell r="K1020">
            <v>0</v>
          </cell>
          <cell r="M1020">
            <v>0</v>
          </cell>
          <cell r="P1020">
            <v>3100000</v>
          </cell>
          <cell r="Q1020">
            <v>46267</v>
          </cell>
        </row>
        <row r="1021">
          <cell r="B1021" t="str">
            <v>022/K/IX/26</v>
          </cell>
          <cell r="C1021">
            <v>46267</v>
          </cell>
          <cell r="D1021" t="str">
            <v>2605UBRET</v>
          </cell>
          <cell r="E1021" t="str">
            <v>PT CAHAYA MALUKU LESTARI</v>
          </cell>
          <cell r="F1021" t="str">
            <v>02/CML-LU/INV/VII-2026</v>
          </cell>
          <cell r="G1021" t="str">
            <v>068/OPS-VIII/2026</v>
          </cell>
          <cell r="H1021" t="str">
            <v>Biaya nota puramaya pandu tunda TB Ocean Power 21 / BG Angeline 219-05 (Jetty Conch - Lolak)</v>
          </cell>
          <cell r="I1021">
            <v>21725000</v>
          </cell>
          <cell r="J1021">
            <v>2389750</v>
          </cell>
          <cell r="K1021">
            <v>23</v>
          </cell>
          <cell r="M1021">
            <v>-434500</v>
          </cell>
          <cell r="P1021">
            <v>23680250</v>
          </cell>
          <cell r="Q1021">
            <v>46267</v>
          </cell>
        </row>
        <row r="1022">
          <cell r="B1022" t="str">
            <v>023/K/IX/26</v>
          </cell>
          <cell r="C1022">
            <v>46267</v>
          </cell>
          <cell r="E1022" t="str">
            <v>PT DAIDAN UTAMA PIALANG ASURANSI</v>
          </cell>
          <cell r="F1022" t="str">
            <v>0469/CPNI/03/26</v>
          </cell>
          <cell r="G1022" t="str">
            <v>872/OPS-VI/2026</v>
          </cell>
          <cell r="H1022" t="str">
            <v>P&amp;I Insurance TB Entebe Star 30 / BG Finacia 71 periode 05/03/2026 - 05/03/2027 (3/4)</v>
          </cell>
          <cell r="I1022">
            <v>26952750</v>
          </cell>
          <cell r="K1022">
            <v>0</v>
          </cell>
          <cell r="M1022">
            <v>0</v>
          </cell>
          <cell r="N1022">
            <v>532290</v>
          </cell>
          <cell r="P1022">
            <v>27485040</v>
          </cell>
          <cell r="Q1022">
            <v>46267</v>
          </cell>
        </row>
        <row r="1023">
          <cell r="B1023" t="str">
            <v>024/K/IX/26</v>
          </cell>
          <cell r="C1023">
            <v>46267</v>
          </cell>
          <cell r="E1023" t="str">
            <v>PT DAIDAN UTAMA PIALANG ASURANSI</v>
          </cell>
          <cell r="F1023" t="str">
            <v>0468/CPNI/03/26</v>
          </cell>
          <cell r="G1023" t="str">
            <v>870/OPS-VI/2026</v>
          </cell>
          <cell r="H1023" t="str">
            <v>P&amp;I Insurance TB Michelle 219-08 / BG Angeline 219-08 periode 05/03/2026 - 05/03/2027 (3/4)</v>
          </cell>
          <cell r="I1023">
            <v>26952750</v>
          </cell>
          <cell r="K1023">
            <v>0</v>
          </cell>
          <cell r="M1023">
            <v>0</v>
          </cell>
          <cell r="N1023">
            <v>532290</v>
          </cell>
          <cell r="P1023">
            <v>27485040</v>
          </cell>
          <cell r="Q1023">
            <v>46267</v>
          </cell>
        </row>
        <row r="1024">
          <cell r="B1024" t="str">
            <v>025/K/IX/26</v>
          </cell>
          <cell r="C1024">
            <v>46273</v>
          </cell>
          <cell r="E1024" t="str">
            <v>PT KRAKATAU SAMUDRA SOLUSI</v>
          </cell>
          <cell r="F1024" t="str">
            <v>KSS.SI.260610</v>
          </cell>
          <cell r="G1024" t="str">
            <v>432/PV-MAR/2026</v>
          </cell>
          <cell r="H1024" t="str">
            <v>Biaya Freight Charter TB Asia Tirta 2005 - BG Asia Perdana 3005 (Jetty Conch - Lolak)</v>
          </cell>
          <cell r="I1024">
            <v>1044016960</v>
          </cell>
          <cell r="K1024">
            <v>15</v>
          </cell>
          <cell r="M1024">
            <v>-12528203.52</v>
          </cell>
          <cell r="P1024">
            <v>1031488756.48</v>
          </cell>
          <cell r="Q1024">
            <v>46273</v>
          </cell>
        </row>
        <row r="1025">
          <cell r="B1025" t="str">
            <v>026/K/IX/26</v>
          </cell>
          <cell r="C1025">
            <v>46273</v>
          </cell>
          <cell r="D1025" t="str">
            <v>2605LTCB</v>
          </cell>
          <cell r="E1025" t="str">
            <v>PT ALPHA PACIFIC LINE</v>
          </cell>
          <cell r="F1025" t="str">
            <v>006/APL-F/VII/2026</v>
          </cell>
          <cell r="G1025" t="str">
            <v>433/PV-MAR/2026</v>
          </cell>
          <cell r="H1025" t="str">
            <v xml:space="preserve">Biaya Freight Charter TB APL 5 / BG Amethyst 8300 (Jetty TUKS - PLTU Jawa 7) </v>
          </cell>
          <cell r="I1025">
            <v>1050910980</v>
          </cell>
          <cell r="K1025">
            <v>15</v>
          </cell>
          <cell r="M1025">
            <v>-12610931.76</v>
          </cell>
          <cell r="P1025">
            <v>1038300048.24</v>
          </cell>
          <cell r="Q1025">
            <v>46273</v>
          </cell>
        </row>
        <row r="1026">
          <cell r="B1026" t="str">
            <v>027/K/IX/26</v>
          </cell>
          <cell r="C1026">
            <v>46273</v>
          </cell>
          <cell r="D1026" t="str">
            <v>2606I7VBR</v>
          </cell>
          <cell r="E1026" t="str">
            <v>KHARISMA DUTA</v>
          </cell>
          <cell r="G1026" t="str">
            <v>008/OPS-IX/2026</v>
          </cell>
          <cell r="H1026" t="str">
            <v>Biaya pengiriman terpal karung U/TB Entebe Star 30</v>
          </cell>
          <cell r="I1026">
            <v>6896000</v>
          </cell>
          <cell r="K1026">
            <v>0</v>
          </cell>
          <cell r="M1026">
            <v>-172400</v>
          </cell>
          <cell r="N1026">
            <v>2500</v>
          </cell>
          <cell r="O1026">
            <v>34480</v>
          </cell>
          <cell r="P1026">
            <v>6760580</v>
          </cell>
          <cell r="Q1026">
            <v>46273</v>
          </cell>
        </row>
        <row r="1027">
          <cell r="B1027" t="str">
            <v>028/K/IX/26</v>
          </cell>
          <cell r="C1027">
            <v>46273</v>
          </cell>
          <cell r="D1027" t="str">
            <v>2606BH7NZ</v>
          </cell>
          <cell r="E1027" t="str">
            <v>SRI WAHYUNI</v>
          </cell>
          <cell r="F1027" t="str">
            <v>001/DOC-MAR/VIII/2026</v>
          </cell>
          <cell r="G1027" t="str">
            <v>060/OPS-VIII/2026</v>
          </cell>
          <cell r="H1027" t="str">
            <v>Biaya surat &amp; sertifikat TB Ocean Power 21/BG Angelin 219-08/BG Finacia 96</v>
          </cell>
          <cell r="I1027">
            <v>13000000</v>
          </cell>
          <cell r="K1027">
            <v>0</v>
          </cell>
          <cell r="M1027">
            <v>-325000</v>
          </cell>
          <cell r="P1027">
            <v>12675000</v>
          </cell>
          <cell r="Q1027">
            <v>46273</v>
          </cell>
        </row>
        <row r="1028">
          <cell r="B1028" t="str">
            <v>029/K/IX/26</v>
          </cell>
          <cell r="C1028">
            <v>46273</v>
          </cell>
          <cell r="D1028" t="str">
            <v>2606BEFM4</v>
          </cell>
          <cell r="E1028" t="str">
            <v>PT SINARMAS LDA USAHA PELABUHAN</v>
          </cell>
          <cell r="F1028" t="str">
            <v>CI26-05154</v>
          </cell>
          <cell r="G1028" t="str">
            <v>043/OPS-VIII/2026</v>
          </cell>
          <cell r="H1028" t="str">
            <v>Pilotage &amp; Towing TB Surya Segara 3/BG Finacia 96</v>
          </cell>
          <cell r="I1028">
            <v>21483693</v>
          </cell>
          <cell r="K1028">
            <v>23</v>
          </cell>
          <cell r="M1028">
            <v>-429673.86</v>
          </cell>
          <cell r="N1028">
            <v>2500</v>
          </cell>
          <cell r="P1028">
            <v>21056519.140000001</v>
          </cell>
          <cell r="Q1028">
            <v>46273</v>
          </cell>
        </row>
        <row r="1029">
          <cell r="B1029" t="str">
            <v>030/K/IX/26</v>
          </cell>
          <cell r="C1029">
            <v>46273</v>
          </cell>
          <cell r="D1029" t="str">
            <v>2606BEFM5</v>
          </cell>
          <cell r="E1029" t="str">
            <v>PT MARITIM BATUBARA PERTAMA</v>
          </cell>
          <cell r="F1029" t="str">
            <v>MBP/VIII-26/0273</v>
          </cell>
          <cell r="G1029" t="str">
            <v>042/OPS-VIII/2026</v>
          </cell>
          <cell r="H1029" t="str">
            <v>Mooring &amp; Unmooring TB Surya Segara 3 - BG Finacia 96</v>
          </cell>
          <cell r="I1029">
            <v>2000000</v>
          </cell>
          <cell r="K1029">
            <v>23</v>
          </cell>
          <cell r="M1029">
            <v>-40000</v>
          </cell>
          <cell r="N1029">
            <v>2500</v>
          </cell>
          <cell r="P1029">
            <v>1962500</v>
          </cell>
          <cell r="Q1029">
            <v>46273</v>
          </cell>
        </row>
        <row r="1030">
          <cell r="B1030" t="str">
            <v>031/K/IX/26</v>
          </cell>
          <cell r="C1030">
            <v>46275</v>
          </cell>
          <cell r="E1030" t="str">
            <v>PT LANCAR BAROKAH ENERGI (Mandiri)</v>
          </cell>
          <cell r="F1030" t="str">
            <v>0564/LBE-Inv/TB/8/2026</v>
          </cell>
          <cell r="G1030" t="str">
            <v>946/OPS-IX/2026</v>
          </cell>
          <cell r="H1030" t="str">
            <v>BBM Solar TB Ocean Power Voy. 182 D Port Sepapah</v>
          </cell>
          <cell r="I1030">
            <v>100900901</v>
          </cell>
          <cell r="J1030">
            <v>11099099</v>
          </cell>
          <cell r="K1030">
            <v>0</v>
          </cell>
          <cell r="M1030">
            <v>0</v>
          </cell>
          <cell r="P1030">
            <v>112000000</v>
          </cell>
          <cell r="Q1030">
            <v>46275</v>
          </cell>
        </row>
        <row r="1031">
          <cell r="B1031" t="str">
            <v>032/K/IX/26</v>
          </cell>
          <cell r="C1031">
            <v>46275</v>
          </cell>
          <cell r="E1031" t="str">
            <v>PT BENAYA AMB MANDIRI</v>
          </cell>
          <cell r="F1031" t="str">
            <v>45/BAM-MAR/INV/VIII/2026</v>
          </cell>
          <cell r="G1031" t="str">
            <v>040/OPS-VIII/2026</v>
          </cell>
          <cell r="H1031" t="str">
            <v>Biaya Solar HSD TB Abhiprama 107 - Pelunasan</v>
          </cell>
          <cell r="I1031">
            <v>700000000</v>
          </cell>
          <cell r="K1031">
            <v>0</v>
          </cell>
          <cell r="M1031">
            <v>0</v>
          </cell>
          <cell r="P1031">
            <v>700000000</v>
          </cell>
          <cell r="Q1031">
            <v>46275</v>
          </cell>
        </row>
        <row r="1032">
          <cell r="B1032" t="str">
            <v>033/K/IX/26</v>
          </cell>
          <cell r="C1032">
            <v>46275</v>
          </cell>
          <cell r="E1032" t="str">
            <v>ZULFADHLI JUSUF</v>
          </cell>
          <cell r="G1032" t="str">
            <v>437/PV-MAR/2026</v>
          </cell>
          <cell r="H1032" t="str">
            <v>Biaya operasional - penggantian dana talangan</v>
          </cell>
          <cell r="I1032">
            <v>500000000</v>
          </cell>
          <cell r="K1032">
            <v>0</v>
          </cell>
          <cell r="M1032">
            <v>0</v>
          </cell>
          <cell r="P1032">
            <v>500000000</v>
          </cell>
          <cell r="Q1032">
            <v>46275</v>
          </cell>
        </row>
        <row r="1033">
          <cell r="B1033" t="str">
            <v>034/K/IX/26</v>
          </cell>
          <cell r="C1033">
            <v>46275</v>
          </cell>
          <cell r="D1033" t="str">
            <v>2606BAE5N</v>
          </cell>
          <cell r="E1033" t="str">
            <v>PT MAHAKARYA LINTAS SAMUDRA (MANDIRI)</v>
          </cell>
          <cell r="F1033" t="str">
            <v>105/MKLS-INV/V/2026</v>
          </cell>
          <cell r="G1033" t="str">
            <v>383/PV-MAR/2026</v>
          </cell>
          <cell r="H1033" t="str">
            <v>Biaya Freight Charter TB Emma 39 / BG Mia (Jetty SBL - MV Aliosis)</v>
          </cell>
          <cell r="I1033">
            <v>365123250</v>
          </cell>
          <cell r="K1033">
            <v>15</v>
          </cell>
          <cell r="M1033">
            <v>-4381479</v>
          </cell>
          <cell r="P1033">
            <v>360741771</v>
          </cell>
          <cell r="Q1033">
            <v>46275</v>
          </cell>
        </row>
        <row r="1034">
          <cell r="B1034" t="str">
            <v>035/K/IX/26</v>
          </cell>
          <cell r="C1034">
            <v>46275</v>
          </cell>
          <cell r="D1034" t="str">
            <v>2606BAE5Q</v>
          </cell>
          <cell r="E1034" t="str">
            <v>PT MAHAKARYA LINTAS SAMUDRA (MANDIRI)</v>
          </cell>
          <cell r="F1034" t="str">
            <v>025/MKLS-INV/I/2026</v>
          </cell>
          <cell r="G1034" t="str">
            <v>382/PV-MAR/2026</v>
          </cell>
          <cell r="H1034" t="str">
            <v>Biaya Freight Charter TB Mahakarya II - BG MKLS 3001 (Jetty RMK - PLTU Paiton)</v>
          </cell>
          <cell r="I1034">
            <v>1365920000</v>
          </cell>
          <cell r="K1034">
            <v>15</v>
          </cell>
          <cell r="M1034">
            <v>-16391040</v>
          </cell>
          <cell r="P1034">
            <v>1349528960</v>
          </cell>
          <cell r="Q1034">
            <v>46275</v>
          </cell>
        </row>
        <row r="1035">
          <cell r="B1035" t="str">
            <v>036/K/IX/26</v>
          </cell>
          <cell r="C1035">
            <v>46275</v>
          </cell>
          <cell r="D1035" t="str">
            <v>2606BAE5O</v>
          </cell>
          <cell r="E1035" t="str">
            <v>PT MAHAKARYA LINTAS SAMUDRA (MANDIRI)</v>
          </cell>
          <cell r="F1035" t="str">
            <v>096/MKLS-INV/V/2026</v>
          </cell>
          <cell r="G1035" t="str">
            <v>384/PV-MAR/2026</v>
          </cell>
          <cell r="H1035" t="str">
            <v>Biaya Freight Charter TB Sutra Bhakti 1 / BG Sutra Bhakti 88 (Jetty Patratani - PLTU Paiton)</v>
          </cell>
          <cell r="I1035">
            <v>1309350000</v>
          </cell>
          <cell r="K1035">
            <v>15</v>
          </cell>
          <cell r="M1035">
            <v>-15712200</v>
          </cell>
          <cell r="P1035">
            <v>1293637800</v>
          </cell>
          <cell r="Q1035">
            <v>46275</v>
          </cell>
        </row>
        <row r="1036">
          <cell r="B1036" t="str">
            <v>037/K/IX/26</v>
          </cell>
          <cell r="C1036">
            <v>46275</v>
          </cell>
          <cell r="D1036" t="str">
            <v>2606BAE5P</v>
          </cell>
          <cell r="E1036" t="str">
            <v>PT TRANSCOAL PACIFIC TBK</v>
          </cell>
          <cell r="F1036" t="str">
            <v>0232/INV/TCP-MAR/26</v>
          </cell>
          <cell r="G1036" t="str">
            <v>436/PV-MAR/2026</v>
          </cell>
          <cell r="H1036" t="str">
            <v>Biaya Freight Charter TB Miduk 273 / BG Miduk 373 (Jetty Patratani - Paiton Unit 7-8) / Setoff invoice 116/MAR-TCP/V/2026</v>
          </cell>
          <cell r="I1036">
            <v>1252500000</v>
          </cell>
          <cell r="K1036">
            <v>15</v>
          </cell>
          <cell r="M1036">
            <v>-15030000</v>
          </cell>
          <cell r="O1036">
            <v>-207822619</v>
          </cell>
          <cell r="P1036">
            <v>1029647381</v>
          </cell>
          <cell r="Q1036">
            <v>46275</v>
          </cell>
        </row>
        <row r="1037">
          <cell r="B1037" t="str">
            <v>038/K/IX/26</v>
          </cell>
          <cell r="C1037">
            <v>46273</v>
          </cell>
          <cell r="E1037" t="str">
            <v>YONI FIRDAUS WIBOWO</v>
          </cell>
          <cell r="G1037" t="str">
            <v>434/PV-MAR/2026</v>
          </cell>
          <cell r="H1037" t="str">
            <v>Reimbursement Pak Yoni periode 01 s.d 07 September 2026</v>
          </cell>
          <cell r="I1037">
            <v>2026845</v>
          </cell>
          <cell r="K1037">
            <v>0</v>
          </cell>
          <cell r="M1037">
            <v>0</v>
          </cell>
          <cell r="P1037">
            <v>2026845</v>
          </cell>
          <cell r="Q1037">
            <v>46273</v>
          </cell>
        </row>
        <row r="1038">
          <cell r="B1038" t="str">
            <v>039/K/IX/26</v>
          </cell>
          <cell r="C1038">
            <v>46273</v>
          </cell>
          <cell r="E1038" t="str">
            <v>BINA SARANA INFORMATIKA</v>
          </cell>
          <cell r="F1038" t="str">
            <v>264.02/Y-BSI/VIII/2026</v>
          </cell>
          <cell r="G1038" t="str">
            <v>435/PV-MAR/2026</v>
          </cell>
          <cell r="H1038" t="str">
            <v>Parkir member Graha MIR periode 10/09 s.d 09/10 2026</v>
          </cell>
          <cell r="I1038">
            <v>3900000</v>
          </cell>
          <cell r="K1038">
            <v>0</v>
          </cell>
          <cell r="M1038">
            <v>0</v>
          </cell>
          <cell r="N1038">
            <v>2500</v>
          </cell>
          <cell r="P1038">
            <v>3902500</v>
          </cell>
          <cell r="Q1038">
            <v>46273</v>
          </cell>
        </row>
        <row r="1039">
          <cell r="B1039" t="str">
            <v>040/K/IX/26</v>
          </cell>
          <cell r="C1039">
            <v>46273</v>
          </cell>
          <cell r="E1039" t="str">
            <v>PT CAHAYA SAMODERA BERSAUDARA</v>
          </cell>
          <cell r="F1039" t="str">
            <v>CSB/INV/PLMCS/26/03452</v>
          </cell>
          <cell r="G1039" t="str">
            <v>075/OPS-VIII/2026</v>
          </cell>
          <cell r="H1039" t="str">
            <v>Sirius S4 TB Michelle 219-08</v>
          </cell>
          <cell r="I1039">
            <v>9684000</v>
          </cell>
          <cell r="J1039">
            <v>1065240</v>
          </cell>
          <cell r="K1039">
            <v>0</v>
          </cell>
          <cell r="M1039">
            <v>0</v>
          </cell>
          <cell r="N1039">
            <v>6500</v>
          </cell>
          <cell r="P1039">
            <v>10755740</v>
          </cell>
          <cell r="Q1039">
            <v>46273</v>
          </cell>
        </row>
        <row r="1040">
          <cell r="B1040" t="str">
            <v>041/K/IX/26</v>
          </cell>
          <cell r="C1040">
            <v>46273</v>
          </cell>
          <cell r="E1040" t="str">
            <v>PT SURYA BANJAR UTAMA</v>
          </cell>
          <cell r="F1040" t="str">
            <v>INV-SBU.068/VII.2026</v>
          </cell>
          <cell r="G1040" t="str">
            <v>013/OPS-VIII/2026</v>
          </cell>
          <cell r="H1040" t="str">
            <v xml:space="preserve">Red Sil RTV &amp; Sparepart lainnya TB OP 21/BG Angeline 219-05 Voy. 163 </v>
          </cell>
          <cell r="I1040">
            <v>9280000</v>
          </cell>
          <cell r="J1040">
            <v>1020800</v>
          </cell>
          <cell r="K1040">
            <v>0</v>
          </cell>
          <cell r="M1040">
            <v>0</v>
          </cell>
          <cell r="N1040">
            <v>2500</v>
          </cell>
          <cell r="P1040">
            <v>10303300</v>
          </cell>
          <cell r="Q1040">
            <v>46273</v>
          </cell>
        </row>
        <row r="1041">
          <cell r="B1041" t="str">
            <v>042/K/IX/26</v>
          </cell>
          <cell r="C1041">
            <v>46273</v>
          </cell>
          <cell r="D1041" t="str">
            <v>2605RZMVH</v>
          </cell>
          <cell r="E1041" t="str">
            <v>PT ELEANOR PRADANA SHIPPING</v>
          </cell>
          <cell r="F1041" t="str">
            <v>0034/INV-ELPRAS/VIII/2026</v>
          </cell>
          <cell r="G1041" t="str">
            <v>063/OPS-VIII/2026</v>
          </cell>
          <cell r="H1041" t="str">
            <v>Biaya keagenan lumpsum TB Michelle XV/BG Benami XV</v>
          </cell>
          <cell r="I1041">
            <v>10965257</v>
          </cell>
          <cell r="J1041">
            <v>220000</v>
          </cell>
          <cell r="K1041">
            <v>0</v>
          </cell>
          <cell r="M1041">
            <v>-40000</v>
          </cell>
          <cell r="N1041">
            <v>2500</v>
          </cell>
          <cell r="P1041">
            <v>11147757</v>
          </cell>
          <cell r="Q1041">
            <v>46273</v>
          </cell>
        </row>
        <row r="1042">
          <cell r="B1042" t="str">
            <v>043/K/IX/26</v>
          </cell>
          <cell r="C1042">
            <v>46273</v>
          </cell>
          <cell r="E1042" t="str">
            <v>PT WAHANA SAMUDERA AGENCY</v>
          </cell>
          <cell r="F1042" t="str">
            <v>036/VIII/WSA-TR/2026</v>
          </cell>
          <cell r="G1042" t="str">
            <v>062/OPS-VIII/2026</v>
          </cell>
          <cell r="H1042" t="str">
            <v>Biaya Keagenan TB Entebe Star 30 - BG Finacia 71</v>
          </cell>
          <cell r="I1042">
            <v>22880000</v>
          </cell>
          <cell r="K1042">
            <v>0</v>
          </cell>
          <cell r="M1042">
            <v>0</v>
          </cell>
          <cell r="N1042">
            <v>2500</v>
          </cell>
          <cell r="P1042">
            <v>22882500</v>
          </cell>
          <cell r="Q1042">
            <v>46273</v>
          </cell>
        </row>
        <row r="1043">
          <cell r="B1043" t="str">
            <v>044/K/IX/26</v>
          </cell>
          <cell r="C1043">
            <v>46273</v>
          </cell>
          <cell r="D1043" t="str">
            <v>2605F3UJS</v>
          </cell>
          <cell r="E1043" t="str">
            <v>PT DUTA BAHTERA SEMESTA</v>
          </cell>
          <cell r="F1043" t="str">
            <v>0804/VIII/FDA/DBS-MRK/FP/2026</v>
          </cell>
          <cell r="G1043" t="str">
            <v>057/OPS-VIII/2026</v>
          </cell>
          <cell r="H1043" t="str">
            <v>Biaya keagenan TB Abhiprama 107 / BG Alara 107</v>
          </cell>
          <cell r="I1043">
            <v>27427025</v>
          </cell>
          <cell r="J1043">
            <v>330000</v>
          </cell>
          <cell r="K1043">
            <v>0</v>
          </cell>
          <cell r="M1043">
            <v>-60000</v>
          </cell>
          <cell r="P1043">
            <v>27697025</v>
          </cell>
          <cell r="Q1043">
            <v>46273</v>
          </cell>
        </row>
        <row r="1044">
          <cell r="B1044" t="str">
            <v>045/K/IX/26</v>
          </cell>
          <cell r="C1044">
            <v>46273</v>
          </cell>
          <cell r="D1044" t="str">
            <v>2605RZNOU</v>
          </cell>
          <cell r="E1044" t="str">
            <v>PT BONSANG SAMUDERA SEJAHTERA</v>
          </cell>
          <cell r="F1044" t="str">
            <v>BSS-INV/161/BTG/VII/2026</v>
          </cell>
          <cell r="G1044" t="str">
            <v>058/OPS-VIII/2026</v>
          </cell>
          <cell r="H1044" t="str">
            <v>Biaya keagenan dan operasional TB APL 7/BG Baiduri 70273 (Tanjung Laut - Suralaya)</v>
          </cell>
          <cell r="I1044">
            <v>21554091</v>
          </cell>
          <cell r="J1044">
            <v>825000</v>
          </cell>
          <cell r="K1044">
            <v>0</v>
          </cell>
          <cell r="M1044">
            <v>-150000</v>
          </cell>
          <cell r="O1044">
            <v>-150000</v>
          </cell>
          <cell r="P1044">
            <v>22079091</v>
          </cell>
          <cell r="Q1044">
            <v>46273</v>
          </cell>
        </row>
        <row r="1045">
          <cell r="B1045" t="str">
            <v>046/K/IX/26</v>
          </cell>
          <cell r="C1045">
            <v>46279</v>
          </cell>
          <cell r="D1045" t="str">
            <v>26061TGEU</v>
          </cell>
          <cell r="E1045" t="str">
            <v>PT ELISHA MILAN TANKERS</v>
          </cell>
          <cell r="F1045" t="str">
            <v>096/INV/EMT-MAR/IX/2026</v>
          </cell>
          <cell r="G1045" t="str">
            <v>440/PV-MAR/2026</v>
          </cell>
          <cell r="H1045" t="str">
            <v>Biaya Time Charter TB Abhiprama 107 / BG Alara 107 periode 13 Sept - 13 Okt 2026</v>
          </cell>
          <cell r="I1045">
            <v>700000000</v>
          </cell>
          <cell r="K1045">
            <v>15</v>
          </cell>
          <cell r="M1045">
            <v>-8400000</v>
          </cell>
          <cell r="N1045">
            <v>15000</v>
          </cell>
          <cell r="P1045">
            <v>691615000</v>
          </cell>
          <cell r="Q1045">
            <v>46279</v>
          </cell>
        </row>
        <row r="1046">
          <cell r="B1046" t="str">
            <v>047/K/IX/26</v>
          </cell>
          <cell r="C1046">
            <v>46279</v>
          </cell>
          <cell r="E1046" t="str">
            <v>DIRJEN PAJAK</v>
          </cell>
          <cell r="G1046" t="str">
            <v>441/PV-MAR/2026</v>
          </cell>
          <cell r="H1046" t="str">
            <v>Pembayaran PPH psl 15, 23, 21 &amp; 4 (2) periode Agustus 2026</v>
          </cell>
          <cell r="I1046">
            <v>219420596</v>
          </cell>
          <cell r="K1046">
            <v>0</v>
          </cell>
          <cell r="M1046">
            <v>0</v>
          </cell>
          <cell r="P1046">
            <v>219420596</v>
          </cell>
          <cell r="Q1046">
            <v>46279</v>
          </cell>
        </row>
        <row r="1047">
          <cell r="B1047" t="str">
            <v>048/K/IX/26</v>
          </cell>
          <cell r="C1047">
            <v>46279</v>
          </cell>
          <cell r="D1047" t="str">
            <v>2606I6DD5</v>
          </cell>
          <cell r="E1047" t="str">
            <v>PT ANDALAN LANCAR NIAGA</v>
          </cell>
          <cell r="F1047" t="str">
            <v>00142/ALN-INV/VII/2026</v>
          </cell>
          <cell r="G1047" t="str">
            <v>442/PV-MAR/2026</v>
          </cell>
          <cell r="H1047" t="str">
            <v>Biaya Freight Charter TB Michelle VII / BG Benami VII (Jetty SDJ - PLTU IPP Jawa 9-10)</v>
          </cell>
          <cell r="I1047">
            <v>867588392</v>
          </cell>
          <cell r="K1047">
            <v>15</v>
          </cell>
          <cell r="M1047">
            <v>-10411060.704</v>
          </cell>
          <cell r="N1047">
            <v>15000</v>
          </cell>
          <cell r="P1047">
            <v>857192331.296</v>
          </cell>
          <cell r="Q1047">
            <v>46279</v>
          </cell>
        </row>
        <row r="1048">
          <cell r="B1048" t="str">
            <v>049/K/IX/26</v>
          </cell>
          <cell r="C1048">
            <v>46279</v>
          </cell>
          <cell r="E1048" t="str">
            <v>DENNY SAMUDRA</v>
          </cell>
          <cell r="G1048" t="str">
            <v>960/OPS-IX/2026</v>
          </cell>
          <cell r="H1048" t="str">
            <v>Cleaning buka tutp terpal TB Entebe Star 30 periode April - Agustus</v>
          </cell>
          <cell r="I1048">
            <v>16500000</v>
          </cell>
          <cell r="K1048">
            <v>0</v>
          </cell>
          <cell r="M1048">
            <v>0</v>
          </cell>
          <cell r="P1048">
            <v>16500000</v>
          </cell>
          <cell r="Q1048">
            <v>46279</v>
          </cell>
        </row>
        <row r="1049">
          <cell r="B1049" t="str">
            <v>050/K/IX/26</v>
          </cell>
          <cell r="C1049">
            <v>46279</v>
          </cell>
          <cell r="E1049" t="str">
            <v>BUDI KAHANA</v>
          </cell>
          <cell r="G1049" t="str">
            <v>961/OPS-IX/2026</v>
          </cell>
          <cell r="H1049" t="str">
            <v>Cleaning &amp; buka terpal TB Ocean Power 21 periode Juli - Agustus 2026</v>
          </cell>
          <cell r="I1049">
            <v>4000000</v>
          </cell>
          <cell r="K1049">
            <v>0</v>
          </cell>
          <cell r="M1049">
            <v>0</v>
          </cell>
          <cell r="P1049">
            <v>4000000</v>
          </cell>
          <cell r="Q1049">
            <v>46279</v>
          </cell>
        </row>
        <row r="1050">
          <cell r="B1050" t="str">
            <v>051/K/IX/26</v>
          </cell>
          <cell r="C1050">
            <v>46276</v>
          </cell>
          <cell r="D1050" t="str">
            <v>260559R3H</v>
          </cell>
          <cell r="E1050" t="str">
            <v>PT MARITIM INDO RAYA</v>
          </cell>
          <cell r="F1050" t="str">
            <v>086/INV/MIR-MAR/VII/2026</v>
          </cell>
          <cell r="G1050" t="str">
            <v>003/OPS-IX/2026</v>
          </cell>
          <cell r="H1050" t="str">
            <v xml:space="preserve">Biaya Keagenan TB Michelle 219-08 / BG Angeline 219-08 (Jetty SDJ - PLTU Jawa 9-10) </v>
          </cell>
          <cell r="I1050">
            <v>4000000</v>
          </cell>
          <cell r="J1050">
            <v>440000</v>
          </cell>
          <cell r="K1050">
            <v>0</v>
          </cell>
          <cell r="M1050">
            <v>-20000</v>
          </cell>
          <cell r="P1050">
            <v>4420000</v>
          </cell>
          <cell r="Q1050">
            <v>46276</v>
          </cell>
        </row>
        <row r="1051">
          <cell r="B1051" t="str">
            <v>051/K/IX/26</v>
          </cell>
          <cell r="C1051">
            <v>46276</v>
          </cell>
          <cell r="E1051" t="str">
            <v>PT MARITIM INDO RAYA</v>
          </cell>
          <cell r="F1051" t="str">
            <v>086/DN/MIR-MAR/VII/2026</v>
          </cell>
          <cell r="G1051" t="str">
            <v>054/OPS-VIII/2026</v>
          </cell>
          <cell r="H1051" t="str">
            <v xml:space="preserve">Biaya Keagenan TB Michelle 219-08 / BG Angeline 219-08 (Jetty SDJ - PLTU Jawa 9-10) </v>
          </cell>
          <cell r="I1051">
            <v>108583564</v>
          </cell>
          <cell r="K1051">
            <v>0</v>
          </cell>
          <cell r="M1051">
            <v>0</v>
          </cell>
          <cell r="P1051">
            <v>108583564</v>
          </cell>
          <cell r="Q1051">
            <v>46276</v>
          </cell>
        </row>
        <row r="1052">
          <cell r="B1052" t="str">
            <v>052/K/IX/26</v>
          </cell>
          <cell r="C1052">
            <v>46276</v>
          </cell>
          <cell r="D1052" t="str">
            <v>26053KPZ5</v>
          </cell>
          <cell r="E1052" t="str">
            <v>PT MARITIM INDO RAYA</v>
          </cell>
          <cell r="F1052" t="str">
            <v>084/INV/MIR-MAR/VII/2026</v>
          </cell>
          <cell r="G1052" t="str">
            <v>009/OPS-VIII/2026</v>
          </cell>
          <cell r="H1052" t="str">
            <v xml:space="preserve">Biaya Keagenan TB Surya Segara 3 / BG Finacia 96 (Jetty RMK - PLTU Paiton) </v>
          </cell>
          <cell r="I1052">
            <v>4000000</v>
          </cell>
          <cell r="J1052">
            <v>440000</v>
          </cell>
          <cell r="K1052">
            <v>0</v>
          </cell>
          <cell r="M1052">
            <v>-20000</v>
          </cell>
          <cell r="P1052">
            <v>4420000</v>
          </cell>
          <cell r="Q1052">
            <v>46276</v>
          </cell>
        </row>
        <row r="1053">
          <cell r="B1053" t="str">
            <v>052/K/IX/26</v>
          </cell>
          <cell r="C1053">
            <v>46276</v>
          </cell>
          <cell r="E1053" t="str">
            <v>PT MARITIM INDO RAYA</v>
          </cell>
          <cell r="F1053" t="str">
            <v>084/DN/MIR-MAR/VII/2026</v>
          </cell>
          <cell r="G1053" t="str">
            <v>050/OPS-VIII/2026</v>
          </cell>
          <cell r="H1053" t="str">
            <v xml:space="preserve">Biaya Keagenan TB Surya Segara 3 / BG Finacia 96 (Jetty RMK - PLTU Paiton) </v>
          </cell>
          <cell r="I1053">
            <v>93578303</v>
          </cell>
          <cell r="K1053">
            <v>0</v>
          </cell>
          <cell r="M1053">
            <v>0</v>
          </cell>
          <cell r="P1053">
            <v>93578303</v>
          </cell>
          <cell r="Q1053">
            <v>46276</v>
          </cell>
        </row>
        <row r="1054">
          <cell r="B1054" t="str">
            <v>053/K/IX/26</v>
          </cell>
          <cell r="C1054">
            <v>46276</v>
          </cell>
          <cell r="D1054" t="str">
            <v>26053KPZ6</v>
          </cell>
          <cell r="E1054" t="str">
            <v>PT MARITIM INDO RAYA</v>
          </cell>
          <cell r="F1054" t="str">
            <v>085/INV/MIR-MAR/VII/2026</v>
          </cell>
          <cell r="G1054" t="str">
            <v>051/OPS-VIII/2026</v>
          </cell>
          <cell r="H1054" t="str">
            <v xml:space="preserve">Biaya Keagenan TB Surya Segara 3 / BG Finacia 96 (Jetty SDJ - MV Mandarin River - PLTU Paiton) </v>
          </cell>
          <cell r="I1054">
            <v>4000000</v>
          </cell>
          <cell r="J1054">
            <v>440000</v>
          </cell>
          <cell r="K1054">
            <v>0</v>
          </cell>
          <cell r="M1054">
            <v>-20000</v>
          </cell>
          <cell r="P1054">
            <v>4420000</v>
          </cell>
          <cell r="Q1054">
            <v>46276</v>
          </cell>
        </row>
        <row r="1055">
          <cell r="B1055" t="str">
            <v>053/K/IX/26</v>
          </cell>
          <cell r="C1055">
            <v>46276</v>
          </cell>
          <cell r="E1055" t="str">
            <v>PT MARITIM INDO RAYA</v>
          </cell>
          <cell r="F1055" t="str">
            <v>085/DN/MIR-MAR/VII/2026</v>
          </cell>
          <cell r="G1055" t="str">
            <v>049/OPS-VIII/2026</v>
          </cell>
          <cell r="H1055" t="str">
            <v xml:space="preserve">Biaya Keagenan TB Surya Segara 3 / BG Finacia 96 (Jetty SDJ - MV Mandarin River - PLTU Paiton) </v>
          </cell>
          <cell r="I1055">
            <v>127952009</v>
          </cell>
          <cell r="K1055">
            <v>0</v>
          </cell>
          <cell r="M1055">
            <v>0</v>
          </cell>
          <cell r="P1055">
            <v>127952009</v>
          </cell>
          <cell r="Q1055">
            <v>46276</v>
          </cell>
        </row>
        <row r="1056">
          <cell r="B1056" t="str">
            <v>054/K/IX/26</v>
          </cell>
          <cell r="C1056">
            <v>46276</v>
          </cell>
          <cell r="D1056" t="str">
            <v>2605SLRNT</v>
          </cell>
          <cell r="E1056" t="str">
            <v>PT MARITIM INDO RAYA</v>
          </cell>
          <cell r="F1056" t="str">
            <v>088/INV/MIR-MAR/VII/2026</v>
          </cell>
          <cell r="G1056" t="str">
            <v>055/OPS-VIII/2026</v>
          </cell>
          <cell r="H1056" t="str">
            <v>Biaya agency fee TB Surya Segara 3/BG Finacia 96 (Jetty RMK - PLTU Paiton)</v>
          </cell>
          <cell r="I1056">
            <v>4000000</v>
          </cell>
          <cell r="J1056">
            <v>440000</v>
          </cell>
          <cell r="K1056">
            <v>0</v>
          </cell>
          <cell r="M1056">
            <v>-20000</v>
          </cell>
          <cell r="P1056">
            <v>4420000</v>
          </cell>
          <cell r="Q1056">
            <v>46276</v>
          </cell>
        </row>
        <row r="1057">
          <cell r="B1057" t="str">
            <v>054/K/IX/26</v>
          </cell>
          <cell r="C1057">
            <v>46276</v>
          </cell>
          <cell r="E1057" t="str">
            <v>PT MARITIM INDO RAYA</v>
          </cell>
          <cell r="F1057" t="str">
            <v>088/DN/MIR-MAR/VII/2026</v>
          </cell>
          <cell r="G1057" t="str">
            <v>012/OPS-IX/2026</v>
          </cell>
          <cell r="H1057" t="str">
            <v>Biaya operasional keagenan TB Surya Segara 3/BG Finacia 96 (Jetty RMK - PLTU Paiton)</v>
          </cell>
          <cell r="I1057">
            <v>101534633</v>
          </cell>
          <cell r="K1057">
            <v>0</v>
          </cell>
          <cell r="M1057">
            <v>0</v>
          </cell>
          <cell r="P1057">
            <v>101534633</v>
          </cell>
          <cell r="Q1057">
            <v>46276</v>
          </cell>
        </row>
        <row r="1058">
          <cell r="B1058" t="str">
            <v>055/K/IX/26</v>
          </cell>
          <cell r="C1058">
            <v>46276</v>
          </cell>
          <cell r="E1058" t="str">
            <v>PT MULTI ARTHA SEGORO</v>
          </cell>
          <cell r="F1058" t="str">
            <v>059/MAS-MAR/HSD/VIII/2026</v>
          </cell>
          <cell r="G1058" t="str">
            <v>955/OPS-IX/2026</v>
          </cell>
          <cell r="H1058" t="str">
            <v>B40 TB Entebe Star 30/Samarinda</v>
          </cell>
          <cell r="I1058">
            <v>655855856</v>
          </cell>
          <cell r="J1058">
            <v>72144144</v>
          </cell>
          <cell r="K1058">
            <v>0</v>
          </cell>
          <cell r="M1058">
            <v>0</v>
          </cell>
          <cell r="P1058">
            <v>728000000</v>
          </cell>
          <cell r="Q1058">
            <v>46276</v>
          </cell>
        </row>
        <row r="1059">
          <cell r="B1059" t="str">
            <v>056/K/IX/26</v>
          </cell>
          <cell r="C1059">
            <v>46273</v>
          </cell>
          <cell r="E1059" t="str">
            <v>PT DIVEN MAJU SENTOSA</v>
          </cell>
          <cell r="F1059" t="str">
            <v>01560_DMS/MAR/VIII/2026</v>
          </cell>
          <cell r="G1059" t="str">
            <v>036/OPS-VIII/2026</v>
          </cell>
          <cell r="H1059" t="str">
            <v>DP biaya keagenan kapal TB Entebe Star 30/BG Finacia 71</v>
          </cell>
          <cell r="I1059">
            <v>12000000</v>
          </cell>
          <cell r="J1059">
            <v>1320000</v>
          </cell>
          <cell r="K1059">
            <v>0</v>
          </cell>
          <cell r="M1059">
            <v>0</v>
          </cell>
          <cell r="P1059">
            <v>13320000</v>
          </cell>
          <cell r="Q1059">
            <v>46273</v>
          </cell>
        </row>
        <row r="1060">
          <cell r="B1060" t="str">
            <v>057/K/IX/26</v>
          </cell>
          <cell r="C1060">
            <v>46276</v>
          </cell>
          <cell r="D1060" t="str">
            <v>26060VYZ8</v>
          </cell>
          <cell r="E1060" t="str">
            <v>PT ALPHA PACIFIC LINE</v>
          </cell>
          <cell r="F1060" t="str">
            <v>001/APL-F/IX/2026</v>
          </cell>
          <cell r="G1060" t="str">
            <v>439/PV-MAR/2026</v>
          </cell>
          <cell r="H1060" t="str">
            <v>Biaya Time Charter TB APL 7/BG Baiduri 70273 periode 09 September - 08 Oktober 2026</v>
          </cell>
          <cell r="I1060">
            <v>775000000</v>
          </cell>
          <cell r="K1060">
            <v>15</v>
          </cell>
          <cell r="M1060">
            <v>-9300000</v>
          </cell>
          <cell r="P1060">
            <v>765700000</v>
          </cell>
          <cell r="Q1060">
            <v>46276</v>
          </cell>
        </row>
        <row r="1061">
          <cell r="B1061" t="str">
            <v>058/K/IX/26</v>
          </cell>
          <cell r="C1061">
            <v>46276</v>
          </cell>
          <cell r="D1061" t="str">
            <v>26061TGEX</v>
          </cell>
          <cell r="E1061" t="str">
            <v>PT HARAPAN MITRA BERSAMA</v>
          </cell>
          <cell r="F1061" t="str">
            <v>072-INV/HAMA-MAR/VIII/2026</v>
          </cell>
          <cell r="G1061" t="str">
            <v>438/PV-MAR/2026</v>
          </cell>
          <cell r="H1061" t="str">
            <v>Biaya Freight Charter TB HAMA 005/BG HAMA 8005 (Jetty RMK - PLTU Paiton)</v>
          </cell>
          <cell r="I1061">
            <v>1227227000</v>
          </cell>
          <cell r="K1061">
            <v>15</v>
          </cell>
          <cell r="M1061">
            <v>-14726724</v>
          </cell>
          <cell r="N1061">
            <v>15000</v>
          </cell>
          <cell r="P1061">
            <v>1212515276</v>
          </cell>
          <cell r="Q1061">
            <v>46276</v>
          </cell>
        </row>
        <row r="1062">
          <cell r="B1062" t="str">
            <v>059/K/IX/26</v>
          </cell>
          <cell r="C1062">
            <v>46273</v>
          </cell>
          <cell r="D1062" t="str">
            <v>26054VVWT</v>
          </cell>
          <cell r="E1062" t="str">
            <v>PT BAHARI TIRTA JAYA</v>
          </cell>
          <cell r="F1062" t="str">
            <v>001/BTJ-SMD/FDA-MAR/VII/2026</v>
          </cell>
          <cell r="G1062" t="str">
            <v>053/OPS-VIII/2026</v>
          </cell>
          <cell r="H1062" t="str">
            <v>Biaya keagenan TB Entebe Star 30/BG Finacia 71 (Jetty ASI - Labuan UKI)</v>
          </cell>
          <cell r="I1062">
            <v>30198902</v>
          </cell>
          <cell r="J1062">
            <v>220000</v>
          </cell>
          <cell r="K1062">
            <v>0</v>
          </cell>
          <cell r="M1062">
            <v>-40000</v>
          </cell>
          <cell r="P1062">
            <v>30378902</v>
          </cell>
          <cell r="Q1062">
            <v>46273</v>
          </cell>
        </row>
        <row r="1063">
          <cell r="B1063" t="str">
            <v>060/K/IX/26</v>
          </cell>
          <cell r="C1063">
            <v>46273</v>
          </cell>
          <cell r="D1063" t="str">
            <v>2605W3YGG</v>
          </cell>
          <cell r="E1063" t="str">
            <v>PT CAHAYA MALUKU LESTARI</v>
          </cell>
          <cell r="F1063" t="str">
            <v>01/CML-LU/INV/VII/2026</v>
          </cell>
          <cell r="G1063" t="str">
            <v>001/OPS-IX/2026</v>
          </cell>
          <cell r="H1063" t="str">
            <v>Biaya keagenan TB Ocean Power 21/BG Angeline 219-05 (Jetty PT Conch - Lolak)</v>
          </cell>
          <cell r="I1063">
            <v>24225000</v>
          </cell>
          <cell r="J1063">
            <v>2664750</v>
          </cell>
          <cell r="K1063">
            <v>23</v>
          </cell>
          <cell r="M1063">
            <v>-484500</v>
          </cell>
          <cell r="N1063">
            <v>2500</v>
          </cell>
          <cell r="P1063">
            <v>26407750</v>
          </cell>
          <cell r="Q1063">
            <v>46273</v>
          </cell>
        </row>
        <row r="1064">
          <cell r="B1064" t="str">
            <v>060/K/IX/26</v>
          </cell>
          <cell r="C1064">
            <v>46273</v>
          </cell>
          <cell r="E1064" t="str">
            <v>PT CAHAYA MALUKU LESTARI</v>
          </cell>
          <cell r="F1064" t="str">
            <v>01/CML-LU/REIM/VII-2026</v>
          </cell>
          <cell r="G1064" t="str">
            <v>004/OPS-IX/2026</v>
          </cell>
          <cell r="H1064" t="str">
            <v>Reimbursement biaya operasional TB Ocean Power 21/BG Angeline 219-05 (Jetty Conch - Lolak)</v>
          </cell>
          <cell r="I1064">
            <v>15000000</v>
          </cell>
          <cell r="K1064">
            <v>0</v>
          </cell>
          <cell r="M1064">
            <v>0</v>
          </cell>
          <cell r="P1064">
            <v>15000000</v>
          </cell>
          <cell r="Q1064">
            <v>46273</v>
          </cell>
        </row>
        <row r="1065">
          <cell r="B1065" t="str">
            <v>060/K/IX/26</v>
          </cell>
          <cell r="C1065">
            <v>46273</v>
          </cell>
          <cell r="D1065" t="str">
            <v>2605W3YGF</v>
          </cell>
          <cell r="E1065" t="str">
            <v>PT CAHAYA MALUKU LESTARI</v>
          </cell>
          <cell r="F1065" t="str">
            <v>05/CML-LU/INV/VIII-2026</v>
          </cell>
          <cell r="G1065" t="str">
            <v>002/OPS-IX/2026</v>
          </cell>
          <cell r="H1065" t="str">
            <v>Biaya keagenan TB Entebe Star 30/BG Finacia 71 (Jetty Conch - Lolak)</v>
          </cell>
          <cell r="I1065">
            <v>24225000</v>
          </cell>
          <cell r="J1065">
            <v>2664750</v>
          </cell>
          <cell r="K1065">
            <v>23</v>
          </cell>
          <cell r="M1065">
            <v>-484500</v>
          </cell>
          <cell r="P1065">
            <v>26405250</v>
          </cell>
          <cell r="Q1065">
            <v>46273</v>
          </cell>
        </row>
        <row r="1066">
          <cell r="B1066" t="str">
            <v>060/K/IX/26</v>
          </cell>
          <cell r="C1066">
            <v>46273</v>
          </cell>
          <cell r="E1066" t="str">
            <v>PT CAHAYA MALUKU LESTARI</v>
          </cell>
          <cell r="F1066" t="str">
            <v>05/CML-LU/REIMB/VIII-2026</v>
          </cell>
          <cell r="G1066" t="str">
            <v>005/OPS-IX/2026</v>
          </cell>
          <cell r="H1066" t="str">
            <v>Reimbursement biaya operasional TB Entebe Star 30/BG Finacia 71 (Jetty conch - Lolak)</v>
          </cell>
          <cell r="I1066">
            <v>14200000</v>
          </cell>
          <cell r="K1066">
            <v>0</v>
          </cell>
          <cell r="M1066">
            <v>0</v>
          </cell>
          <cell r="P1066">
            <v>14200000</v>
          </cell>
          <cell r="Q1066">
            <v>46273</v>
          </cell>
        </row>
        <row r="1067">
          <cell r="B1067" t="str">
            <v>061/K/IX/26</v>
          </cell>
          <cell r="C1067">
            <v>46273</v>
          </cell>
          <cell r="D1067" t="str">
            <v>2605RZM9W</v>
          </cell>
          <cell r="E1067" t="str">
            <v>PT TIRTA SAMUDERA AGENCY</v>
          </cell>
          <cell r="F1067" t="str">
            <v>142/TSA-MAR/VIII/2026</v>
          </cell>
          <cell r="G1067" t="str">
            <v>072/OPS-VIII/2026</v>
          </cell>
          <cell r="H1067" t="str">
            <v>Agency fee TB Michelle 219-08/BG Angeline 219-08 (Jetty PLTU Jawa 9-10 - Boom Baru Palembang)</v>
          </cell>
          <cell r="I1067">
            <v>2000000</v>
          </cell>
          <cell r="J1067">
            <v>220000</v>
          </cell>
          <cell r="K1067">
            <v>0</v>
          </cell>
          <cell r="M1067">
            <v>-40000</v>
          </cell>
          <cell r="N1067">
            <v>2500</v>
          </cell>
          <cell r="P1067">
            <v>2182500</v>
          </cell>
          <cell r="Q1067">
            <v>46273</v>
          </cell>
        </row>
        <row r="1068">
          <cell r="B1068" t="str">
            <v>062/K/IX/26</v>
          </cell>
          <cell r="C1068">
            <v>46273</v>
          </cell>
          <cell r="D1068" t="str">
            <v>2605RZM9X</v>
          </cell>
          <cell r="E1068" t="str">
            <v>PT TIRTA SAMUDERA AGENCY</v>
          </cell>
          <cell r="F1068" t="str">
            <v>132/TSA-MAR/VIII/2026</v>
          </cell>
          <cell r="G1068" t="str">
            <v>073/OPS-VIII/2026</v>
          </cell>
          <cell r="H1068" t="str">
            <v>Agency fee TB Michelle XV/BG Benami XV (PLTU Suralaya Unit 8)</v>
          </cell>
          <cell r="I1068">
            <v>2000000</v>
          </cell>
          <cell r="J1068">
            <v>220000</v>
          </cell>
          <cell r="K1068">
            <v>0</v>
          </cell>
          <cell r="M1068">
            <v>-40000</v>
          </cell>
          <cell r="N1068">
            <v>2500</v>
          </cell>
          <cell r="P1068">
            <v>2182500</v>
          </cell>
          <cell r="Q1068">
            <v>46273</v>
          </cell>
        </row>
        <row r="1069">
          <cell r="B1069" t="str">
            <v>062/K/IX/26</v>
          </cell>
          <cell r="C1069">
            <v>46273</v>
          </cell>
          <cell r="E1069" t="str">
            <v>PT TIRTA SAMUDERA AGENCY</v>
          </cell>
          <cell r="F1069" t="str">
            <v>133/TSA-MAR/VIII/2026</v>
          </cell>
          <cell r="G1069" t="str">
            <v>074/OPS-VIII/2026</v>
          </cell>
          <cell r="H1069" t="str">
            <v>Biaya keagenan TB Michelle XV/BG Benami XV bongkar batubara du PLTU Suralaya unit 8</v>
          </cell>
          <cell r="I1069">
            <v>37625304</v>
          </cell>
          <cell r="K1069">
            <v>0</v>
          </cell>
          <cell r="M1069">
            <v>0</v>
          </cell>
          <cell r="P1069">
            <v>37625304</v>
          </cell>
          <cell r="Q1069">
            <v>46273</v>
          </cell>
        </row>
        <row r="1070">
          <cell r="B1070" t="str">
            <v>063/K/IX/26</v>
          </cell>
          <cell r="C1070">
            <v>46283</v>
          </cell>
          <cell r="E1070" t="str">
            <v>PT HOKARI LINEX PRATAMA</v>
          </cell>
          <cell r="F1070" t="str">
            <v>002/INV/HLP-KTB/IX/2026</v>
          </cell>
          <cell r="G1070" t="str">
            <v>971/OPS-IX/2026</v>
          </cell>
          <cell r="H1070" t="str">
            <v>Biosolar TB Ocean Power 21 Voy. 187 L Port Sepapah</v>
          </cell>
          <cell r="I1070">
            <v>1076576500</v>
          </cell>
          <cell r="J1070">
            <v>118423415</v>
          </cell>
          <cell r="K1070">
            <v>0</v>
          </cell>
          <cell r="M1070">
            <v>0</v>
          </cell>
          <cell r="O1070">
            <v>85</v>
          </cell>
          <cell r="P1070">
            <v>1195000000</v>
          </cell>
          <cell r="Q1070">
            <v>46283</v>
          </cell>
        </row>
        <row r="1071">
          <cell r="B1071" t="str">
            <v>064/K/IX/26</v>
          </cell>
          <cell r="C1071">
            <v>46283</v>
          </cell>
          <cell r="E1071" t="str">
            <v>CV TRANS LOGISTIK NUSANTARA</v>
          </cell>
          <cell r="F1071" t="str">
            <v>045/TLN-ND/IX/2026</v>
          </cell>
          <cell r="G1071" t="str">
            <v>957/OPS-IX/2026</v>
          </cell>
          <cell r="H1071" t="str">
            <v>Pemberat tutup terpal &amp; tali lasing TB Ocean Power 21 Voy. 187 L Port sepapah</v>
          </cell>
          <cell r="I1071">
            <v>1800000</v>
          </cell>
          <cell r="K1071">
            <v>0</v>
          </cell>
          <cell r="M1071">
            <v>0</v>
          </cell>
          <cell r="P1071">
            <v>1800000</v>
          </cell>
          <cell r="Q1071">
            <v>46283</v>
          </cell>
        </row>
        <row r="1072">
          <cell r="B1072" t="str">
            <v>065/K/IX/26</v>
          </cell>
          <cell r="C1072">
            <v>46281</v>
          </cell>
          <cell r="E1072" t="str">
            <v>PT AZAZ SHIPS SERVICES</v>
          </cell>
          <cell r="F1072" t="str">
            <v>001/ASS-MAR/DN/VI/2026</v>
          </cell>
          <cell r="G1072" t="str">
            <v>949/OPS-IX/2026</v>
          </cell>
          <cell r="H1072" t="str">
            <v>PNBP Labuh TB Ocean Power 21 / BG Angeline 219-05 (Tuks PT. SDE - Labuan UKI)</v>
          </cell>
          <cell r="I1072">
            <v>22084069</v>
          </cell>
          <cell r="K1072">
            <v>0</v>
          </cell>
          <cell r="M1072">
            <v>0</v>
          </cell>
          <cell r="O1072">
            <v>350000</v>
          </cell>
          <cell r="P1072">
            <v>22434069</v>
          </cell>
          <cell r="Q1072">
            <v>46281</v>
          </cell>
        </row>
        <row r="1073">
          <cell r="B1073" t="str">
            <v>066/K/IX/26</v>
          </cell>
          <cell r="C1073">
            <v>46281</v>
          </cell>
          <cell r="D1073" t="str">
            <v>2605RZNOE</v>
          </cell>
          <cell r="E1073" t="str">
            <v>PT BONSANG SAMUDERA SEJAHTERA</v>
          </cell>
          <cell r="F1073" t="str">
            <v>BSS-INV/162/BTG/VII/2026</v>
          </cell>
          <cell r="G1073" t="str">
            <v>059/OPS-VIII/2026</v>
          </cell>
          <cell r="H1073" t="str">
            <v>Biaya keagenan dan operasional Tb Abhiprama 107 / BG Alara 107 (Tanjung Laut - Tersus PT PLN PLTU 2)</v>
          </cell>
          <cell r="I1073">
            <v>21762192</v>
          </cell>
          <cell r="J1073">
            <v>825000</v>
          </cell>
          <cell r="K1073">
            <v>0</v>
          </cell>
          <cell r="M1073">
            <v>-150000</v>
          </cell>
          <cell r="P1073">
            <v>22437192</v>
          </cell>
          <cell r="Q1073">
            <v>46281</v>
          </cell>
        </row>
        <row r="1074">
          <cell r="B1074" t="str">
            <v>067/K/IX/26</v>
          </cell>
          <cell r="C1074">
            <v>46281</v>
          </cell>
          <cell r="D1074" t="str">
            <v>2605W5457 / 2606M544E</v>
          </cell>
          <cell r="E1074" t="str">
            <v>BUN TJI LIUNG</v>
          </cell>
          <cell r="G1074" t="str">
            <v>948/OPS-IX/2026</v>
          </cell>
          <cell r="H1074" t="str">
            <v>Overhaul sea waterpump Tb Michelle 219-08 Port Cilegon</v>
          </cell>
          <cell r="I1074">
            <v>9743589</v>
          </cell>
          <cell r="K1074">
            <v>0</v>
          </cell>
          <cell r="M1074">
            <v>-243589</v>
          </cell>
          <cell r="N1074">
            <v>2500</v>
          </cell>
          <cell r="P1074">
            <v>9502500</v>
          </cell>
          <cell r="Q1074">
            <v>46281</v>
          </cell>
        </row>
        <row r="1075">
          <cell r="B1075" t="str">
            <v>068/K/IX/26</v>
          </cell>
          <cell r="C1075">
            <v>46281</v>
          </cell>
          <cell r="E1075" t="str">
            <v>PT CAHAYA SAMODERA BERSAUDARA</v>
          </cell>
          <cell r="F1075" t="str">
            <v>CSB/INV/KDICS/26/03544</v>
          </cell>
          <cell r="G1075" t="str">
            <v>069/OPS-VIII/2026</v>
          </cell>
          <cell r="H1075" t="str">
            <v>Sirius S4 TB Ocean Power 21 (Jetty PT PUL)</v>
          </cell>
          <cell r="I1075">
            <v>29052000</v>
          </cell>
          <cell r="J1075">
            <v>3195720</v>
          </cell>
          <cell r="K1075">
            <v>0</v>
          </cell>
          <cell r="M1075">
            <v>0</v>
          </cell>
          <cell r="N1075">
            <v>6500</v>
          </cell>
          <cell r="P1075">
            <v>32254220</v>
          </cell>
          <cell r="Q1075">
            <v>46281</v>
          </cell>
        </row>
        <row r="1076">
          <cell r="B1076" t="str">
            <v>068/K/IX/26</v>
          </cell>
          <cell r="C1076">
            <v>46281</v>
          </cell>
          <cell r="D1076" t="str">
            <v>2605UEOQS</v>
          </cell>
          <cell r="E1076" t="str">
            <v>PT CAHAYA SAMODERA BERSAUDARA</v>
          </cell>
          <cell r="F1076" t="str">
            <v>CSB/INV/KDICS/26/03545</v>
          </cell>
          <cell r="G1076" t="str">
            <v>070/OPS-VIII/2026</v>
          </cell>
          <cell r="H1076" t="str">
            <v>Delivery charge TB Ocean Power 21 (Jetty PT PUL)</v>
          </cell>
          <cell r="I1076">
            <v>3500000</v>
          </cell>
          <cell r="J1076">
            <v>385000</v>
          </cell>
          <cell r="K1076">
            <v>23</v>
          </cell>
          <cell r="M1076">
            <v>-70000</v>
          </cell>
          <cell r="P1076">
            <v>3815000</v>
          </cell>
          <cell r="Q1076">
            <v>46281</v>
          </cell>
        </row>
        <row r="1077">
          <cell r="B1077" t="str">
            <v>069/K/IX/26</v>
          </cell>
          <cell r="C1077">
            <v>46281</v>
          </cell>
          <cell r="D1077" t="str">
            <v>26055GTYX</v>
          </cell>
          <cell r="E1077" t="str">
            <v>PT DUTA BAHTERA SEMESTA</v>
          </cell>
          <cell r="F1077" t="str">
            <v>0741/VII/FDA/DBS-MRK/FP/2026</v>
          </cell>
          <cell r="G1077" t="str">
            <v>056/OPS-VIII/2026</v>
          </cell>
          <cell r="H1077" t="str">
            <v>Biaya keagenan &amp; operasional TB APL 7 / BG Baiduri 70273 Voy. 167 (Bontang - Suralaya) - Pelunasan</v>
          </cell>
          <cell r="I1077">
            <v>19614560</v>
          </cell>
          <cell r="J1077">
            <v>330000</v>
          </cell>
          <cell r="K1077">
            <v>0</v>
          </cell>
          <cell r="M1077">
            <v>-60000</v>
          </cell>
          <cell r="P1077">
            <v>19884560</v>
          </cell>
          <cell r="Q1077">
            <v>46281</v>
          </cell>
        </row>
        <row r="1078">
          <cell r="B1078" t="str">
            <v>069/K/IX/26</v>
          </cell>
          <cell r="C1078">
            <v>46281</v>
          </cell>
          <cell r="E1078" t="str">
            <v>PT DUTA BAHTERA SEMESTA</v>
          </cell>
          <cell r="F1078" t="str">
            <v>0741/VII/FDA/DBS-MRK/2026</v>
          </cell>
          <cell r="G1078" t="str">
            <v>052/OPS-VIII/2026</v>
          </cell>
          <cell r="H1078" t="str">
            <v>Reimbursement Moring Unmooring TB APL 7 / BG Baiduri 70273 Voy. 167 (Bontang - Suralaya)</v>
          </cell>
          <cell r="I1078">
            <v>20597906</v>
          </cell>
          <cell r="J1078">
            <v>0</v>
          </cell>
          <cell r="K1078">
            <v>0</v>
          </cell>
          <cell r="M1078">
            <v>0</v>
          </cell>
          <cell r="P1078">
            <v>20597906</v>
          </cell>
          <cell r="Q1078">
            <v>46281</v>
          </cell>
        </row>
        <row r="1079">
          <cell r="B1079" t="str">
            <v>070/K/IX/26</v>
          </cell>
          <cell r="C1079">
            <v>46281</v>
          </cell>
          <cell r="D1079" t="str">
            <v>2605V6V8M</v>
          </cell>
          <cell r="E1079" t="str">
            <v>PT ELEANOR PRADANA SHIPPING</v>
          </cell>
          <cell r="F1079" t="str">
            <v>0070/INV-ELPRAS/VIII/2026</v>
          </cell>
          <cell r="G1079" t="str">
            <v>006/OPS-IX/2026</v>
          </cell>
          <cell r="H1079" t="str">
            <v>Biaya keagenan dan operasional TB Surya Segara 3 / BG Finacia 96 Voy. 002 PLTU Paiton</v>
          </cell>
          <cell r="I1079">
            <v>13598413</v>
          </cell>
          <cell r="J1079">
            <v>220000</v>
          </cell>
          <cell r="K1079">
            <v>0</v>
          </cell>
          <cell r="M1079">
            <v>-40000</v>
          </cell>
          <cell r="N1079">
            <v>2500</v>
          </cell>
          <cell r="P1079">
            <v>13780913</v>
          </cell>
          <cell r="Q1079">
            <v>46281</v>
          </cell>
        </row>
        <row r="1080">
          <cell r="B1080" t="str">
            <v>070/K/IX/26</v>
          </cell>
          <cell r="C1080">
            <v>46281</v>
          </cell>
          <cell r="D1080" t="str">
            <v>2605XZ335</v>
          </cell>
          <cell r="E1080" t="str">
            <v>PT ELEANOR PRADANA SHIPPING</v>
          </cell>
          <cell r="F1080" t="str">
            <v>0094/INV-ELPRAS/VIII/2026</v>
          </cell>
          <cell r="G1080" t="str">
            <v>950/OPS-IX/2026</v>
          </cell>
          <cell r="H1080" t="str">
            <v>Biaya keagenan dan clearance cost TB APL 7 Voy. 175-D Port Paiton</v>
          </cell>
          <cell r="I1080">
            <v>10666046</v>
          </cell>
          <cell r="J1080">
            <v>220000</v>
          </cell>
          <cell r="K1080">
            <v>0</v>
          </cell>
          <cell r="M1080">
            <v>-40000</v>
          </cell>
          <cell r="P1080">
            <v>10846046</v>
          </cell>
          <cell r="Q1080">
            <v>46281</v>
          </cell>
        </row>
        <row r="1081">
          <cell r="B1081" t="str">
            <v>071/K/IX/26</v>
          </cell>
          <cell r="C1081">
            <v>46281</v>
          </cell>
          <cell r="D1081" t="str">
            <v>2606M7YG8</v>
          </cell>
          <cell r="E1081" t="str">
            <v>SUDIRMAN</v>
          </cell>
          <cell r="G1081" t="str">
            <v>956/OPS-IX/2026</v>
          </cell>
          <cell r="H1081" t="str">
            <v>Jasa cleaning TB Entebe Star 30 / BG Finacia 71 Voy. 191 L Port Berau</v>
          </cell>
          <cell r="I1081">
            <v>4205128</v>
          </cell>
          <cell r="K1081">
            <v>0</v>
          </cell>
          <cell r="M1081">
            <v>-105128</v>
          </cell>
          <cell r="N1081">
            <v>2500</v>
          </cell>
          <cell r="P1081">
            <v>4102500</v>
          </cell>
          <cell r="Q1081">
            <v>46281</v>
          </cell>
        </row>
        <row r="1082">
          <cell r="B1082" t="str">
            <v>072/K/IX/26</v>
          </cell>
          <cell r="C1082">
            <v>46281</v>
          </cell>
          <cell r="E1082" t="str">
            <v>PT SURYA BANJAR UTAMA</v>
          </cell>
          <cell r="F1082" t="str">
            <v>INV-SBU.171/VII.2026</v>
          </cell>
          <cell r="G1082" t="str">
            <v>012/OPS-VIII/2026</v>
          </cell>
          <cell r="H1082" t="str">
            <v>Biaya Pengiriman Banjarmasin-Batulicin TB Ocean Power 21 / Bg Angeline 219-05 Voy 163 Port Sepapah</v>
          </cell>
          <cell r="I1082">
            <v>2300000</v>
          </cell>
          <cell r="J1082">
            <v>253000</v>
          </cell>
          <cell r="K1082">
            <v>0</v>
          </cell>
          <cell r="M1082">
            <v>0</v>
          </cell>
          <cell r="N1082">
            <v>2500</v>
          </cell>
          <cell r="P1082">
            <v>2555500</v>
          </cell>
          <cell r="Q1082">
            <v>46281</v>
          </cell>
        </row>
        <row r="1083">
          <cell r="B1083" t="str">
            <v>073/K/IX/26</v>
          </cell>
          <cell r="C1083">
            <v>46281</v>
          </cell>
          <cell r="E1083" t="str">
            <v>PT TIRTA SAMUDERA AGENCY</v>
          </cell>
          <cell r="F1083" t="str">
            <v>143/TSA-MAR/VIII/2026</v>
          </cell>
          <cell r="G1083" t="str">
            <v>065/OPS-VIII/2026</v>
          </cell>
          <cell r="H1083" t="str">
            <v>Biaya port clearance lumpsum &amp; operasional lain TB MIchelle 219-08 / BG Angeline 219-08</v>
          </cell>
          <cell r="I1083">
            <v>40193425</v>
          </cell>
          <cell r="K1083">
            <v>0</v>
          </cell>
          <cell r="M1083">
            <v>0</v>
          </cell>
          <cell r="N1083">
            <v>2500</v>
          </cell>
          <cell r="P1083">
            <v>40195925</v>
          </cell>
          <cell r="Q1083">
            <v>46281</v>
          </cell>
        </row>
        <row r="1084">
          <cell r="B1084" t="str">
            <v>074/K/IX/26</v>
          </cell>
          <cell r="C1084">
            <v>46281</v>
          </cell>
          <cell r="E1084" t="str">
            <v>PT WAHANA SAMUDERA AGENCY</v>
          </cell>
          <cell r="F1084" t="str">
            <v>034/VIII/WSA-TR/2026</v>
          </cell>
          <cell r="G1084" t="str">
            <v>064/OPS-VIII/2026</v>
          </cell>
          <cell r="H1084" t="str">
            <v>Biaya keagenan &amp; operasional TB Entebe Star 30 / BG Finacia 71 (Jetty PT LIM - Sangkulirang)</v>
          </cell>
          <cell r="I1084">
            <v>29867966</v>
          </cell>
          <cell r="J1084">
            <v>0</v>
          </cell>
          <cell r="K1084">
            <v>0</v>
          </cell>
          <cell r="M1084">
            <v>0</v>
          </cell>
          <cell r="N1084">
            <v>2500</v>
          </cell>
          <cell r="P1084">
            <v>29870466</v>
          </cell>
          <cell r="Q1084">
            <v>46281</v>
          </cell>
        </row>
        <row r="1085">
          <cell r="B1085" t="str">
            <v>074/K/IX/26</v>
          </cell>
          <cell r="C1085">
            <v>46281</v>
          </cell>
          <cell r="D1085" t="str">
            <v>2605RZM9Y</v>
          </cell>
          <cell r="E1085" t="str">
            <v>PT WAHANA SAMUDERA AGENCY</v>
          </cell>
          <cell r="F1085" t="str">
            <v>035/VIII/WSA-TR/2026</v>
          </cell>
          <cell r="G1085" t="str">
            <v>061/OPS-VIII/2026</v>
          </cell>
          <cell r="H1085" t="str">
            <v xml:space="preserve">Biaya keagenan &amp; operasional TB Entebe Star 30 / BG Finacia 71 </v>
          </cell>
          <cell r="I1085">
            <v>3530753</v>
          </cell>
          <cell r="J1085">
            <v>388383</v>
          </cell>
          <cell r="K1085">
            <v>23</v>
          </cell>
          <cell r="M1085">
            <v>-70615.06</v>
          </cell>
          <cell r="P1085">
            <v>3848520.94</v>
          </cell>
          <cell r="Q1085">
            <v>46281</v>
          </cell>
        </row>
        <row r="1086">
          <cell r="B1086" t="str">
            <v>075/K/IX/26</v>
          </cell>
          <cell r="C1086">
            <v>46281</v>
          </cell>
          <cell r="E1086" t="str">
            <v>PT DAIDAN UTAMA PIALANG ASURANSI</v>
          </cell>
          <cell r="F1086" t="str">
            <v>1155/CCMH/06/26</v>
          </cell>
          <cell r="G1086" t="str">
            <v>868/OPS-VI/2026</v>
          </cell>
          <cell r="H1086" t="str">
            <v>Insurance P&amp;I TB Entebe Star 30 &amp; BG Finacia 71 periode 29/05/26 - 29/05/27 (3/4)</v>
          </cell>
          <cell r="I1086">
            <v>29750000</v>
          </cell>
          <cell r="K1086">
            <v>0</v>
          </cell>
          <cell r="M1086">
            <v>0</v>
          </cell>
          <cell r="N1086">
            <v>2500</v>
          </cell>
          <cell r="P1086">
            <v>29752500</v>
          </cell>
          <cell r="Q1086">
            <v>46281</v>
          </cell>
        </row>
        <row r="1087">
          <cell r="B1087" t="str">
            <v>076/K/IX/26</v>
          </cell>
          <cell r="C1087">
            <v>46286</v>
          </cell>
          <cell r="D1087" t="str">
            <v>2606MI5HR</v>
          </cell>
          <cell r="E1087" t="str">
            <v>PT ANDALAN LANCAR NIAGA</v>
          </cell>
          <cell r="F1087" t="str">
            <v>00135/ALN-INV/VII/2026</v>
          </cell>
          <cell r="G1087" t="str">
            <v>443/PV-MAR/2026</v>
          </cell>
          <cell r="H1087" t="str">
            <v>Biaya Freight Charter TB Michelle III &amp; BG Benami III (Loa Gagak - Suralaya)</v>
          </cell>
          <cell r="I1087">
            <v>1323000000</v>
          </cell>
          <cell r="K1087">
            <v>15</v>
          </cell>
          <cell r="M1087">
            <v>-15876000</v>
          </cell>
          <cell r="N1087">
            <v>15000</v>
          </cell>
          <cell r="P1087">
            <v>1307139000</v>
          </cell>
          <cell r="Q1087">
            <v>46286</v>
          </cell>
        </row>
        <row r="1088">
          <cell r="B1088" t="str">
            <v>077/K/IX/26</v>
          </cell>
          <cell r="C1088">
            <v>46281</v>
          </cell>
          <cell r="E1088" t="str">
            <v>STEVANUS HATMOKO</v>
          </cell>
          <cell r="G1088" t="str">
            <v>168/OPS-Premi/2026</v>
          </cell>
          <cell r="H1088" t="str">
            <v>Premi crew TB Abhiprama 107 / BG Alara 107 Voy. 168</v>
          </cell>
          <cell r="I1088">
            <v>26888657</v>
          </cell>
          <cell r="K1088">
            <v>0</v>
          </cell>
          <cell r="M1088">
            <v>0</v>
          </cell>
          <cell r="P1088">
            <v>26888657</v>
          </cell>
          <cell r="Q1088">
            <v>46281</v>
          </cell>
        </row>
        <row r="1089">
          <cell r="B1089" t="str">
            <v>077/K/IX/26</v>
          </cell>
          <cell r="C1089">
            <v>46281</v>
          </cell>
          <cell r="E1089" t="str">
            <v>STEVANUS HATMOKO</v>
          </cell>
          <cell r="G1089" t="str">
            <v>177/OPS-Premi/2026</v>
          </cell>
          <cell r="H1089" t="str">
            <v>Premi crew TB Abhiprama 107 / BG Alara 107 Voy. 177</v>
          </cell>
          <cell r="I1089">
            <v>17685211</v>
          </cell>
          <cell r="K1089">
            <v>0</v>
          </cell>
          <cell r="M1089">
            <v>0</v>
          </cell>
          <cell r="P1089">
            <v>17685211</v>
          </cell>
          <cell r="Q1089">
            <v>46281</v>
          </cell>
        </row>
        <row r="1090">
          <cell r="B1090" t="str">
            <v>078/K/IX/26</v>
          </cell>
          <cell r="C1090">
            <v>46281</v>
          </cell>
          <cell r="E1090" t="str">
            <v>LASTE FERI KUSUMA</v>
          </cell>
          <cell r="G1090" t="str">
            <v>167/OPS-Premi/2026</v>
          </cell>
          <cell r="H1090" t="str">
            <v>Premi crew TB APL 7 / BG Baiduri 70273 Voy. 167</v>
          </cell>
          <cell r="I1090">
            <v>22398965</v>
          </cell>
          <cell r="K1090">
            <v>0</v>
          </cell>
          <cell r="M1090">
            <v>0</v>
          </cell>
          <cell r="P1090">
            <v>22398965</v>
          </cell>
          <cell r="Q1090">
            <v>46281</v>
          </cell>
        </row>
        <row r="1091">
          <cell r="B1091" t="str">
            <v>078/K/IX/26</v>
          </cell>
          <cell r="C1091">
            <v>46281</v>
          </cell>
          <cell r="E1091" t="str">
            <v>LASTE FERI KUSUMA</v>
          </cell>
          <cell r="G1091" t="str">
            <v>175/OPS-Premi/2026</v>
          </cell>
          <cell r="H1091" t="str">
            <v>Premi crew TB APL 7 / BG Baiduri 70273 Voy. 175</v>
          </cell>
          <cell r="I1091">
            <v>16194226</v>
          </cell>
          <cell r="K1091">
            <v>0</v>
          </cell>
          <cell r="M1091">
            <v>0</v>
          </cell>
          <cell r="P1091">
            <v>16194226</v>
          </cell>
          <cell r="Q1091">
            <v>46281</v>
          </cell>
        </row>
        <row r="1092">
          <cell r="B1092" t="str">
            <v>079/K/IX/26</v>
          </cell>
          <cell r="C1092">
            <v>46281</v>
          </cell>
          <cell r="E1092" t="str">
            <v>YUDIANTO</v>
          </cell>
          <cell r="G1092" t="str">
            <v>164/OPS-Premi/2026</v>
          </cell>
          <cell r="H1092" t="str">
            <v>Premi crew TB Entebe Star 30 / BG Finacia 71 Voy. 164</v>
          </cell>
          <cell r="I1092">
            <v>15059044</v>
          </cell>
          <cell r="K1092">
            <v>0</v>
          </cell>
          <cell r="M1092">
            <v>0</v>
          </cell>
          <cell r="P1092">
            <v>15059044</v>
          </cell>
          <cell r="Q1092">
            <v>46281</v>
          </cell>
        </row>
        <row r="1093">
          <cell r="B1093" t="str">
            <v>079/K/IX/26</v>
          </cell>
          <cell r="C1093">
            <v>46281</v>
          </cell>
          <cell r="E1093" t="str">
            <v>YUDIANTO</v>
          </cell>
          <cell r="G1093" t="str">
            <v>173/OPS-Premi/2026</v>
          </cell>
          <cell r="H1093" t="str">
            <v>Premi crew TB Entebe Star 30 / BG Finacia 71 Voy. 173</v>
          </cell>
          <cell r="I1093">
            <v>5000000</v>
          </cell>
          <cell r="K1093">
            <v>0</v>
          </cell>
          <cell r="M1093">
            <v>0</v>
          </cell>
          <cell r="P1093">
            <v>5000000</v>
          </cell>
          <cell r="Q1093">
            <v>46281</v>
          </cell>
        </row>
        <row r="1094">
          <cell r="B1094" t="str">
            <v>079/K/IX/26</v>
          </cell>
          <cell r="C1094">
            <v>46281</v>
          </cell>
          <cell r="E1094" t="str">
            <v>YUDIANTO</v>
          </cell>
          <cell r="G1094" t="str">
            <v>183/OPS-Premi/2026</v>
          </cell>
          <cell r="H1094" t="str">
            <v>Premi crew TB Entebe Star 30 / BG Finacia 71 Voy. 183</v>
          </cell>
          <cell r="I1094">
            <v>15843480</v>
          </cell>
          <cell r="K1094">
            <v>0</v>
          </cell>
          <cell r="M1094">
            <v>0</v>
          </cell>
          <cell r="P1094">
            <v>15843480</v>
          </cell>
          <cell r="Q1094">
            <v>46281</v>
          </cell>
        </row>
        <row r="1095">
          <cell r="B1095" t="str">
            <v>080/K/IX/26</v>
          </cell>
          <cell r="C1095">
            <v>46280</v>
          </cell>
          <cell r="E1095" t="str">
            <v>ANDI ARMAN</v>
          </cell>
          <cell r="G1095" t="str">
            <v>170/OPS-Premi/2026</v>
          </cell>
          <cell r="H1095" t="str">
            <v>Premi crew TB Michelle 219-08 / BG Angeline 219-08 Voy. 170</v>
          </cell>
          <cell r="I1095">
            <v>14356657</v>
          </cell>
          <cell r="K1095">
            <v>0</v>
          </cell>
          <cell r="M1095">
            <v>0</v>
          </cell>
          <cell r="N1095">
            <v>2500</v>
          </cell>
          <cell r="P1095">
            <v>14359157</v>
          </cell>
          <cell r="Q1095">
            <v>46280</v>
          </cell>
        </row>
        <row r="1096">
          <cell r="B1096" t="str">
            <v>080/K/IX/26</v>
          </cell>
          <cell r="C1096">
            <v>46280</v>
          </cell>
          <cell r="E1096" t="str">
            <v>ANDI ARMAN</v>
          </cell>
          <cell r="G1096" t="str">
            <v>179/OPS-Premi/2026</v>
          </cell>
          <cell r="H1096" t="str">
            <v>Premi crew TB Michelle 219-08 / BG Angeline 219-08 Voy. 179</v>
          </cell>
          <cell r="I1096">
            <v>15584849</v>
          </cell>
          <cell r="K1096">
            <v>0</v>
          </cell>
          <cell r="M1096">
            <v>0</v>
          </cell>
          <cell r="P1096">
            <v>15584849</v>
          </cell>
          <cell r="Q1096">
            <v>46280</v>
          </cell>
        </row>
        <row r="1097">
          <cell r="B1097" t="str">
            <v>081/K/IX/26</v>
          </cell>
          <cell r="C1097">
            <v>46281</v>
          </cell>
          <cell r="E1097" t="str">
            <v>NURSANDI</v>
          </cell>
          <cell r="G1097" t="str">
            <v>171/OPS-Premi/2026</v>
          </cell>
          <cell r="H1097" t="str">
            <v>Premi crew Tb Michelle XV / BG Benami XV Voy. 171</v>
          </cell>
          <cell r="I1097">
            <v>18868197</v>
          </cell>
          <cell r="K1097">
            <v>0</v>
          </cell>
          <cell r="M1097">
            <v>0</v>
          </cell>
          <cell r="P1097">
            <v>18868197</v>
          </cell>
          <cell r="Q1097">
            <v>46281</v>
          </cell>
        </row>
        <row r="1098">
          <cell r="B1098" t="str">
            <v>081/K/IX/26</v>
          </cell>
          <cell r="C1098">
            <v>46281</v>
          </cell>
          <cell r="E1098" t="str">
            <v>NURSANDI</v>
          </cell>
          <cell r="G1098" t="str">
            <v>176/OPS-Premi/2026</v>
          </cell>
          <cell r="H1098" t="str">
            <v>Premi crew Tb Michelle XV / BG Benami XV Voy. 176</v>
          </cell>
          <cell r="I1098">
            <v>3000000</v>
          </cell>
          <cell r="K1098">
            <v>0</v>
          </cell>
          <cell r="M1098">
            <v>0</v>
          </cell>
          <cell r="P1098">
            <v>3000000</v>
          </cell>
          <cell r="Q1098">
            <v>46281</v>
          </cell>
        </row>
        <row r="1099">
          <cell r="B1099" t="str">
            <v>081/K/IX/26</v>
          </cell>
          <cell r="C1099">
            <v>46281</v>
          </cell>
          <cell r="E1099" t="str">
            <v>NURSANDI</v>
          </cell>
          <cell r="G1099" t="str">
            <v>178-1/OPS-Premi/2026</v>
          </cell>
          <cell r="H1099" t="str">
            <v>Premi crew Tb Michelle XV / BG Benami XV Voy. 178-1</v>
          </cell>
          <cell r="I1099">
            <v>3000000</v>
          </cell>
          <cell r="K1099">
            <v>0</v>
          </cell>
          <cell r="M1099">
            <v>0</v>
          </cell>
          <cell r="P1099">
            <v>3000000</v>
          </cell>
          <cell r="Q1099">
            <v>46281</v>
          </cell>
        </row>
        <row r="1100">
          <cell r="B1100" t="str">
            <v>081/K/IX/26</v>
          </cell>
          <cell r="C1100">
            <v>46281</v>
          </cell>
          <cell r="E1100" t="str">
            <v>NURSANDI</v>
          </cell>
          <cell r="G1100" t="str">
            <v>178-2/OPS-Premi/2026</v>
          </cell>
          <cell r="H1100" t="str">
            <v>Premi crew Tb Michelle XV / BG Benami XV Voy. 178-2</v>
          </cell>
          <cell r="I1100">
            <v>3000000</v>
          </cell>
          <cell r="K1100">
            <v>0</v>
          </cell>
          <cell r="M1100">
            <v>0</v>
          </cell>
          <cell r="P1100">
            <v>3000000</v>
          </cell>
          <cell r="Q1100">
            <v>46281</v>
          </cell>
        </row>
        <row r="1101">
          <cell r="B1101" t="str">
            <v>081/K/IX/26</v>
          </cell>
          <cell r="C1101">
            <v>46281</v>
          </cell>
          <cell r="E1101" t="str">
            <v>NURSANDI</v>
          </cell>
          <cell r="G1101" t="str">
            <v>178-3/OPS-Premi/2026</v>
          </cell>
          <cell r="H1101" t="str">
            <v>Premi crew Tb Michelle XV / BG Benami XV Voy. 178-3</v>
          </cell>
          <cell r="I1101">
            <v>3000000</v>
          </cell>
          <cell r="K1101">
            <v>0</v>
          </cell>
          <cell r="M1101">
            <v>0</v>
          </cell>
          <cell r="P1101">
            <v>3000000</v>
          </cell>
          <cell r="Q1101">
            <v>46281</v>
          </cell>
        </row>
        <row r="1102">
          <cell r="B1102" t="str">
            <v>081/K/IX/26</v>
          </cell>
          <cell r="C1102">
            <v>46281</v>
          </cell>
          <cell r="E1102" t="str">
            <v>NURSANDI</v>
          </cell>
          <cell r="G1102" t="str">
            <v>181/OPS-Premi/2026</v>
          </cell>
          <cell r="H1102" t="str">
            <v>Premi crew Tb Michelle XV / BG Benami XV Voy. 181</v>
          </cell>
          <cell r="I1102">
            <v>19366760</v>
          </cell>
          <cell r="K1102">
            <v>0</v>
          </cell>
          <cell r="M1102">
            <v>0</v>
          </cell>
          <cell r="P1102">
            <v>19366760</v>
          </cell>
          <cell r="Q1102">
            <v>46281</v>
          </cell>
        </row>
        <row r="1103">
          <cell r="B1103" t="str">
            <v>082/K/IX/26</v>
          </cell>
          <cell r="C1103">
            <v>46281</v>
          </cell>
          <cell r="E1103" t="str">
            <v>BUDI KAHANA</v>
          </cell>
          <cell r="G1103" t="str">
            <v>172/OPS-Premi/2026</v>
          </cell>
          <cell r="H1103" t="str">
            <v>Premi crew TB Ocean Power 21 - BG Angeline 219-05 Voy. 172</v>
          </cell>
          <cell r="I1103">
            <v>8317135</v>
          </cell>
          <cell r="K1103">
            <v>0</v>
          </cell>
          <cell r="M1103">
            <v>0</v>
          </cell>
          <cell r="P1103">
            <v>8317135</v>
          </cell>
          <cell r="Q1103">
            <v>46281</v>
          </cell>
        </row>
        <row r="1104">
          <cell r="B1104" t="str">
            <v>082/K/IX/26</v>
          </cell>
          <cell r="C1104">
            <v>46281</v>
          </cell>
          <cell r="E1104" t="str">
            <v>BUDI KAHANA</v>
          </cell>
          <cell r="G1104" t="str">
            <v>182/OPS-Premi/2026</v>
          </cell>
          <cell r="H1104" t="str">
            <v>Premi crew TB Ocean Power 21 - BG Angeline 219-05 Voy. 182</v>
          </cell>
          <cell r="I1104">
            <v>13130101</v>
          </cell>
          <cell r="K1104">
            <v>0</v>
          </cell>
          <cell r="M1104">
            <v>0</v>
          </cell>
          <cell r="P1104">
            <v>13130101</v>
          </cell>
          <cell r="Q1104">
            <v>46281</v>
          </cell>
        </row>
        <row r="1105">
          <cell r="B1105" t="str">
            <v>083/K/IX/26</v>
          </cell>
          <cell r="C1105">
            <v>46280</v>
          </cell>
          <cell r="E1105" t="str">
            <v>ANDI ARDI SAID</v>
          </cell>
          <cell r="G1105" t="str">
            <v>169/OPS-Premi/2026</v>
          </cell>
          <cell r="H1105" t="str">
            <v>Premi crew TB Surya Segara 3 / BG Finacia 96 Voy. 169</v>
          </cell>
          <cell r="I1105">
            <v>5000000</v>
          </cell>
          <cell r="K1105">
            <v>0</v>
          </cell>
          <cell r="M1105">
            <v>0</v>
          </cell>
          <cell r="N1105">
            <v>2500</v>
          </cell>
          <cell r="P1105">
            <v>5002500</v>
          </cell>
          <cell r="Q1105">
            <v>46280</v>
          </cell>
        </row>
        <row r="1106">
          <cell r="B1106" t="str">
            <v>083/K/IX/26</v>
          </cell>
          <cell r="C1106">
            <v>46280</v>
          </cell>
          <cell r="E1106" t="str">
            <v>ANDI ARDI SAID</v>
          </cell>
          <cell r="G1106" t="str">
            <v>174/OPS-Premi/2026</v>
          </cell>
          <cell r="H1106" t="str">
            <v>Premi crew TB Surya Segara 3 / BG Finacia 96 Voy. 174</v>
          </cell>
          <cell r="I1106">
            <v>20993993</v>
          </cell>
          <cell r="K1106">
            <v>0</v>
          </cell>
          <cell r="M1106">
            <v>0</v>
          </cell>
          <cell r="P1106">
            <v>20993993</v>
          </cell>
          <cell r="Q1106">
            <v>46280</v>
          </cell>
        </row>
        <row r="1107">
          <cell r="B1107" t="str">
            <v>084/K/IX/26</v>
          </cell>
          <cell r="C1107">
            <v>46288</v>
          </cell>
          <cell r="D1107" t="str">
            <v>2606AUS9S</v>
          </cell>
          <cell r="E1107" t="str">
            <v>PT DELI PRATAMA ANGKUTAN LAUT</v>
          </cell>
          <cell r="F1107">
            <v>2630361</v>
          </cell>
          <cell r="G1107" t="str">
            <v>444/PV-MAR/2026</v>
          </cell>
          <cell r="H1107" t="str">
            <v>Biaya Freight Charter TB Pacific Twenty Six / BG Pacific 3026 (Jetty Lati Inti Muara - Jetty Pel. Muara Sampara)</v>
          </cell>
          <cell r="I1107">
            <v>675000000</v>
          </cell>
          <cell r="K1107">
            <v>15</v>
          </cell>
          <cell r="M1107">
            <v>-8100000</v>
          </cell>
          <cell r="P1107">
            <v>666900000</v>
          </cell>
          <cell r="Q1107">
            <v>46288</v>
          </cell>
        </row>
        <row r="1108">
          <cell r="B1108" t="str">
            <v>085/K/IX/26</v>
          </cell>
          <cell r="C1108">
            <v>46288</v>
          </cell>
          <cell r="D1108" t="str">
            <v>2605TWIVD</v>
          </cell>
          <cell r="E1108" t="str">
            <v>PT ELISHA MILAN TANKERS</v>
          </cell>
          <cell r="F1108" t="str">
            <v>087/INV/EMT-MAR/VIII/2026</v>
          </cell>
          <cell r="G1108" t="str">
            <v>445/PV-MAR/2026</v>
          </cell>
          <cell r="H1108" t="str">
            <v>Biaya Freught Charter TB Mahesa 105 / BG Kalya 105 (Jetty RMK - Paiton) - (Pelunasan)</v>
          </cell>
          <cell r="I1108">
            <v>668580000</v>
          </cell>
          <cell r="K1108">
            <v>15</v>
          </cell>
          <cell r="M1108">
            <v>-8022960</v>
          </cell>
          <cell r="N1108">
            <v>15000</v>
          </cell>
          <cell r="P1108">
            <v>660572040</v>
          </cell>
          <cell r="Q1108">
            <v>46288</v>
          </cell>
        </row>
        <row r="1109">
          <cell r="B1109" t="str">
            <v>086/K/IX/26</v>
          </cell>
          <cell r="C1109">
            <v>46288</v>
          </cell>
          <cell r="E1109" t="str">
            <v>BPJS KESEHATAN</v>
          </cell>
          <cell r="G1109" t="str">
            <v>447/PV-MAR/2026</v>
          </cell>
          <cell r="H1109" t="str">
            <v>BPJS Kesehatan crew ES 30 dan staff periode September 2026</v>
          </cell>
          <cell r="I1109">
            <v>7543964</v>
          </cell>
          <cell r="K1109">
            <v>0</v>
          </cell>
          <cell r="M1109">
            <v>0</v>
          </cell>
          <cell r="P1109">
            <v>7543964</v>
          </cell>
          <cell r="Q1109">
            <v>46288</v>
          </cell>
        </row>
        <row r="1110">
          <cell r="B1110" t="str">
            <v>087/K/IX/26</v>
          </cell>
          <cell r="C1110">
            <v>46288</v>
          </cell>
          <cell r="E1110" t="str">
            <v>BPJS KETENAGAKERJAAN crew</v>
          </cell>
          <cell r="G1110" t="str">
            <v>448/PV-MAR/2026</v>
          </cell>
          <cell r="H1110" t="str">
            <v>BPJS Ketenagakerjaan crew ES 30 dan staff periode September 2026</v>
          </cell>
          <cell r="I1110">
            <v>1531850</v>
          </cell>
          <cell r="K1110">
            <v>0</v>
          </cell>
          <cell r="M1110">
            <v>0</v>
          </cell>
          <cell r="P1110">
            <v>1531850</v>
          </cell>
          <cell r="Q1110">
            <v>46288</v>
          </cell>
        </row>
        <row r="1111">
          <cell r="B1111" t="str">
            <v>088/K/IX/26</v>
          </cell>
          <cell r="C1111">
            <v>46288</v>
          </cell>
          <cell r="E1111" t="str">
            <v>BINA SARANA INFORMATIKA</v>
          </cell>
          <cell r="F1111" t="str">
            <v>255.02/Y-BSI/VIII/2026</v>
          </cell>
          <cell r="G1111" t="str">
            <v>449/PV-MAR/2026</v>
          </cell>
          <cell r="H1111" t="str">
            <v xml:space="preserve">Pembayaran listrik kantor periode 15/07-18/08 2026 </v>
          </cell>
          <cell r="I1111">
            <v>7019200</v>
          </cell>
          <cell r="K1111">
            <v>0</v>
          </cell>
          <cell r="M1111">
            <v>0</v>
          </cell>
          <cell r="N1111">
            <v>2500</v>
          </cell>
          <cell r="P1111">
            <v>7021700</v>
          </cell>
          <cell r="Q1111">
            <v>46288</v>
          </cell>
        </row>
        <row r="1112">
          <cell r="B1112" t="str">
            <v>089/K/IX/26</v>
          </cell>
          <cell r="C1112">
            <v>46288</v>
          </cell>
          <cell r="E1112" t="str">
            <v>YONI FIRDAUS WIBOWO</v>
          </cell>
          <cell r="G1112" t="str">
            <v>450/PV-MAR/2026</v>
          </cell>
          <cell r="H1112" t="str">
            <v>Reimbursement Pak Yoni periode 15 s.d 17 September 2026</v>
          </cell>
          <cell r="I1112">
            <v>6305803</v>
          </cell>
          <cell r="K1112">
            <v>0</v>
          </cell>
          <cell r="M1112">
            <v>0</v>
          </cell>
          <cell r="P1112">
            <v>6305803</v>
          </cell>
          <cell r="Q1112">
            <v>46288</v>
          </cell>
        </row>
        <row r="1113">
          <cell r="B1113" t="str">
            <v>090/K/IX/26</v>
          </cell>
          <cell r="C1113">
            <v>46288</v>
          </cell>
          <cell r="E1113" t="str">
            <v>PT DELTA POWER 88</v>
          </cell>
          <cell r="F1113" t="str">
            <v>049R/PF/09.26</v>
          </cell>
          <cell r="G1113" t="str">
            <v>983/OPS-IX/2026</v>
          </cell>
          <cell r="H1113" t="str">
            <v>O-ring valve u/ TB Surya Segara 3</v>
          </cell>
          <cell r="I1113">
            <v>4980000</v>
          </cell>
          <cell r="K1113">
            <v>0</v>
          </cell>
          <cell r="M1113">
            <v>0</v>
          </cell>
          <cell r="N1113">
            <v>15000</v>
          </cell>
          <cell r="P1113">
            <v>4995000</v>
          </cell>
          <cell r="Q1113">
            <v>46288</v>
          </cell>
        </row>
        <row r="1114">
          <cell r="B1114" t="str">
            <v>090/K/IX/26</v>
          </cell>
          <cell r="C1114">
            <v>46288</v>
          </cell>
          <cell r="E1114" t="str">
            <v>PT DELTA POWER 89</v>
          </cell>
          <cell r="F1114" t="str">
            <v>048R/PF/09.26</v>
          </cell>
          <cell r="G1114" t="str">
            <v>983/OPS-IX/2026</v>
          </cell>
          <cell r="H1114" t="str">
            <v>Gasket TC In u/ TB Surya Segara 3</v>
          </cell>
          <cell r="I1114">
            <v>161770000</v>
          </cell>
          <cell r="K1114">
            <v>0</v>
          </cell>
          <cell r="M1114">
            <v>0</v>
          </cell>
          <cell r="P1114">
            <v>161770000</v>
          </cell>
          <cell r="Q1114">
            <v>46288</v>
          </cell>
        </row>
        <row r="1115">
          <cell r="B1115" t="str">
            <v>090/K/IX/26</v>
          </cell>
          <cell r="C1115">
            <v>46288</v>
          </cell>
          <cell r="E1115" t="str">
            <v>PT DELTA POWER 90</v>
          </cell>
          <cell r="F1115" t="str">
            <v>047R/PF/09.26</v>
          </cell>
          <cell r="G1115" t="str">
            <v>983/OPS-IX/2026</v>
          </cell>
          <cell r="H1115" t="str">
            <v>Gasket head u/ TB Surya Segara 3</v>
          </cell>
          <cell r="I1115">
            <v>41432000</v>
          </cell>
          <cell r="K1115">
            <v>0</v>
          </cell>
          <cell r="M1115">
            <v>0</v>
          </cell>
          <cell r="P1115">
            <v>41432000</v>
          </cell>
          <cell r="Q1115">
            <v>46288</v>
          </cell>
        </row>
        <row r="1116">
          <cell r="B1116" t="str">
            <v>091/K/IX/26</v>
          </cell>
          <cell r="C1116">
            <v>46275</v>
          </cell>
          <cell r="E1116" t="str">
            <v>PT VINICI SAMUDRA AGENCIES</v>
          </cell>
          <cell r="F1116" t="str">
            <v>079.09.26/VSA-KEU/IX/2026</v>
          </cell>
          <cell r="G1116" t="str">
            <v>947/OPS-IX/2026</v>
          </cell>
          <cell r="H1116" t="str">
            <v>DP Biaya keagenan TB APL 7 / BG Baiduri 70273</v>
          </cell>
          <cell r="I1116">
            <v>20000000</v>
          </cell>
          <cell r="K1116">
            <v>0</v>
          </cell>
          <cell r="M1116">
            <v>0</v>
          </cell>
          <cell r="P1116">
            <v>20000000</v>
          </cell>
          <cell r="Q1116">
            <v>46275</v>
          </cell>
        </row>
        <row r="1117">
          <cell r="B1117" t="str">
            <v>092/K/IX/26</v>
          </cell>
          <cell r="C1117">
            <v>46290</v>
          </cell>
          <cell r="E1117" t="str">
            <v>DIREKSI DAN STAFF</v>
          </cell>
          <cell r="G1117" t="str">
            <v>451/PV-MAR/2026</v>
          </cell>
          <cell r="H1117" t="str">
            <v>Gaji Direksi dan staff periode September 2026 sesuai lampiran</v>
          </cell>
          <cell r="I1117">
            <v>139363874</v>
          </cell>
          <cell r="K1117">
            <v>0</v>
          </cell>
          <cell r="M1117">
            <v>0</v>
          </cell>
          <cell r="P1117">
            <v>139363874</v>
          </cell>
          <cell r="Q1117">
            <v>46290</v>
          </cell>
        </row>
        <row r="1118">
          <cell r="B1118" t="str">
            <v>093/K/IX/26</v>
          </cell>
          <cell r="C1118">
            <v>46290</v>
          </cell>
          <cell r="E1118" t="str">
            <v>LASTE FERI KUSUMA</v>
          </cell>
          <cell r="G1118" t="str">
            <v>186/OPS-Premi/2026</v>
          </cell>
          <cell r="H1118" t="str">
            <v>Premi crew TB APL 7 / BG Baiduri 70273 Voy. 186</v>
          </cell>
          <cell r="I1118">
            <v>18855878</v>
          </cell>
          <cell r="K1118">
            <v>0</v>
          </cell>
          <cell r="M1118">
            <v>0</v>
          </cell>
          <cell r="P1118">
            <v>18855878</v>
          </cell>
          <cell r="Q1118">
            <v>46290</v>
          </cell>
        </row>
        <row r="1119">
          <cell r="B1119" t="str">
            <v>094/K/IX/26</v>
          </cell>
          <cell r="C1119">
            <v>46290</v>
          </cell>
          <cell r="E1119" t="str">
            <v>BPJS KETENAGAKERJAAN staff</v>
          </cell>
          <cell r="G1119" t="str">
            <v>446/PV-MAR/2026</v>
          </cell>
          <cell r="H1119" t="str">
            <v>BPJS Ketenagakerjaan staff periode September 2026</v>
          </cell>
          <cell r="I1119">
            <v>12921604</v>
          </cell>
          <cell r="K1119">
            <v>0</v>
          </cell>
          <cell r="M1119">
            <v>0</v>
          </cell>
          <cell r="P1119">
            <v>12921604</v>
          </cell>
          <cell r="Q1119">
            <v>46290</v>
          </cell>
        </row>
        <row r="1120">
          <cell r="B1120" t="str">
            <v>095/K/IX/26</v>
          </cell>
          <cell r="C1120">
            <v>46294</v>
          </cell>
          <cell r="E1120" t="str">
            <v>PT BENAYA AMB MANDIRI</v>
          </cell>
          <cell r="F1120" t="str">
            <v>48/BAM-MAR/INV/IX/2026</v>
          </cell>
          <cell r="G1120" t="str">
            <v>959/OPS-IX/2026</v>
          </cell>
          <cell r="H1120" t="str">
            <v>Solar HSD TB Michelle XV Voy 192-L Port. Palembang</v>
          </cell>
          <cell r="I1120">
            <v>1021621622</v>
          </cell>
          <cell r="J1120">
            <v>112378378</v>
          </cell>
          <cell r="K1120">
            <v>0</v>
          </cell>
          <cell r="M1120">
            <v>0</v>
          </cell>
          <cell r="P1120">
            <v>1134000000</v>
          </cell>
          <cell r="Q1120">
            <v>46294</v>
          </cell>
        </row>
        <row r="1121">
          <cell r="B1121" t="str">
            <v>096/K/IX/26</v>
          </cell>
          <cell r="C1121">
            <v>46294</v>
          </cell>
          <cell r="E1121" t="str">
            <v>PT BENAYA AMB MANDIRI</v>
          </cell>
          <cell r="F1121" t="str">
            <v>47/BAM-MAR/INV/IX/2026</v>
          </cell>
          <cell r="G1121" t="str">
            <v>958/OPS-IX/2026</v>
          </cell>
          <cell r="H1121" t="str">
            <v>Solar HSD TB Michelle 219-08 Voy. 189-L Port. Palembang</v>
          </cell>
          <cell r="I1121">
            <v>255405405</v>
          </cell>
          <cell r="J1121">
            <v>28094595</v>
          </cell>
          <cell r="K1121">
            <v>0</v>
          </cell>
          <cell r="M1121">
            <v>0</v>
          </cell>
          <cell r="P1121">
            <v>283500000</v>
          </cell>
          <cell r="Q1121">
            <v>46294</v>
          </cell>
        </row>
        <row r="1122">
          <cell r="B1122" t="str">
            <v>097/K/IX/26</v>
          </cell>
          <cell r="C1122">
            <v>46294</v>
          </cell>
          <cell r="E1122" t="str">
            <v>PT HOKARI LINEX PRATAMA</v>
          </cell>
          <cell r="F1122" t="str">
            <v>009/INV/HLP-SMG/IX/2026</v>
          </cell>
          <cell r="G1122" t="str">
            <v>981/OPS-IX/2026</v>
          </cell>
          <cell r="H1122" t="str">
            <v>Biosolar TB Nelly 39 Voy. BFOL-018 Port. Semarang</v>
          </cell>
          <cell r="I1122">
            <v>371621500</v>
          </cell>
          <cell r="J1122">
            <v>40878365</v>
          </cell>
          <cell r="K1122">
            <v>0</v>
          </cell>
          <cell r="M1122">
            <v>0</v>
          </cell>
          <cell r="O1122">
            <v>135</v>
          </cell>
          <cell r="P1122">
            <v>412500000</v>
          </cell>
          <cell r="Q1122">
            <v>46294</v>
          </cell>
        </row>
        <row r="1123">
          <cell r="B1123" t="str">
            <v>098/K/IX/26</v>
          </cell>
          <cell r="C1123">
            <v>46294</v>
          </cell>
          <cell r="E1123" t="str">
            <v>PT ADIKARYA BAHARI GEMILANG</v>
          </cell>
          <cell r="F1123" t="str">
            <v>092/INV/ABG-MAR/VII/2025-DP</v>
          </cell>
          <cell r="G1123" t="str">
            <v>452/PV-MAR/2026</v>
          </cell>
          <cell r="H1123" t="str">
            <v>DP Biaya Freight Charter TB Harlina 12 / BG Soekawati 2710 (Jetty Kutai - Muara Berau)</v>
          </cell>
          <cell r="I1123">
            <v>115000000</v>
          </cell>
          <cell r="K1123">
            <v>0</v>
          </cell>
          <cell r="M1123">
            <v>0</v>
          </cell>
          <cell r="N1123">
            <v>15000</v>
          </cell>
          <cell r="P1123">
            <v>115015000</v>
          </cell>
          <cell r="Q1123">
            <v>46294</v>
          </cell>
        </row>
        <row r="1124">
          <cell r="B1124" t="str">
            <v>099/K/IX/26</v>
          </cell>
          <cell r="C1124">
            <v>46294</v>
          </cell>
          <cell r="D1124" t="str">
            <v>2606POOEB</v>
          </cell>
          <cell r="E1124" t="str">
            <v>PT ADIKARYA BAHARI GEMILANG</v>
          </cell>
          <cell r="F1124" t="str">
            <v>092/INV/ABG-MAR/VII/2025</v>
          </cell>
          <cell r="G1124" t="str">
            <v>453/PV-MAR/2026</v>
          </cell>
          <cell r="H1124" t="str">
            <v>Pelunasan Biaya Freight Charter TB Harlina 12 / BG Soekawati 2710 (Jetty Kutai - Muara Berau)</v>
          </cell>
          <cell r="I1124">
            <v>119692000</v>
          </cell>
          <cell r="K1124">
            <v>0</v>
          </cell>
          <cell r="M1124">
            <v>-2816304</v>
          </cell>
          <cell r="N1124">
            <v>15000</v>
          </cell>
          <cell r="P1124">
            <v>116890696</v>
          </cell>
          <cell r="Q1124">
            <v>46294</v>
          </cell>
        </row>
        <row r="1125">
          <cell r="B1125" t="str">
            <v>100/K/IX/26</v>
          </cell>
          <cell r="C1125">
            <v>46294</v>
          </cell>
          <cell r="D1125" t="str">
            <v>2606M31BL</v>
          </cell>
          <cell r="E1125" t="str">
            <v>PT ANDALAN LANCAR NIAGA</v>
          </cell>
          <cell r="F1125" t="str">
            <v>00216/ALN-INV/IX/2026</v>
          </cell>
          <cell r="G1125" t="str">
            <v>454/PV-MAR/2026</v>
          </cell>
          <cell r="H1125" t="str">
            <v>Biaya Time Charter TB Michelle XV / BG Benami XV Periode 25 September s.d 24 Oktober 2026</v>
          </cell>
          <cell r="I1125">
            <v>750000000</v>
          </cell>
          <cell r="K1125">
            <v>15</v>
          </cell>
          <cell r="M1125">
            <v>-9000000</v>
          </cell>
          <cell r="N1125">
            <v>15000</v>
          </cell>
          <cell r="P1125">
            <v>741015000</v>
          </cell>
          <cell r="Q1125">
            <v>46294</v>
          </cell>
        </row>
        <row r="1126">
          <cell r="B1126" t="str">
            <v>101/K/IX/26</v>
          </cell>
          <cell r="C1126">
            <v>46294</v>
          </cell>
          <cell r="D1126" t="str">
            <v>26055LTCC</v>
          </cell>
          <cell r="E1126" t="str">
            <v>PT KRAKATAU SAMUDRA SOLUSI</v>
          </cell>
          <cell r="F1126" t="str">
            <v>KSS.SI.260657</v>
          </cell>
          <cell r="G1126" t="str">
            <v>455/PV-MAR/2026</v>
          </cell>
          <cell r="H1126" t="str">
            <v>Biaya Freight Charter TB Bluefin 11 / BG Diamond 3002 (Jetty Arini Silika - Jetty Conch Lolak)</v>
          </cell>
          <cell r="I1126">
            <v>1052059400</v>
          </cell>
          <cell r="K1126">
            <v>15</v>
          </cell>
          <cell r="M1126">
            <v>-12624712.800000001</v>
          </cell>
          <cell r="P1126">
            <v>1039434687.2</v>
          </cell>
          <cell r="Q1126">
            <v>46294</v>
          </cell>
        </row>
        <row r="1127">
          <cell r="B1127" t="str">
            <v>102/K/IX/26</v>
          </cell>
          <cell r="C1127">
            <v>46294</v>
          </cell>
          <cell r="D1127" t="str">
            <v>2605RZMVV</v>
          </cell>
          <cell r="E1127" t="str">
            <v>PT ALPHA PACIFIC LINE</v>
          </cell>
          <cell r="F1127" t="str">
            <v>004/APL-F/VIII/2026</v>
          </cell>
          <cell r="G1127" t="str">
            <v>456/PV-MAR/2026</v>
          </cell>
          <cell r="H1127" t="str">
            <v>Biaya Freight Charter TB APL 5 / BG Amethyst 8300 (Jetty Patratani - PLTU Paiton 7-8)</v>
          </cell>
          <cell r="I1127">
            <v>1227765000</v>
          </cell>
          <cell r="K1127">
            <v>15</v>
          </cell>
          <cell r="M1127">
            <v>-14733180</v>
          </cell>
          <cell r="P1127">
            <v>1213031820</v>
          </cell>
          <cell r="Q1127">
            <v>46294</v>
          </cell>
        </row>
        <row r="1128">
          <cell r="B1128" t="str">
            <v>103/K/IX/26</v>
          </cell>
          <cell r="C1128">
            <v>46295</v>
          </cell>
          <cell r="E1128" t="str">
            <v>DIRJEN PAJAK</v>
          </cell>
          <cell r="G1128" t="str">
            <v>457/PV-MAR/2026</v>
          </cell>
          <cell r="H1128" t="str">
            <v>Pembayaran PPN periode Agustus 2026</v>
          </cell>
          <cell r="I1128">
            <v>1527513559</v>
          </cell>
          <cell r="K1128">
            <v>0</v>
          </cell>
          <cell r="M1128">
            <v>0</v>
          </cell>
          <cell r="P1128">
            <v>1527513559</v>
          </cell>
          <cell r="Q1128">
            <v>46295</v>
          </cell>
        </row>
        <row r="1129">
          <cell r="B1129" t="str">
            <v>104/K/IX/26</v>
          </cell>
          <cell r="C1129">
            <v>46295</v>
          </cell>
          <cell r="E1129" t="str">
            <v>PT SEAPORT SERVICES INDONESIA</v>
          </cell>
          <cell r="F1129" t="str">
            <v>043/SSI/IX/2026/INV</v>
          </cell>
          <cell r="G1129" t="str">
            <v>989/OPS-IX/2026</v>
          </cell>
          <cell r="H1129" t="str">
            <v>DP 40% General overhaul TB Surya Segara</v>
          </cell>
          <cell r="I1129">
            <v>63492000</v>
          </cell>
          <cell r="K1129">
            <v>0</v>
          </cell>
          <cell r="M1129">
            <v>0</v>
          </cell>
          <cell r="P1129">
            <v>63492000</v>
          </cell>
          <cell r="Q1129">
            <v>46295</v>
          </cell>
        </row>
        <row r="1130">
          <cell r="B1130" t="str">
            <v>105/K/IX/26</v>
          </cell>
          <cell r="C1130">
            <v>46295</v>
          </cell>
          <cell r="E1130" t="str">
            <v>PT ADHIUTAMA POWER MANDALA</v>
          </cell>
          <cell r="F1130" t="str">
            <v>INV-APM.059/VIII.2026</v>
          </cell>
          <cell r="G1130" t="str">
            <v>071/OPS-VIII/2026</v>
          </cell>
          <cell r="H1130" t="str">
            <v>Segel Daprah 5/8 TB Michelle 219-08</v>
          </cell>
          <cell r="I1130">
            <v>2880000</v>
          </cell>
          <cell r="J1130">
            <v>316800</v>
          </cell>
          <cell r="K1130">
            <v>0</v>
          </cell>
          <cell r="M1130">
            <v>0</v>
          </cell>
          <cell r="N1130">
            <v>2500</v>
          </cell>
          <cell r="P1130">
            <v>3199300</v>
          </cell>
          <cell r="Q1130">
            <v>46295</v>
          </cell>
        </row>
        <row r="1131">
          <cell r="B1131" t="str">
            <v>106/K/IX/26</v>
          </cell>
          <cell r="C1131">
            <v>46294</v>
          </cell>
          <cell r="D1131" t="str">
            <v>2605V8KEN</v>
          </cell>
          <cell r="E1131" t="str">
            <v>PT CAHAYA SAMODERA BERSAUDARA</v>
          </cell>
          <cell r="F1131" t="str">
            <v>CSB/INV/PLMCS/03453</v>
          </cell>
          <cell r="G1131" t="str">
            <v>076/OPS-VIII/2026</v>
          </cell>
          <cell r="H1131" t="str">
            <v>Biaya delivery &amp; boat charge TB Michelle 219-08 (Gandus)</v>
          </cell>
          <cell r="I1131">
            <v>650000</v>
          </cell>
          <cell r="J1131">
            <v>71500</v>
          </cell>
          <cell r="K1131">
            <v>23</v>
          </cell>
          <cell r="M1131">
            <v>-13000</v>
          </cell>
          <cell r="N1131">
            <v>6500</v>
          </cell>
          <cell r="P1131">
            <v>715000</v>
          </cell>
          <cell r="Q1131">
            <v>46294</v>
          </cell>
        </row>
        <row r="1132">
          <cell r="B1132" t="str">
            <v>106/K/IX/26</v>
          </cell>
          <cell r="C1132">
            <v>46294</v>
          </cell>
          <cell r="E1132" t="str">
            <v>PT CAHAYA SAMODERA BERSAUDARA</v>
          </cell>
          <cell r="F1132" t="str">
            <v>CSB/INV/MRDCS/26/04360</v>
          </cell>
          <cell r="G1132" t="str">
            <v>978/OPS-IX/2026</v>
          </cell>
          <cell r="H1132" t="str">
            <v>Sirius S4 &amp; shipcool coolant TB Michelle 219-08</v>
          </cell>
          <cell r="I1132">
            <v>29502000</v>
          </cell>
          <cell r="J1132">
            <v>3245220</v>
          </cell>
          <cell r="K1132">
            <v>0</v>
          </cell>
          <cell r="M1132">
            <v>0</v>
          </cell>
          <cell r="P1132">
            <v>32747220</v>
          </cell>
          <cell r="Q1132">
            <v>46294</v>
          </cell>
        </row>
        <row r="1133">
          <cell r="B1133" t="str">
            <v>106/K/IX/26</v>
          </cell>
          <cell r="C1133">
            <v>46294</v>
          </cell>
          <cell r="D1133" t="str">
            <v>2606EMNR8</v>
          </cell>
          <cell r="E1133" t="str">
            <v>PT CAHAYA SAMODERA BERSAUDARA</v>
          </cell>
          <cell r="F1133" t="str">
            <v>CSB/INV/MRDCS/26/04361</v>
          </cell>
          <cell r="G1133" t="str">
            <v>979/OPS-IX/2026</v>
          </cell>
          <cell r="H1133" t="str">
            <v>Boat Charge TB Michelle 219-08</v>
          </cell>
          <cell r="I1133">
            <v>850000</v>
          </cell>
          <cell r="J1133">
            <v>93500</v>
          </cell>
          <cell r="K1133">
            <v>0</v>
          </cell>
          <cell r="M1133">
            <v>-17000</v>
          </cell>
          <cell r="P1133">
            <v>926500</v>
          </cell>
          <cell r="Q1133">
            <v>46294</v>
          </cell>
        </row>
        <row r="1134">
          <cell r="B1134" t="str">
            <v>107/K/IX/26</v>
          </cell>
          <cell r="C1134">
            <v>46294</v>
          </cell>
          <cell r="D1134" t="str">
            <v>260697W8L</v>
          </cell>
          <cell r="E1134" t="str">
            <v>PT DALUT NUSANTARA BARU</v>
          </cell>
          <cell r="F1134" t="str">
            <v>INV-0926.315</v>
          </cell>
          <cell r="G1134" t="str">
            <v>975/OPS-IX/2026</v>
          </cell>
          <cell r="H1134" t="str">
            <v>UT Thikness measurement (1 lumpsum)TB Entebe Star / BG Finacia</v>
          </cell>
          <cell r="I1134">
            <v>7500000</v>
          </cell>
          <cell r="K1134">
            <v>23</v>
          </cell>
          <cell r="M1134">
            <v>-150000</v>
          </cell>
          <cell r="P1134">
            <v>7350000</v>
          </cell>
          <cell r="Q1134">
            <v>46294</v>
          </cell>
        </row>
        <row r="1135">
          <cell r="B1135" t="str">
            <v>108/K/IX/26</v>
          </cell>
          <cell r="C1135">
            <v>46294</v>
          </cell>
          <cell r="D1135" t="str">
            <v>2606N5TWN</v>
          </cell>
          <cell r="E1135" t="str">
            <v>PT JAYA ABADI SHIPPING</v>
          </cell>
          <cell r="F1135" t="str">
            <v>06287/INV/JAS-SKG/VIII/2026</v>
          </cell>
          <cell r="G1135" t="str">
            <v>981/OPS-IX/2026</v>
          </cell>
          <cell r="H1135" t="str">
            <v>Biaya kegagenan TB Entebe Star 30/BG Finacia 71</v>
          </cell>
          <cell r="I1135">
            <v>31549279</v>
          </cell>
          <cell r="J1135">
            <v>346847</v>
          </cell>
          <cell r="K1135">
            <v>0</v>
          </cell>
          <cell r="M1135">
            <v>-63063</v>
          </cell>
          <cell r="P1135">
            <v>31833063</v>
          </cell>
          <cell r="Q1135">
            <v>46294</v>
          </cell>
        </row>
        <row r="1136">
          <cell r="B1136" t="str">
            <v>109/K/IX/26</v>
          </cell>
          <cell r="C1136">
            <v>46294</v>
          </cell>
          <cell r="D1136" t="str">
            <v>2606DQIT1</v>
          </cell>
          <cell r="E1136" t="str">
            <v>PT MARITIM BATUBARA PERTAMA</v>
          </cell>
          <cell r="F1136" t="str">
            <v>MBP/IX-26/0315</v>
          </cell>
          <cell r="G1136" t="str">
            <v>976/OPS-IX/2026</v>
          </cell>
          <cell r="H1136" t="str">
            <v>Mooring Unmooring TB Abhiprama 107 / BG Alara 107</v>
          </cell>
          <cell r="I1136">
            <v>2000000</v>
          </cell>
          <cell r="K1136">
            <v>23</v>
          </cell>
          <cell r="M1136">
            <v>-40000</v>
          </cell>
          <cell r="N1136">
            <v>2500</v>
          </cell>
          <cell r="P1136">
            <v>1962500</v>
          </cell>
          <cell r="Q1136">
            <v>46294</v>
          </cell>
        </row>
        <row r="1137">
          <cell r="B1137" t="str">
            <v>110/K/IX/26</v>
          </cell>
          <cell r="C1137">
            <v>46294</v>
          </cell>
          <cell r="E1137" t="str">
            <v>PT MARITIM INDO RAYA</v>
          </cell>
          <cell r="F1137" t="str">
            <v>094A/INV/MIR-MAR/VIII/2026</v>
          </cell>
          <cell r="G1137" t="str">
            <v>951/OPS-IX/2026</v>
          </cell>
          <cell r="H1137" t="str">
            <v>Biaya dispensasi dokumen kargo BG Kalya 105</v>
          </cell>
          <cell r="I1137">
            <v>1000000</v>
          </cell>
          <cell r="K1137">
            <v>0</v>
          </cell>
          <cell r="M1137">
            <v>0</v>
          </cell>
          <cell r="P1137">
            <v>1000000</v>
          </cell>
          <cell r="Q1137">
            <v>46294</v>
          </cell>
        </row>
        <row r="1138">
          <cell r="B1138" t="str">
            <v>110/K/IX/26</v>
          </cell>
          <cell r="C1138">
            <v>46294</v>
          </cell>
          <cell r="D1138" t="str">
            <v>2606PP36Q</v>
          </cell>
          <cell r="E1138" t="str">
            <v>PT MARITIM INDO RAYA</v>
          </cell>
          <cell r="F1138" t="str">
            <v>092/INV/MIR-MAR/VIII/2026</v>
          </cell>
          <cell r="G1138" t="str">
            <v>953/OPS-IX/2026</v>
          </cell>
          <cell r="H1138" t="str">
            <v>Biaya keagenan TB APL 7 / BG Baiduri 70273</v>
          </cell>
          <cell r="I1138">
            <v>80250632</v>
          </cell>
          <cell r="J1138">
            <v>440000</v>
          </cell>
          <cell r="K1138">
            <v>0</v>
          </cell>
          <cell r="M1138">
            <v>-20000</v>
          </cell>
          <cell r="P1138">
            <v>80670632</v>
          </cell>
          <cell r="Q1138">
            <v>46294</v>
          </cell>
        </row>
        <row r="1139">
          <cell r="B1139" t="str">
            <v>110/K/IX/26</v>
          </cell>
          <cell r="C1139">
            <v>46294</v>
          </cell>
          <cell r="D1139" t="str">
            <v>2605KBRC8</v>
          </cell>
          <cell r="E1139" t="str">
            <v>PT MARITIM INDO RAYA</v>
          </cell>
          <cell r="F1139" t="str">
            <v>075/INV/MIR-MAR/VI/2026</v>
          </cell>
          <cell r="G1139" t="str">
            <v>954/OPS-IX/2026</v>
          </cell>
          <cell r="H1139" t="str">
            <v>Baya keagenan TB Abhiprama 107 / BG Alara 107</v>
          </cell>
          <cell r="I1139">
            <v>25694134</v>
          </cell>
          <cell r="J1139">
            <v>440000</v>
          </cell>
          <cell r="K1139">
            <v>0</v>
          </cell>
          <cell r="M1139">
            <v>-20000</v>
          </cell>
          <cell r="P1139">
            <v>26114134</v>
          </cell>
          <cell r="Q1139">
            <v>46294</v>
          </cell>
        </row>
        <row r="1140">
          <cell r="B1140" t="str">
            <v>111/K/IX/26</v>
          </cell>
          <cell r="C1140">
            <v>46294</v>
          </cell>
          <cell r="E1140" t="str">
            <v>PT OMEGA PERSADA EMAS</v>
          </cell>
          <cell r="F1140" t="str">
            <v>128-3/FDA/IX.9/OPE2026</v>
          </cell>
          <cell r="G1140" t="str">
            <v>972/OPS-IX/2026</v>
          </cell>
          <cell r="H1140" t="str">
            <v>Biaya penerbitan SSEC TB Ocean Power 21 / BG Angeline 219-05</v>
          </cell>
          <cell r="I1140">
            <v>1500000</v>
          </cell>
          <cell r="K1140">
            <v>0</v>
          </cell>
          <cell r="M1140">
            <v>0</v>
          </cell>
          <cell r="N1140">
            <v>2500</v>
          </cell>
          <cell r="P1140">
            <v>1502500</v>
          </cell>
          <cell r="Q1140">
            <v>46294</v>
          </cell>
        </row>
        <row r="1141">
          <cell r="B1141" t="str">
            <v>111/K/IX/26</v>
          </cell>
          <cell r="C1141">
            <v>46294</v>
          </cell>
          <cell r="D1141" t="str">
            <v>2606DSHER</v>
          </cell>
          <cell r="E1141" t="str">
            <v>PT OMEGA PERSADA EMAS</v>
          </cell>
          <cell r="F1141" t="str">
            <v>128-1/FDA/IX.9/OPE2026</v>
          </cell>
          <cell r="G1141" t="str">
            <v>973/OPS-IX/2026</v>
          </cell>
          <cell r="H1141" t="str">
            <v>Biaya keagenan TB Ocean Power 21 / BG Angeline 219-05 Voy 182-D Port Balikpapan</v>
          </cell>
          <cell r="I1141">
            <v>3500000</v>
          </cell>
          <cell r="J1141">
            <v>385000</v>
          </cell>
          <cell r="K1141">
            <v>23</v>
          </cell>
          <cell r="M1141">
            <v>-70000</v>
          </cell>
          <cell r="P1141">
            <v>3815000</v>
          </cell>
          <cell r="Q1141">
            <v>46294</v>
          </cell>
        </row>
        <row r="1142">
          <cell r="B1142" t="str">
            <v>111/K/IX/26</v>
          </cell>
          <cell r="C1142">
            <v>46294</v>
          </cell>
          <cell r="E1142" t="str">
            <v>PT OMEGA PERSADA EMAS</v>
          </cell>
          <cell r="F1142" t="str">
            <v>128-2/DN/IX.9/OPE2026</v>
          </cell>
          <cell r="G1142" t="str">
            <v>974/OPS-IX/2026</v>
          </cell>
          <cell r="H1142" t="str">
            <v>Biaya clearance In &amp; Out TB Ocean Power 21 / BG Angeline 219-05 Voy 182-D Port Balikpapan</v>
          </cell>
          <cell r="I1142">
            <v>21404288</v>
          </cell>
          <cell r="K1142">
            <v>0</v>
          </cell>
          <cell r="M1142">
            <v>0</v>
          </cell>
          <cell r="P1142">
            <v>21404288</v>
          </cell>
          <cell r="Q1142">
            <v>46294</v>
          </cell>
        </row>
        <row r="1143">
          <cell r="B1143" t="str">
            <v>112/K/IX/26</v>
          </cell>
          <cell r="C1143">
            <v>46294</v>
          </cell>
          <cell r="D1143" t="str">
            <v>26060XAHN</v>
          </cell>
          <cell r="E1143" t="str">
            <v>PT SINARMAS LDA USAHA PELABUHAN</v>
          </cell>
          <cell r="F1143" t="str">
            <v>CI26-05417</v>
          </cell>
          <cell r="G1143" t="str">
            <v>962/OPS-IX/2026</v>
          </cell>
          <cell r="H1143" t="str">
            <v>Pilotage &amp; Towing tarif fixed TB APL 7 / BG Baiduri 70273 Voy. 175-D Port Paiton</v>
          </cell>
          <cell r="I1143">
            <v>21499789.5</v>
          </cell>
          <cell r="K1143">
            <v>23</v>
          </cell>
          <cell r="M1143">
            <v>-429995.79000000004</v>
          </cell>
          <cell r="N1143">
            <v>2500</v>
          </cell>
          <cell r="O1143">
            <v>429806</v>
          </cell>
          <cell r="P1143">
            <v>21502099.710000001</v>
          </cell>
          <cell r="Q1143">
            <v>46294</v>
          </cell>
        </row>
        <row r="1144">
          <cell r="B1144" t="str">
            <v>113/K/IX/26</v>
          </cell>
          <cell r="C1144">
            <v>46294</v>
          </cell>
          <cell r="E1144" t="str">
            <v>PT DAIDAN UTAMA PIALANG ASURANSI</v>
          </cell>
          <cell r="F1144" t="str">
            <v>1473/CPNI/07/26</v>
          </cell>
          <cell r="G1144" t="str">
            <v>968/OPS-IX/2026</v>
          </cell>
          <cell r="H1144" t="str">
            <v>Insurance P&amp;I TB Ocean Power 21 / BG Angeline 219-06</v>
          </cell>
          <cell r="I1144">
            <v>27300625</v>
          </cell>
          <cell r="K1144">
            <v>0</v>
          </cell>
          <cell r="M1144">
            <v>0</v>
          </cell>
          <cell r="N1144">
            <v>541290</v>
          </cell>
          <cell r="P1144">
            <v>27841915</v>
          </cell>
          <cell r="Q1144">
            <v>46294</v>
          </cell>
        </row>
        <row r="1145">
          <cell r="B1145" t="str">
            <v>114/K/IX/26</v>
          </cell>
          <cell r="C1145">
            <v>46295</v>
          </cell>
          <cell r="E1145" t="str">
            <v>CREW ENTEBE STAR 30 / FINACIA 71</v>
          </cell>
          <cell r="G1145" t="str">
            <v>458/PV-MAR/2026</v>
          </cell>
          <cell r="H1145" t="str">
            <v>Gaji crew Entebe Star 30 / Finacia 71 periode September 2026</v>
          </cell>
          <cell r="I1145">
            <v>68500000</v>
          </cell>
          <cell r="K1145">
            <v>0</v>
          </cell>
          <cell r="M1145">
            <v>0</v>
          </cell>
          <cell r="N1145">
            <v>26000</v>
          </cell>
          <cell r="P1145">
            <v>68526000</v>
          </cell>
          <cell r="Q1145">
            <v>46295</v>
          </cell>
        </row>
        <row r="1146">
          <cell r="B1146" t="str">
            <v>115/K/IX/26</v>
          </cell>
          <cell r="C1146">
            <v>46295</v>
          </cell>
          <cell r="E1146" t="str">
            <v>CREW MICHELLE 219-08 / ANGELINE 219-08</v>
          </cell>
          <cell r="G1146" t="str">
            <v>460/PV-MAR/2026</v>
          </cell>
          <cell r="H1146" t="str">
            <v>Gaji crew Michelle 219-08 / Angeline 219-08 periode September 2026</v>
          </cell>
          <cell r="I1146">
            <v>68500000</v>
          </cell>
          <cell r="K1146">
            <v>0</v>
          </cell>
          <cell r="M1146">
            <v>0</v>
          </cell>
          <cell r="N1146">
            <v>19500</v>
          </cell>
          <cell r="P1146">
            <v>68519500</v>
          </cell>
          <cell r="Q1146">
            <v>46295</v>
          </cell>
        </row>
        <row r="1147">
          <cell r="B1147" t="str">
            <v>116/K/IX/26</v>
          </cell>
          <cell r="C1147">
            <v>46295</v>
          </cell>
          <cell r="E1147" t="str">
            <v>CREW OCEAN POWER 21 / BG ANGELINE 219-05</v>
          </cell>
          <cell r="G1147" t="str">
            <v>461/PV-MAR/2026</v>
          </cell>
          <cell r="H1147" t="str">
            <v>Gaji crew Ocean Power 21 / Angeline 219-05 periode September 2026</v>
          </cell>
          <cell r="I1147">
            <v>68341666</v>
          </cell>
          <cell r="K1147">
            <v>0</v>
          </cell>
          <cell r="M1147">
            <v>0</v>
          </cell>
          <cell r="N1147">
            <v>32500</v>
          </cell>
          <cell r="P1147">
            <v>68374166</v>
          </cell>
          <cell r="Q1147">
            <v>46295</v>
          </cell>
        </row>
        <row r="1148">
          <cell r="B1148" t="str">
            <v>117/K/IX/26</v>
          </cell>
          <cell r="C1148">
            <v>46295</v>
          </cell>
          <cell r="E1148" t="str">
            <v>YUDIANTO</v>
          </cell>
          <cell r="G1148" t="str">
            <v>462/PV-MAR/2026</v>
          </cell>
          <cell r="H1148" t="str">
            <v>Uang makan crew Entebe Star 30 / Finacia 71 periode Oktober 2026</v>
          </cell>
          <cell r="I1148">
            <v>17050000</v>
          </cell>
          <cell r="K1148">
            <v>0</v>
          </cell>
          <cell r="M1148">
            <v>0</v>
          </cell>
          <cell r="P1148">
            <v>17050000</v>
          </cell>
          <cell r="Q1148">
            <v>46295</v>
          </cell>
        </row>
        <row r="1149">
          <cell r="B1149" t="str">
            <v>118/K/IX/26</v>
          </cell>
          <cell r="C1149">
            <v>46295</v>
          </cell>
          <cell r="E1149" t="str">
            <v>ANDI ARMAN</v>
          </cell>
          <cell r="G1149" t="str">
            <v>464/PV-MAR/2026</v>
          </cell>
          <cell r="H1149" t="str">
            <v>Uang makan crew Michelle 219-08 / Angeline 219-08 periode Oktober 2026</v>
          </cell>
          <cell r="I1149">
            <v>17050000</v>
          </cell>
          <cell r="K1149">
            <v>0</v>
          </cell>
          <cell r="M1149">
            <v>0</v>
          </cell>
          <cell r="N1149">
            <v>2500</v>
          </cell>
          <cell r="P1149">
            <v>17052500</v>
          </cell>
          <cell r="Q1149">
            <v>46295</v>
          </cell>
        </row>
        <row r="1150">
          <cell r="B1150" t="str">
            <v>119/K/IX/26</v>
          </cell>
          <cell r="C1150">
            <v>46295</v>
          </cell>
          <cell r="E1150" t="str">
            <v>BUDI KAHANA</v>
          </cell>
          <cell r="G1150" t="str">
            <v>465/PV-MAR/2026</v>
          </cell>
          <cell r="H1150" t="str">
            <v>Uang makan crew Ocean Power 21 / Angeline 219-05 periode Oktober 2026</v>
          </cell>
          <cell r="I1150">
            <v>17050000</v>
          </cell>
          <cell r="K1150">
            <v>0</v>
          </cell>
          <cell r="M1150">
            <v>0</v>
          </cell>
          <cell r="P1150">
            <v>17050000</v>
          </cell>
          <cell r="Q1150">
            <v>46295</v>
          </cell>
        </row>
        <row r="1152">
          <cell r="B1152" t="str">
            <v>001/K/X/26</v>
          </cell>
          <cell r="C1152">
            <v>46296</v>
          </cell>
          <cell r="E1152" t="str">
            <v>PT SAMUGARA MULTIKARYA UTAMA</v>
          </cell>
          <cell r="F1152" t="str">
            <v>095/INV/SMU/IX/2026</v>
          </cell>
          <cell r="G1152" t="str">
            <v>984/OPS-IX/2026</v>
          </cell>
          <cell r="H1152" t="str">
            <v>DP Pekerjaan Docking Kapal BG Finacia 96 (30%)</v>
          </cell>
          <cell r="I1152">
            <v>564529938</v>
          </cell>
          <cell r="J1152">
            <v>62098293.18</v>
          </cell>
          <cell r="K1152">
            <v>0</v>
          </cell>
          <cell r="M1152">
            <v>0</v>
          </cell>
          <cell r="N1152">
            <v>15000</v>
          </cell>
          <cell r="P1152">
            <v>626643231.17999995</v>
          </cell>
          <cell r="Q1152">
            <v>46296</v>
          </cell>
        </row>
        <row r="1153">
          <cell r="B1153" t="str">
            <v>002/K/X/26</v>
          </cell>
          <cell r="C1153">
            <v>46296</v>
          </cell>
          <cell r="E1153" t="str">
            <v>PT SAMUGARA MULTIKARYA UTAMA</v>
          </cell>
          <cell r="F1153" t="str">
            <v>096/INV/SMU/IX/2026</v>
          </cell>
          <cell r="G1153" t="str">
            <v>985/OPS-IX/2026</v>
          </cell>
          <cell r="H1153" t="str">
            <v>DP Pekerjaan Docking Kapal TB Surya Segara 3 (30%)</v>
          </cell>
          <cell r="I1153">
            <v>189086445</v>
          </cell>
          <cell r="J1153">
            <v>20799508.949999999</v>
          </cell>
          <cell r="K1153">
            <v>0</v>
          </cell>
          <cell r="M1153">
            <v>0</v>
          </cell>
          <cell r="N1153">
            <v>15000</v>
          </cell>
          <cell r="P1153">
            <v>209900953.94999999</v>
          </cell>
          <cell r="Q1153">
            <v>46296</v>
          </cell>
        </row>
        <row r="1154">
          <cell r="B1154" t="str">
            <v>003/K/X/26</v>
          </cell>
          <cell r="C1154">
            <v>46297</v>
          </cell>
          <cell r="E1154" t="str">
            <v>PT ARGHANIAGA PANCATUNGGAL</v>
          </cell>
          <cell r="F1154" t="str">
            <v>056/APT-CLG/IX/2026</v>
          </cell>
          <cell r="G1154" t="str">
            <v>986/OPS-IX/2026</v>
          </cell>
          <cell r="H1154" t="str">
            <v>Biosolar (B50) TB APL 7 Voy 193-L Port Palembang</v>
          </cell>
          <cell r="I1154">
            <v>1236486750</v>
          </cell>
          <cell r="J1154">
            <v>136013543</v>
          </cell>
          <cell r="K1154">
            <v>0</v>
          </cell>
          <cell r="M1154">
            <v>0</v>
          </cell>
          <cell r="O1154">
            <v>-293</v>
          </cell>
          <cell r="P1154">
            <v>1372500000</v>
          </cell>
          <cell r="Q1154">
            <v>46297</v>
          </cell>
        </row>
        <row r="1155">
          <cell r="B1155" t="str">
            <v>004/K/X/26</v>
          </cell>
          <cell r="C1155">
            <v>46297</v>
          </cell>
          <cell r="E1155" t="str">
            <v>CREW OCEAN POWER 21 / BG ANGELINE 219-05</v>
          </cell>
          <cell r="G1155" t="str">
            <v>459/PV-MAR/2026</v>
          </cell>
          <cell r="H1155" t="str">
            <v>Reimbursement crew Ocean Power 21 / Angeline 219-05 periode Juni 2026</v>
          </cell>
          <cell r="I1155">
            <v>23496287</v>
          </cell>
          <cell r="K1155">
            <v>0</v>
          </cell>
          <cell r="M1155">
            <v>0</v>
          </cell>
          <cell r="N1155">
            <v>19500</v>
          </cell>
          <cell r="P1155">
            <v>23515787</v>
          </cell>
          <cell r="Q1155">
            <v>46297</v>
          </cell>
        </row>
        <row r="1156">
          <cell r="B1156" t="str">
            <v>005/K/X/26</v>
          </cell>
          <cell r="C1156">
            <v>46297</v>
          </cell>
          <cell r="E1156" t="str">
            <v>BINA SARANA INFORMATIKA</v>
          </cell>
          <cell r="F1156" t="str">
            <v>291.02/Y-BSI/IX/2026</v>
          </cell>
          <cell r="G1156" t="str">
            <v>463/PV-MAR/2026</v>
          </cell>
          <cell r="H1156" t="str">
            <v>Parkir member Graha MIR periode 10/10 s.d 09/11 2026</v>
          </cell>
          <cell r="I1156">
            <v>3900000</v>
          </cell>
          <cell r="K1156">
            <v>0</v>
          </cell>
          <cell r="M1156">
            <v>0</v>
          </cell>
          <cell r="N1156">
            <v>2500</v>
          </cell>
          <cell r="P1156">
            <v>3902500</v>
          </cell>
          <cell r="Q1156">
            <v>46297</v>
          </cell>
        </row>
        <row r="1157">
          <cell r="B1157" t="str">
            <v>006/K/X/26</v>
          </cell>
          <cell r="C1157">
            <v>46297</v>
          </cell>
          <cell r="E1157" t="str">
            <v>CREW SURYA SEGARA 3 / FINACIA 96</v>
          </cell>
          <cell r="G1157" t="str">
            <v>466/PV-MAR/2026</v>
          </cell>
          <cell r="H1157" t="str">
            <v>Gaji crew Surya Segara 3 / Finacia 96 periode September 2026</v>
          </cell>
          <cell r="I1157">
            <v>39641667</v>
          </cell>
          <cell r="K1157">
            <v>0</v>
          </cell>
          <cell r="M1157">
            <v>0</v>
          </cell>
          <cell r="N1157">
            <v>39000</v>
          </cell>
          <cell r="O1157">
            <v>-1</v>
          </cell>
          <cell r="P1157">
            <v>39680666</v>
          </cell>
          <cell r="Q1157">
            <v>46297</v>
          </cell>
        </row>
        <row r="1158">
          <cell r="B1158" t="str">
            <v>007/K/X/26</v>
          </cell>
          <cell r="C1158">
            <v>46297</v>
          </cell>
          <cell r="E1158" t="str">
            <v>ANDI ARDI SAID</v>
          </cell>
          <cell r="G1158" t="str">
            <v>467/PV-MAR/2026</v>
          </cell>
          <cell r="H1158" t="str">
            <v>Uang makan crew Surya Segara 3 / Finacia 96 periode Oktober 2026</v>
          </cell>
          <cell r="I1158">
            <v>10835000</v>
          </cell>
          <cell r="K1158">
            <v>0</v>
          </cell>
          <cell r="M1158">
            <v>0</v>
          </cell>
          <cell r="N1158">
            <v>2500</v>
          </cell>
          <cell r="P1158">
            <v>10837500</v>
          </cell>
          <cell r="Q1158">
            <v>46297</v>
          </cell>
        </row>
        <row r="1159">
          <cell r="B1159" t="str">
            <v>008/K/X/26</v>
          </cell>
          <cell r="C1159">
            <v>46297</v>
          </cell>
          <cell r="E1159" t="str">
            <v>CREW MICHELLE 219-08 / ANGELINE 219-08</v>
          </cell>
          <cell r="G1159" t="str">
            <v>468/PV-MAR/2026</v>
          </cell>
          <cell r="H1159" t="str">
            <v>Reimbursement Michelle 219-08 / Angeline 219-08 periode Mei 2026</v>
          </cell>
          <cell r="I1159">
            <v>6354221</v>
          </cell>
          <cell r="K1159">
            <v>0</v>
          </cell>
          <cell r="M1159">
            <v>0</v>
          </cell>
          <cell r="N1159">
            <v>6500</v>
          </cell>
          <cell r="P1159">
            <v>6360721</v>
          </cell>
          <cell r="Q1159">
            <v>46297</v>
          </cell>
        </row>
        <row r="1160">
          <cell r="B1160" t="str">
            <v>009/K/X/26</v>
          </cell>
          <cell r="C1160">
            <v>46297</v>
          </cell>
          <cell r="E1160" t="str">
            <v>CREW SURYA SEGARA 3 / FINACIA 96</v>
          </cell>
          <cell r="G1160" t="str">
            <v>469/PV-MAR/2026</v>
          </cell>
          <cell r="H1160" t="str">
            <v>Reimbursement crew Surya Segara 3 / Finacia 96 periode Mei 2026</v>
          </cell>
          <cell r="I1160">
            <v>6881896</v>
          </cell>
          <cell r="K1160">
            <v>0</v>
          </cell>
          <cell r="M1160">
            <v>0</v>
          </cell>
          <cell r="N1160">
            <v>19500</v>
          </cell>
          <cell r="P1160">
            <v>6901396</v>
          </cell>
          <cell r="Q1160">
            <v>46297</v>
          </cell>
        </row>
        <row r="1161">
          <cell r="B1161" t="str">
            <v>010/K/X/26</v>
          </cell>
          <cell r="C1161">
            <v>46297</v>
          </cell>
          <cell r="E1161" t="str">
            <v>ZULFADHLI JUSUF</v>
          </cell>
          <cell r="G1161" t="str">
            <v>470/PV-MAR/2026</v>
          </cell>
          <cell r="H1161" t="str">
            <v>Biaya operasional - penggantian dana talangan</v>
          </cell>
          <cell r="I1161">
            <v>500000000</v>
          </cell>
          <cell r="K1161">
            <v>0</v>
          </cell>
          <cell r="M1161">
            <v>0</v>
          </cell>
          <cell r="P1161">
            <v>500000000</v>
          </cell>
          <cell r="Q1161">
            <v>46297</v>
          </cell>
        </row>
        <row r="1162">
          <cell r="K1162">
            <v>0</v>
          </cell>
          <cell r="M1162">
            <v>0</v>
          </cell>
          <cell r="P1162">
            <v>0</v>
          </cell>
        </row>
        <row r="1163">
          <cell r="K1163">
            <v>0</v>
          </cell>
          <cell r="M1163">
            <v>0</v>
          </cell>
          <cell r="P1163">
            <v>0</v>
          </cell>
        </row>
        <row r="1164">
          <cell r="K1164">
            <v>0</v>
          </cell>
          <cell r="M1164">
            <v>0</v>
          </cell>
          <cell r="P1164">
            <v>0</v>
          </cell>
        </row>
        <row r="1165">
          <cell r="K1165">
            <v>0</v>
          </cell>
          <cell r="M1165">
            <v>0</v>
          </cell>
          <cell r="P1165">
            <v>0</v>
          </cell>
        </row>
        <row r="1166">
          <cell r="K1166">
            <v>0</v>
          </cell>
          <cell r="M1166">
            <v>0</v>
          </cell>
          <cell r="P1166">
            <v>0</v>
          </cell>
        </row>
        <row r="1167">
          <cell r="K1167">
            <v>0</v>
          </cell>
          <cell r="M1167">
            <v>0</v>
          </cell>
          <cell r="P1167">
            <v>0</v>
          </cell>
        </row>
        <row r="1168">
          <cell r="K1168">
            <v>0</v>
          </cell>
          <cell r="M1168">
            <v>0</v>
          </cell>
          <cell r="P1168">
            <v>0</v>
          </cell>
        </row>
        <row r="1169">
          <cell r="K1169">
            <v>0</v>
          </cell>
          <cell r="M1169">
            <v>0</v>
          </cell>
          <cell r="P1169">
            <v>0</v>
          </cell>
        </row>
        <row r="1170">
          <cell r="K1170">
            <v>0</v>
          </cell>
          <cell r="M1170">
            <v>0</v>
          </cell>
          <cell r="P1170">
            <v>0</v>
          </cell>
        </row>
        <row r="1171">
          <cell r="K1171">
            <v>0</v>
          </cell>
          <cell r="M1171">
            <v>0</v>
          </cell>
          <cell r="P1171">
            <v>0</v>
          </cell>
        </row>
        <row r="1172">
          <cell r="K1172">
            <v>0</v>
          </cell>
          <cell r="M1172">
            <v>0</v>
          </cell>
          <cell r="P1172">
            <v>0</v>
          </cell>
        </row>
        <row r="1173">
          <cell r="K1173">
            <v>0</v>
          </cell>
          <cell r="M1173">
            <v>0</v>
          </cell>
          <cell r="P1173">
            <v>0</v>
          </cell>
        </row>
        <row r="1174">
          <cell r="K1174">
            <v>0</v>
          </cell>
          <cell r="M1174">
            <v>0</v>
          </cell>
          <cell r="P1174">
            <v>0</v>
          </cell>
        </row>
        <row r="1175">
          <cell r="K1175">
            <v>0</v>
          </cell>
          <cell r="M1175">
            <v>0</v>
          </cell>
          <cell r="P1175">
            <v>0</v>
          </cell>
        </row>
        <row r="1176">
          <cell r="K1176">
            <v>0</v>
          </cell>
          <cell r="M1176">
            <v>0</v>
          </cell>
          <cell r="P1176">
            <v>0</v>
          </cell>
        </row>
        <row r="1177">
          <cell r="K1177">
            <v>0</v>
          </cell>
          <cell r="M1177">
            <v>0</v>
          </cell>
          <cell r="P1177">
            <v>0</v>
          </cell>
        </row>
        <row r="1178">
          <cell r="K1178">
            <v>0</v>
          </cell>
          <cell r="M1178">
            <v>0</v>
          </cell>
          <cell r="P1178">
            <v>0</v>
          </cell>
        </row>
        <row r="1179">
          <cell r="K1179">
            <v>0</v>
          </cell>
          <cell r="M1179">
            <v>0</v>
          </cell>
          <cell r="P1179">
            <v>0</v>
          </cell>
        </row>
        <row r="1180">
          <cell r="K1180">
            <v>0</v>
          </cell>
          <cell r="M1180">
            <v>0</v>
          </cell>
          <cell r="P1180">
            <v>0</v>
          </cell>
        </row>
        <row r="1181">
          <cell r="K1181">
            <v>0</v>
          </cell>
          <cell r="M1181">
            <v>0</v>
          </cell>
          <cell r="P1181">
            <v>0</v>
          </cell>
        </row>
        <row r="1182">
          <cell r="K1182">
            <v>0</v>
          </cell>
          <cell r="M1182">
            <v>0</v>
          </cell>
          <cell r="P1182">
            <v>0</v>
          </cell>
        </row>
        <row r="1183">
          <cell r="K1183">
            <v>0</v>
          </cell>
          <cell r="M1183">
            <v>0</v>
          </cell>
          <cell r="P1183">
            <v>0</v>
          </cell>
        </row>
        <row r="1184">
          <cell r="K1184">
            <v>0</v>
          </cell>
          <cell r="M1184">
            <v>0</v>
          </cell>
          <cell r="P1184">
            <v>0</v>
          </cell>
        </row>
        <row r="1185">
          <cell r="K1185">
            <v>0</v>
          </cell>
          <cell r="M1185">
            <v>0</v>
          </cell>
          <cell r="P1185">
            <v>0</v>
          </cell>
        </row>
        <row r="1186">
          <cell r="K1186">
            <v>0</v>
          </cell>
          <cell r="M1186">
            <v>0</v>
          </cell>
          <cell r="P1186">
            <v>0</v>
          </cell>
        </row>
        <row r="1187">
          <cell r="K1187">
            <v>0</v>
          </cell>
          <cell r="M1187">
            <v>0</v>
          </cell>
          <cell r="P1187">
            <v>0</v>
          </cell>
        </row>
        <row r="1188">
          <cell r="K1188">
            <v>0</v>
          </cell>
          <cell r="M1188">
            <v>0</v>
          </cell>
          <cell r="P1188">
            <v>0</v>
          </cell>
        </row>
        <row r="1189">
          <cell r="K1189">
            <v>0</v>
          </cell>
          <cell r="M1189">
            <v>0</v>
          </cell>
          <cell r="P1189">
            <v>0</v>
          </cell>
        </row>
        <row r="1190">
          <cell r="K1190">
            <v>0</v>
          </cell>
          <cell r="M1190">
            <v>0</v>
          </cell>
          <cell r="P1190">
            <v>0</v>
          </cell>
        </row>
        <row r="1191">
          <cell r="K1191">
            <v>0</v>
          </cell>
          <cell r="M1191">
            <v>0</v>
          </cell>
          <cell r="P1191">
            <v>0</v>
          </cell>
        </row>
        <row r="1192">
          <cell r="K1192">
            <v>0</v>
          </cell>
          <cell r="M1192">
            <v>0</v>
          </cell>
          <cell r="P1192">
            <v>0</v>
          </cell>
        </row>
        <row r="1193">
          <cell r="K1193">
            <v>0</v>
          </cell>
          <cell r="M1193">
            <v>0</v>
          </cell>
          <cell r="P1193">
            <v>0</v>
          </cell>
        </row>
        <row r="1194">
          <cell r="K1194">
            <v>0</v>
          </cell>
          <cell r="M1194">
            <v>0</v>
          </cell>
          <cell r="P1194">
            <v>0</v>
          </cell>
        </row>
        <row r="1195">
          <cell r="K1195">
            <v>0</v>
          </cell>
          <cell r="M1195">
            <v>0</v>
          </cell>
          <cell r="P1195">
            <v>0</v>
          </cell>
        </row>
        <row r="1196">
          <cell r="K1196">
            <v>0</v>
          </cell>
          <cell r="M1196">
            <v>0</v>
          </cell>
          <cell r="P1196">
            <v>0</v>
          </cell>
        </row>
        <row r="1197">
          <cell r="K1197">
            <v>0</v>
          </cell>
          <cell r="M1197">
            <v>0</v>
          </cell>
          <cell r="P1197">
            <v>0</v>
          </cell>
        </row>
        <row r="1198">
          <cell r="K1198">
            <v>0</v>
          </cell>
          <cell r="M1198">
            <v>0</v>
          </cell>
          <cell r="P1198">
            <v>0</v>
          </cell>
        </row>
        <row r="1199">
          <cell r="K1199">
            <v>0</v>
          </cell>
          <cell r="M1199">
            <v>0</v>
          </cell>
          <cell r="P1199">
            <v>0</v>
          </cell>
        </row>
        <row r="1200">
          <cell r="K1200">
            <v>0</v>
          </cell>
          <cell r="M1200">
            <v>0</v>
          </cell>
          <cell r="P1200">
            <v>0</v>
          </cell>
        </row>
        <row r="1201">
          <cell r="K1201">
            <v>0</v>
          </cell>
          <cell r="M1201">
            <v>0</v>
          </cell>
          <cell r="P1201">
            <v>0</v>
          </cell>
        </row>
        <row r="1202">
          <cell r="K1202">
            <v>0</v>
          </cell>
          <cell r="M1202">
            <v>0</v>
          </cell>
          <cell r="P1202">
            <v>0</v>
          </cell>
        </row>
        <row r="1203">
          <cell r="K1203">
            <v>0</v>
          </cell>
          <cell r="M1203">
            <v>0</v>
          </cell>
          <cell r="P1203">
            <v>0</v>
          </cell>
        </row>
        <row r="1204">
          <cell r="K1204">
            <v>0</v>
          </cell>
          <cell r="M1204">
            <v>0</v>
          </cell>
          <cell r="P1204">
            <v>0</v>
          </cell>
        </row>
        <row r="1205">
          <cell r="K1205">
            <v>0</v>
          </cell>
          <cell r="M1205">
            <v>0</v>
          </cell>
          <cell r="P1205">
            <v>0</v>
          </cell>
        </row>
        <row r="1206">
          <cell r="K1206">
            <v>0</v>
          </cell>
          <cell r="M1206">
            <v>0</v>
          </cell>
          <cell r="P1206">
            <v>0</v>
          </cell>
        </row>
        <row r="1207">
          <cell r="K1207">
            <v>0</v>
          </cell>
          <cell r="M1207">
            <v>0</v>
          </cell>
          <cell r="P1207">
            <v>0</v>
          </cell>
        </row>
        <row r="1208">
          <cell r="K1208">
            <v>0</v>
          </cell>
          <cell r="M1208">
            <v>0</v>
          </cell>
          <cell r="P1208">
            <v>0</v>
          </cell>
        </row>
        <row r="1209">
          <cell r="K1209">
            <v>0</v>
          </cell>
          <cell r="M1209">
            <v>0</v>
          </cell>
          <cell r="P1209">
            <v>0</v>
          </cell>
        </row>
        <row r="1210">
          <cell r="K1210">
            <v>0</v>
          </cell>
          <cell r="M1210">
            <v>0</v>
          </cell>
          <cell r="P1210">
            <v>0</v>
          </cell>
        </row>
        <row r="1211">
          <cell r="K1211">
            <v>0</v>
          </cell>
          <cell r="M1211">
            <v>0</v>
          </cell>
          <cell r="P1211">
            <v>0</v>
          </cell>
        </row>
        <row r="1212">
          <cell r="K1212">
            <v>0</v>
          </cell>
          <cell r="M1212">
            <v>0</v>
          </cell>
          <cell r="P1212">
            <v>0</v>
          </cell>
        </row>
        <row r="1213">
          <cell r="K1213">
            <v>0</v>
          </cell>
          <cell r="M1213">
            <v>0</v>
          </cell>
          <cell r="P1213">
            <v>0</v>
          </cell>
        </row>
        <row r="1214">
          <cell r="K1214">
            <v>0</v>
          </cell>
          <cell r="M1214">
            <v>0</v>
          </cell>
          <cell r="P1214">
            <v>0</v>
          </cell>
        </row>
        <row r="1215">
          <cell r="K1215">
            <v>0</v>
          </cell>
          <cell r="M1215">
            <v>0</v>
          </cell>
          <cell r="P1215">
            <v>0</v>
          </cell>
        </row>
        <row r="1216">
          <cell r="K1216">
            <v>0</v>
          </cell>
          <cell r="M1216">
            <v>0</v>
          </cell>
          <cell r="P1216">
            <v>0</v>
          </cell>
        </row>
        <row r="1217">
          <cell r="K1217">
            <v>0</v>
          </cell>
          <cell r="M1217">
            <v>0</v>
          </cell>
          <cell r="P1217">
            <v>0</v>
          </cell>
        </row>
        <row r="1218">
          <cell r="K1218">
            <v>0</v>
          </cell>
          <cell r="M1218">
            <v>0</v>
          </cell>
          <cell r="P1218">
            <v>0</v>
          </cell>
        </row>
        <row r="1219">
          <cell r="K1219">
            <v>0</v>
          </cell>
          <cell r="M1219">
            <v>0</v>
          </cell>
          <cell r="P1219">
            <v>0</v>
          </cell>
        </row>
        <row r="1220">
          <cell r="K1220">
            <v>0</v>
          </cell>
          <cell r="M1220">
            <v>0</v>
          </cell>
          <cell r="P1220">
            <v>0</v>
          </cell>
        </row>
        <row r="1221">
          <cell r="K1221">
            <v>0</v>
          </cell>
          <cell r="M1221">
            <v>0</v>
          </cell>
          <cell r="P1221">
            <v>0</v>
          </cell>
        </row>
        <row r="1222">
          <cell r="K1222">
            <v>0</v>
          </cell>
          <cell r="M1222">
            <v>0</v>
          </cell>
          <cell r="P1222">
            <v>0</v>
          </cell>
        </row>
        <row r="1223">
          <cell r="K1223">
            <v>0</v>
          </cell>
          <cell r="M1223">
            <v>0</v>
          </cell>
          <cell r="P1223">
            <v>0</v>
          </cell>
        </row>
        <row r="1224">
          <cell r="K1224">
            <v>0</v>
          </cell>
          <cell r="M1224">
            <v>0</v>
          </cell>
          <cell r="P1224">
            <v>0</v>
          </cell>
        </row>
        <row r="1225">
          <cell r="K1225">
            <v>0</v>
          </cell>
          <cell r="M1225">
            <v>0</v>
          </cell>
          <cell r="P1225">
            <v>0</v>
          </cell>
        </row>
        <row r="1226">
          <cell r="K1226">
            <v>0</v>
          </cell>
          <cell r="M1226">
            <v>0</v>
          </cell>
          <cell r="P1226">
            <v>0</v>
          </cell>
        </row>
        <row r="1227">
          <cell r="K1227">
            <v>0</v>
          </cell>
          <cell r="M1227">
            <v>0</v>
          </cell>
          <cell r="P1227">
            <v>0</v>
          </cell>
        </row>
        <row r="1228">
          <cell r="K1228">
            <v>0</v>
          </cell>
          <cell r="M1228">
            <v>0</v>
          </cell>
          <cell r="P1228">
            <v>0</v>
          </cell>
        </row>
        <row r="1229">
          <cell r="K1229">
            <v>0</v>
          </cell>
          <cell r="M1229">
            <v>0</v>
          </cell>
          <cell r="P1229">
            <v>0</v>
          </cell>
        </row>
        <row r="1230">
          <cell r="K1230">
            <v>0</v>
          </cell>
          <cell r="M1230">
            <v>0</v>
          </cell>
          <cell r="P1230">
            <v>0</v>
          </cell>
        </row>
        <row r="1231">
          <cell r="K1231">
            <v>0</v>
          </cell>
          <cell r="M1231">
            <v>0</v>
          </cell>
          <cell r="P1231">
            <v>0</v>
          </cell>
        </row>
        <row r="1232">
          <cell r="K1232">
            <v>0</v>
          </cell>
          <cell r="M1232">
            <v>0</v>
          </cell>
          <cell r="P1232">
            <v>0</v>
          </cell>
        </row>
        <row r="1233">
          <cell r="K1233">
            <v>0</v>
          </cell>
          <cell r="M1233">
            <v>0</v>
          </cell>
          <cell r="P1233">
            <v>0</v>
          </cell>
        </row>
        <row r="1234">
          <cell r="K1234">
            <v>0</v>
          </cell>
          <cell r="M1234">
            <v>0</v>
          </cell>
          <cell r="P1234">
            <v>0</v>
          </cell>
        </row>
        <row r="1235">
          <cell r="K1235">
            <v>0</v>
          </cell>
          <cell r="M1235">
            <v>0</v>
          </cell>
          <cell r="P1235">
            <v>0</v>
          </cell>
        </row>
        <row r="1236">
          <cell r="K1236">
            <v>0</v>
          </cell>
          <cell r="M1236">
            <v>0</v>
          </cell>
          <cell r="P1236">
            <v>0</v>
          </cell>
        </row>
        <row r="1237">
          <cell r="K1237">
            <v>0</v>
          </cell>
          <cell r="M1237">
            <v>0</v>
          </cell>
          <cell r="P1237">
            <v>0</v>
          </cell>
        </row>
        <row r="1238">
          <cell r="K1238">
            <v>0</v>
          </cell>
          <cell r="M1238">
            <v>0</v>
          </cell>
          <cell r="P1238">
            <v>0</v>
          </cell>
        </row>
        <row r="1239">
          <cell r="K1239">
            <v>0</v>
          </cell>
          <cell r="M1239">
            <v>0</v>
          </cell>
          <cell r="P1239">
            <v>0</v>
          </cell>
        </row>
        <row r="1240">
          <cell r="K1240">
            <v>0</v>
          </cell>
          <cell r="M1240">
            <v>0</v>
          </cell>
          <cell r="P1240">
            <v>0</v>
          </cell>
        </row>
        <row r="1241">
          <cell r="K1241">
            <v>0</v>
          </cell>
          <cell r="M1241">
            <v>0</v>
          </cell>
          <cell r="P1241">
            <v>0</v>
          </cell>
        </row>
        <row r="1242">
          <cell r="K1242">
            <v>0</v>
          </cell>
          <cell r="M1242">
            <v>0</v>
          </cell>
          <cell r="P1242">
            <v>0</v>
          </cell>
        </row>
        <row r="1243">
          <cell r="K1243">
            <v>0</v>
          </cell>
          <cell r="M1243">
            <v>0</v>
          </cell>
          <cell r="P1243">
            <v>0</v>
          </cell>
        </row>
        <row r="1244">
          <cell r="K1244">
            <v>0</v>
          </cell>
          <cell r="M1244">
            <v>0</v>
          </cell>
          <cell r="P1244">
            <v>0</v>
          </cell>
        </row>
        <row r="1245">
          <cell r="K1245">
            <v>0</v>
          </cell>
          <cell r="M1245">
            <v>0</v>
          </cell>
          <cell r="P1245">
            <v>0</v>
          </cell>
        </row>
        <row r="1246">
          <cell r="K1246">
            <v>0</v>
          </cell>
          <cell r="M1246">
            <v>0</v>
          </cell>
          <cell r="P1246">
            <v>0</v>
          </cell>
        </row>
        <row r="1247">
          <cell r="K1247">
            <v>0</v>
          </cell>
          <cell r="M1247">
            <v>0</v>
          </cell>
          <cell r="P1247">
            <v>0</v>
          </cell>
        </row>
        <row r="1248">
          <cell r="K1248">
            <v>0</v>
          </cell>
          <cell r="M1248">
            <v>0</v>
          </cell>
          <cell r="P1248">
            <v>0</v>
          </cell>
        </row>
        <row r="1249">
          <cell r="K1249">
            <v>0</v>
          </cell>
          <cell r="M1249">
            <v>0</v>
          </cell>
          <cell r="P1249">
            <v>0</v>
          </cell>
        </row>
        <row r="1250">
          <cell r="K1250">
            <v>0</v>
          </cell>
          <cell r="M1250">
            <v>0</v>
          </cell>
          <cell r="P1250">
            <v>0</v>
          </cell>
        </row>
        <row r="1251">
          <cell r="K1251">
            <v>0</v>
          </cell>
          <cell r="M1251">
            <v>0</v>
          </cell>
          <cell r="P1251">
            <v>0</v>
          </cell>
        </row>
        <row r="1252">
          <cell r="K1252">
            <v>0</v>
          </cell>
          <cell r="M1252">
            <v>0</v>
          </cell>
          <cell r="P1252">
            <v>0</v>
          </cell>
        </row>
        <row r="1253">
          <cell r="K1253">
            <v>0</v>
          </cell>
          <cell r="M1253">
            <v>0</v>
          </cell>
          <cell r="P1253">
            <v>0</v>
          </cell>
        </row>
        <row r="1254">
          <cell r="K1254">
            <v>0</v>
          </cell>
          <cell r="M1254">
            <v>0</v>
          </cell>
          <cell r="P1254">
            <v>0</v>
          </cell>
        </row>
        <row r="1255">
          <cell r="K1255">
            <v>0</v>
          </cell>
          <cell r="M1255">
            <v>0</v>
          </cell>
          <cell r="P1255">
            <v>0</v>
          </cell>
        </row>
        <row r="1256">
          <cell r="K1256">
            <v>0</v>
          </cell>
          <cell r="M1256">
            <v>0</v>
          </cell>
          <cell r="P1256">
            <v>0</v>
          </cell>
        </row>
        <row r="1257">
          <cell r="K1257">
            <v>0</v>
          </cell>
          <cell r="M1257">
            <v>0</v>
          </cell>
          <cell r="P1257">
            <v>0</v>
          </cell>
        </row>
        <row r="1258">
          <cell r="K1258">
            <v>0</v>
          </cell>
          <cell r="M1258">
            <v>0</v>
          </cell>
          <cell r="P1258">
            <v>0</v>
          </cell>
        </row>
        <row r="1259">
          <cell r="K1259">
            <v>0</v>
          </cell>
          <cell r="M1259">
            <v>0</v>
          </cell>
          <cell r="P1259">
            <v>0</v>
          </cell>
        </row>
        <row r="1260">
          <cell r="K1260">
            <v>0</v>
          </cell>
          <cell r="M1260">
            <v>0</v>
          </cell>
          <cell r="P1260">
            <v>0</v>
          </cell>
        </row>
        <row r="1261">
          <cell r="K1261">
            <v>0</v>
          </cell>
          <cell r="M1261">
            <v>0</v>
          </cell>
          <cell r="P1261">
            <v>0</v>
          </cell>
        </row>
        <row r="1262">
          <cell r="K1262">
            <v>0</v>
          </cell>
          <cell r="M1262">
            <v>0</v>
          </cell>
          <cell r="P1262">
            <v>0</v>
          </cell>
        </row>
        <row r="1263">
          <cell r="K1263">
            <v>0</v>
          </cell>
          <cell r="M1263">
            <v>0</v>
          </cell>
          <cell r="P1263">
            <v>0</v>
          </cell>
        </row>
        <row r="1264">
          <cell r="K1264">
            <v>0</v>
          </cell>
          <cell r="M1264">
            <v>0</v>
          </cell>
          <cell r="P1264">
            <v>0</v>
          </cell>
        </row>
        <row r="1265">
          <cell r="K1265">
            <v>0</v>
          </cell>
          <cell r="M1265">
            <v>0</v>
          </cell>
          <cell r="P1265">
            <v>0</v>
          </cell>
        </row>
        <row r="1266">
          <cell r="K1266">
            <v>0</v>
          </cell>
          <cell r="M1266">
            <v>0</v>
          </cell>
          <cell r="P1266">
            <v>0</v>
          </cell>
        </row>
        <row r="1267">
          <cell r="K1267">
            <v>0</v>
          </cell>
          <cell r="M1267">
            <v>0</v>
          </cell>
          <cell r="P1267">
            <v>0</v>
          </cell>
        </row>
        <row r="1268">
          <cell r="K1268">
            <v>0</v>
          </cell>
          <cell r="M1268">
            <v>0</v>
          </cell>
          <cell r="P1268">
            <v>0</v>
          </cell>
        </row>
        <row r="1269">
          <cell r="K1269">
            <v>0</v>
          </cell>
          <cell r="M1269">
            <v>0</v>
          </cell>
          <cell r="P1269">
            <v>0</v>
          </cell>
        </row>
        <row r="1270">
          <cell r="K1270">
            <v>0</v>
          </cell>
          <cell r="M1270">
            <v>0</v>
          </cell>
          <cell r="P1270">
            <v>0</v>
          </cell>
        </row>
        <row r="1271">
          <cell r="K1271">
            <v>0</v>
          </cell>
          <cell r="M1271">
            <v>0</v>
          </cell>
          <cell r="P1271">
            <v>0</v>
          </cell>
        </row>
        <row r="1272">
          <cell r="K1272">
            <v>0</v>
          </cell>
          <cell r="M1272">
            <v>0</v>
          </cell>
          <cell r="P1272">
            <v>0</v>
          </cell>
        </row>
        <row r="1273">
          <cell r="K1273">
            <v>0</v>
          </cell>
          <cell r="M1273">
            <v>0</v>
          </cell>
          <cell r="P1273">
            <v>0</v>
          </cell>
        </row>
        <row r="1274">
          <cell r="K1274">
            <v>0</v>
          </cell>
          <cell r="M1274">
            <v>0</v>
          </cell>
          <cell r="P1274">
            <v>0</v>
          </cell>
        </row>
        <row r="1275">
          <cell r="K1275">
            <v>0</v>
          </cell>
          <cell r="M1275">
            <v>0</v>
          </cell>
          <cell r="P1275">
            <v>0</v>
          </cell>
        </row>
        <row r="1276">
          <cell r="K1276">
            <v>0</v>
          </cell>
          <cell r="M1276">
            <v>0</v>
          </cell>
          <cell r="P1276">
            <v>0</v>
          </cell>
        </row>
        <row r="1277">
          <cell r="K1277">
            <v>0</v>
          </cell>
          <cell r="M1277">
            <v>0</v>
          </cell>
          <cell r="P1277">
            <v>0</v>
          </cell>
        </row>
        <row r="1278">
          <cell r="K1278">
            <v>0</v>
          </cell>
          <cell r="M1278">
            <v>0</v>
          </cell>
          <cell r="P1278">
            <v>0</v>
          </cell>
        </row>
        <row r="1279">
          <cell r="K1279">
            <v>0</v>
          </cell>
          <cell r="M1279">
            <v>0</v>
          </cell>
          <cell r="P1279">
            <v>0</v>
          </cell>
        </row>
        <row r="1280">
          <cell r="K1280">
            <v>0</v>
          </cell>
          <cell r="M1280">
            <v>0</v>
          </cell>
          <cell r="P1280">
            <v>0</v>
          </cell>
        </row>
        <row r="1281">
          <cell r="K1281">
            <v>0</v>
          </cell>
          <cell r="M1281">
            <v>0</v>
          </cell>
          <cell r="P1281">
            <v>0</v>
          </cell>
        </row>
        <row r="1282">
          <cell r="K1282">
            <v>0</v>
          </cell>
          <cell r="M1282">
            <v>0</v>
          </cell>
          <cell r="P1282">
            <v>0</v>
          </cell>
        </row>
        <row r="1283">
          <cell r="K1283">
            <v>0</v>
          </cell>
          <cell r="M1283">
            <v>0</v>
          </cell>
          <cell r="P1283">
            <v>0</v>
          </cell>
        </row>
        <row r="1284">
          <cell r="K1284">
            <v>0</v>
          </cell>
          <cell r="M1284">
            <v>0</v>
          </cell>
          <cell r="P1284">
            <v>0</v>
          </cell>
        </row>
        <row r="1285">
          <cell r="K1285">
            <v>0</v>
          </cell>
          <cell r="M1285">
            <v>0</v>
          </cell>
          <cell r="P1285">
            <v>0</v>
          </cell>
        </row>
        <row r="1286">
          <cell r="K1286">
            <v>0</v>
          </cell>
          <cell r="M1286">
            <v>0</v>
          </cell>
          <cell r="P1286">
            <v>0</v>
          </cell>
        </row>
        <row r="1287">
          <cell r="K1287">
            <v>0</v>
          </cell>
          <cell r="M1287">
            <v>0</v>
          </cell>
          <cell r="P1287">
            <v>0</v>
          </cell>
        </row>
        <row r="1288">
          <cell r="K1288">
            <v>0</v>
          </cell>
          <cell r="M1288">
            <v>0</v>
          </cell>
          <cell r="P1288">
            <v>0</v>
          </cell>
        </row>
        <row r="1289">
          <cell r="K1289">
            <v>0</v>
          </cell>
          <cell r="M1289">
            <v>0</v>
          </cell>
          <cell r="P1289">
            <v>0</v>
          </cell>
        </row>
        <row r="1290">
          <cell r="K1290">
            <v>0</v>
          </cell>
          <cell r="M1290">
            <v>0</v>
          </cell>
          <cell r="P1290">
            <v>0</v>
          </cell>
        </row>
        <row r="1291">
          <cell r="K1291">
            <v>0</v>
          </cell>
          <cell r="M1291">
            <v>0</v>
          </cell>
          <cell r="P1291">
            <v>0</v>
          </cell>
        </row>
        <row r="1292">
          <cell r="K1292">
            <v>0</v>
          </cell>
          <cell r="M1292">
            <v>0</v>
          </cell>
          <cell r="P1292">
            <v>0</v>
          </cell>
        </row>
        <row r="1293">
          <cell r="K1293">
            <v>0</v>
          </cell>
          <cell r="M1293">
            <v>0</v>
          </cell>
          <cell r="P1293">
            <v>0</v>
          </cell>
        </row>
        <row r="1294">
          <cell r="K1294">
            <v>0</v>
          </cell>
          <cell r="M1294">
            <v>0</v>
          </cell>
          <cell r="P1294">
            <v>0</v>
          </cell>
        </row>
        <row r="1295">
          <cell r="K1295">
            <v>0</v>
          </cell>
          <cell r="M1295">
            <v>0</v>
          </cell>
          <cell r="P1295">
            <v>0</v>
          </cell>
        </row>
        <row r="1296">
          <cell r="K1296">
            <v>0</v>
          </cell>
          <cell r="M1296">
            <v>0</v>
          </cell>
          <cell r="P1296">
            <v>0</v>
          </cell>
        </row>
        <row r="1297">
          <cell r="K1297">
            <v>0</v>
          </cell>
          <cell r="M1297">
            <v>0</v>
          </cell>
          <cell r="P1297">
            <v>0</v>
          </cell>
        </row>
        <row r="1298">
          <cell r="K1298">
            <v>0</v>
          </cell>
          <cell r="M1298">
            <v>0</v>
          </cell>
          <cell r="P1298">
            <v>0</v>
          </cell>
        </row>
        <row r="1299">
          <cell r="K1299">
            <v>0</v>
          </cell>
          <cell r="M1299">
            <v>0</v>
          </cell>
          <cell r="P1299">
            <v>0</v>
          </cell>
        </row>
        <row r="1300">
          <cell r="K1300">
            <v>0</v>
          </cell>
          <cell r="M1300">
            <v>0</v>
          </cell>
          <cell r="P1300">
            <v>0</v>
          </cell>
        </row>
        <row r="1301">
          <cell r="K1301">
            <v>0</v>
          </cell>
          <cell r="M1301">
            <v>0</v>
          </cell>
          <cell r="P1301">
            <v>0</v>
          </cell>
        </row>
        <row r="1302">
          <cell r="K1302">
            <v>0</v>
          </cell>
          <cell r="M1302">
            <v>0</v>
          </cell>
          <cell r="P1302">
            <v>0</v>
          </cell>
        </row>
        <row r="1303">
          <cell r="K1303">
            <v>0</v>
          </cell>
          <cell r="M1303">
            <v>0</v>
          </cell>
          <cell r="P1303">
            <v>0</v>
          </cell>
        </row>
        <row r="1304">
          <cell r="K1304">
            <v>0</v>
          </cell>
          <cell r="M1304">
            <v>0</v>
          </cell>
          <cell r="P1304">
            <v>0</v>
          </cell>
        </row>
        <row r="1305">
          <cell r="K1305">
            <v>0</v>
          </cell>
          <cell r="M1305">
            <v>0</v>
          </cell>
          <cell r="P1305">
            <v>0</v>
          </cell>
        </row>
        <row r="1306">
          <cell r="K1306">
            <v>0</v>
          </cell>
          <cell r="M1306">
            <v>0</v>
          </cell>
          <cell r="P1306">
            <v>0</v>
          </cell>
        </row>
        <row r="1307">
          <cell r="K1307">
            <v>0</v>
          </cell>
          <cell r="M1307">
            <v>0</v>
          </cell>
          <cell r="P1307">
            <v>0</v>
          </cell>
        </row>
        <row r="1308">
          <cell r="K1308">
            <v>0</v>
          </cell>
          <cell r="M1308">
            <v>0</v>
          </cell>
          <cell r="P1308">
            <v>0</v>
          </cell>
        </row>
        <row r="1309">
          <cell r="K1309">
            <v>0</v>
          </cell>
          <cell r="M1309">
            <v>0</v>
          </cell>
          <cell r="P1309">
            <v>0</v>
          </cell>
        </row>
        <row r="1310">
          <cell r="K1310">
            <v>0</v>
          </cell>
          <cell r="M1310">
            <v>0</v>
          </cell>
          <cell r="P1310">
            <v>0</v>
          </cell>
        </row>
        <row r="1311">
          <cell r="K1311">
            <v>0</v>
          </cell>
          <cell r="M1311">
            <v>0</v>
          </cell>
          <cell r="P1311">
            <v>0</v>
          </cell>
        </row>
        <row r="1312">
          <cell r="K1312">
            <v>0</v>
          </cell>
          <cell r="M1312">
            <v>0</v>
          </cell>
          <cell r="P1312">
            <v>0</v>
          </cell>
        </row>
        <row r="1313">
          <cell r="K1313">
            <v>0</v>
          </cell>
          <cell r="M1313">
            <v>0</v>
          </cell>
          <cell r="P1313">
            <v>0</v>
          </cell>
        </row>
        <row r="1314">
          <cell r="K1314">
            <v>0</v>
          </cell>
          <cell r="M1314">
            <v>0</v>
          </cell>
          <cell r="P1314">
            <v>0</v>
          </cell>
        </row>
        <row r="1315">
          <cell r="K1315">
            <v>0</v>
          </cell>
          <cell r="M1315">
            <v>0</v>
          </cell>
          <cell r="P1315">
            <v>0</v>
          </cell>
        </row>
        <row r="1316">
          <cell r="K1316">
            <v>0</v>
          </cell>
          <cell r="M1316">
            <v>0</v>
          </cell>
          <cell r="P1316">
            <v>0</v>
          </cell>
        </row>
        <row r="1317">
          <cell r="K1317">
            <v>0</v>
          </cell>
          <cell r="M1317">
            <v>0</v>
          </cell>
          <cell r="P1317">
            <v>0</v>
          </cell>
        </row>
        <row r="1318">
          <cell r="K1318">
            <v>0</v>
          </cell>
          <cell r="M1318">
            <v>0</v>
          </cell>
          <cell r="P1318">
            <v>0</v>
          </cell>
        </row>
        <row r="1319">
          <cell r="K1319">
            <v>0</v>
          </cell>
          <cell r="M1319">
            <v>0</v>
          </cell>
          <cell r="P1319">
            <v>0</v>
          </cell>
        </row>
        <row r="1320">
          <cell r="K1320">
            <v>0</v>
          </cell>
          <cell r="M1320">
            <v>0</v>
          </cell>
          <cell r="P1320">
            <v>0</v>
          </cell>
        </row>
        <row r="1321">
          <cell r="K1321">
            <v>0</v>
          </cell>
          <cell r="M1321">
            <v>0</v>
          </cell>
          <cell r="P1321">
            <v>0</v>
          </cell>
        </row>
        <row r="1322">
          <cell r="K1322">
            <v>0</v>
          </cell>
          <cell r="M1322">
            <v>0</v>
          </cell>
          <cell r="P1322">
            <v>0</v>
          </cell>
        </row>
        <row r="1323">
          <cell r="K1323">
            <v>0</v>
          </cell>
          <cell r="M1323">
            <v>0</v>
          </cell>
          <cell r="P1323">
            <v>0</v>
          </cell>
        </row>
        <row r="1324">
          <cell r="K1324">
            <v>0</v>
          </cell>
          <cell r="M1324">
            <v>0</v>
          </cell>
          <cell r="P1324">
            <v>0</v>
          </cell>
        </row>
        <row r="1325">
          <cell r="K1325">
            <v>0</v>
          </cell>
          <cell r="M1325">
            <v>0</v>
          </cell>
          <cell r="P1325">
            <v>0</v>
          </cell>
        </row>
        <row r="1326">
          <cell r="K1326">
            <v>0</v>
          </cell>
          <cell r="M1326">
            <v>0</v>
          </cell>
          <cell r="P1326">
            <v>0</v>
          </cell>
        </row>
        <row r="1327">
          <cell r="K1327">
            <v>0</v>
          </cell>
          <cell r="M1327">
            <v>0</v>
          </cell>
          <cell r="P1327">
            <v>0</v>
          </cell>
        </row>
        <row r="1328">
          <cell r="K1328">
            <v>0</v>
          </cell>
          <cell r="M1328">
            <v>0</v>
          </cell>
          <cell r="P1328">
            <v>0</v>
          </cell>
        </row>
        <row r="1329">
          <cell r="K1329">
            <v>0</v>
          </cell>
          <cell r="M1329">
            <v>0</v>
          </cell>
          <cell r="P1329">
            <v>0</v>
          </cell>
        </row>
        <row r="1330">
          <cell r="K1330">
            <v>0</v>
          </cell>
          <cell r="M1330">
            <v>0</v>
          </cell>
          <cell r="P1330">
            <v>0</v>
          </cell>
        </row>
        <row r="1331">
          <cell r="K1331">
            <v>0</v>
          </cell>
          <cell r="M1331">
            <v>0</v>
          </cell>
          <cell r="P1331">
            <v>0</v>
          </cell>
        </row>
        <row r="1332">
          <cell r="K1332">
            <v>0</v>
          </cell>
          <cell r="M1332">
            <v>0</v>
          </cell>
          <cell r="P1332">
            <v>0</v>
          </cell>
        </row>
        <row r="1333">
          <cell r="K1333">
            <v>0</v>
          </cell>
          <cell r="M1333">
            <v>0</v>
          </cell>
          <cell r="P1333">
            <v>0</v>
          </cell>
        </row>
        <row r="1334">
          <cell r="K1334">
            <v>0</v>
          </cell>
          <cell r="M1334">
            <v>0</v>
          </cell>
          <cell r="P1334">
            <v>0</v>
          </cell>
        </row>
        <row r="1335">
          <cell r="K1335">
            <v>0</v>
          </cell>
          <cell r="M1335">
            <v>0</v>
          </cell>
          <cell r="P1335">
            <v>0</v>
          </cell>
        </row>
        <row r="1336">
          <cell r="K1336">
            <v>0</v>
          </cell>
          <cell r="M1336">
            <v>0</v>
          </cell>
          <cell r="P1336">
            <v>0</v>
          </cell>
        </row>
        <row r="1337">
          <cell r="K1337">
            <v>0</v>
          </cell>
          <cell r="M1337">
            <v>0</v>
          </cell>
          <cell r="P1337">
            <v>0</v>
          </cell>
        </row>
        <row r="1338">
          <cell r="K1338">
            <v>0</v>
          </cell>
          <cell r="M1338">
            <v>0</v>
          </cell>
          <cell r="P1338">
            <v>0</v>
          </cell>
        </row>
        <row r="1339">
          <cell r="K1339">
            <v>0</v>
          </cell>
          <cell r="M1339">
            <v>0</v>
          </cell>
          <cell r="P1339">
            <v>0</v>
          </cell>
        </row>
        <row r="1340">
          <cell r="K1340">
            <v>0</v>
          </cell>
          <cell r="M1340">
            <v>0</v>
          </cell>
          <cell r="P1340">
            <v>0</v>
          </cell>
        </row>
        <row r="1341">
          <cell r="K1341">
            <v>0</v>
          </cell>
          <cell r="M1341">
            <v>0</v>
          </cell>
          <cell r="P1341">
            <v>0</v>
          </cell>
        </row>
        <row r="1342">
          <cell r="K1342">
            <v>0</v>
          </cell>
          <cell r="M1342">
            <v>0</v>
          </cell>
          <cell r="P1342">
            <v>0</v>
          </cell>
        </row>
        <row r="1343">
          <cell r="K1343">
            <v>0</v>
          </cell>
          <cell r="M1343">
            <v>0</v>
          </cell>
          <cell r="P1343">
            <v>0</v>
          </cell>
        </row>
        <row r="1344">
          <cell r="K1344">
            <v>0</v>
          </cell>
          <cell r="M1344">
            <v>0</v>
          </cell>
          <cell r="P1344">
            <v>0</v>
          </cell>
        </row>
        <row r="1345">
          <cell r="K1345">
            <v>0</v>
          </cell>
          <cell r="M1345">
            <v>0</v>
          </cell>
          <cell r="P1345">
            <v>0</v>
          </cell>
        </row>
        <row r="1346">
          <cell r="K1346">
            <v>0</v>
          </cell>
          <cell r="M1346">
            <v>0</v>
          </cell>
          <cell r="P1346">
            <v>0</v>
          </cell>
        </row>
        <row r="1347">
          <cell r="K1347">
            <v>0</v>
          </cell>
          <cell r="M1347">
            <v>0</v>
          </cell>
          <cell r="P1347">
            <v>0</v>
          </cell>
        </row>
        <row r="1348">
          <cell r="K1348">
            <v>0</v>
          </cell>
          <cell r="M1348">
            <v>0</v>
          </cell>
          <cell r="P1348">
            <v>0</v>
          </cell>
        </row>
        <row r="1349">
          <cell r="K1349">
            <v>0</v>
          </cell>
          <cell r="M1349">
            <v>0</v>
          </cell>
          <cell r="P1349">
            <v>0</v>
          </cell>
        </row>
        <row r="1350">
          <cell r="K1350">
            <v>0</v>
          </cell>
          <cell r="M1350">
            <v>0</v>
          </cell>
          <cell r="P1350">
            <v>0</v>
          </cell>
        </row>
        <row r="1351">
          <cell r="K1351">
            <v>0</v>
          </cell>
          <cell r="M1351">
            <v>0</v>
          </cell>
          <cell r="P1351">
            <v>0</v>
          </cell>
        </row>
        <row r="1352">
          <cell r="K1352">
            <v>0</v>
          </cell>
          <cell r="M1352">
            <v>0</v>
          </cell>
          <cell r="P1352">
            <v>0</v>
          </cell>
        </row>
        <row r="1353">
          <cell r="K1353">
            <v>0</v>
          </cell>
          <cell r="M1353">
            <v>0</v>
          </cell>
          <cell r="P1353">
            <v>0</v>
          </cell>
        </row>
        <row r="1354">
          <cell r="K1354">
            <v>0</v>
          </cell>
          <cell r="M1354">
            <v>0</v>
          </cell>
          <cell r="P1354">
            <v>0</v>
          </cell>
        </row>
        <row r="1355">
          <cell r="K1355">
            <v>0</v>
          </cell>
          <cell r="M1355">
            <v>0</v>
          </cell>
          <cell r="P1355">
            <v>0</v>
          </cell>
        </row>
        <row r="1356">
          <cell r="K1356">
            <v>0</v>
          </cell>
          <cell r="M1356">
            <v>0</v>
          </cell>
          <cell r="P1356">
            <v>0</v>
          </cell>
        </row>
        <row r="1357">
          <cell r="K1357">
            <v>0</v>
          </cell>
          <cell r="M1357">
            <v>0</v>
          </cell>
          <cell r="P1357">
            <v>0</v>
          </cell>
        </row>
        <row r="1358">
          <cell r="K1358">
            <v>0</v>
          </cell>
          <cell r="M1358">
            <v>0</v>
          </cell>
          <cell r="P1358">
            <v>0</v>
          </cell>
        </row>
        <row r="1359">
          <cell r="K1359">
            <v>0</v>
          </cell>
          <cell r="M1359">
            <v>0</v>
          </cell>
          <cell r="P1359">
            <v>0</v>
          </cell>
        </row>
        <row r="1360">
          <cell r="K1360">
            <v>0</v>
          </cell>
          <cell r="M1360">
            <v>0</v>
          </cell>
          <cell r="P1360">
            <v>0</v>
          </cell>
        </row>
        <row r="1361">
          <cell r="K1361">
            <v>0</v>
          </cell>
          <cell r="M1361">
            <v>0</v>
          </cell>
          <cell r="P1361">
            <v>0</v>
          </cell>
        </row>
        <row r="1362">
          <cell r="K1362">
            <v>0</v>
          </cell>
          <cell r="M1362">
            <v>0</v>
          </cell>
          <cell r="P1362">
            <v>0</v>
          </cell>
        </row>
        <row r="1363">
          <cell r="K1363">
            <v>0</v>
          </cell>
          <cell r="M1363">
            <v>0</v>
          </cell>
          <cell r="P1363">
            <v>0</v>
          </cell>
        </row>
        <row r="1364">
          <cell r="K1364">
            <v>0</v>
          </cell>
          <cell r="M1364">
            <v>0</v>
          </cell>
          <cell r="P1364">
            <v>0</v>
          </cell>
        </row>
        <row r="1365">
          <cell r="K1365">
            <v>0</v>
          </cell>
          <cell r="M1365">
            <v>0</v>
          </cell>
          <cell r="P1365">
            <v>0</v>
          </cell>
        </row>
        <row r="1366">
          <cell r="K1366">
            <v>0</v>
          </cell>
          <cell r="M1366">
            <v>0</v>
          </cell>
          <cell r="P1366">
            <v>0</v>
          </cell>
        </row>
        <row r="1367">
          <cell r="K1367">
            <v>0</v>
          </cell>
          <cell r="M1367">
            <v>0</v>
          </cell>
          <cell r="P1367">
            <v>0</v>
          </cell>
        </row>
        <row r="1368">
          <cell r="K1368">
            <v>0</v>
          </cell>
          <cell r="M1368">
            <v>0</v>
          </cell>
          <cell r="P1368">
            <v>0</v>
          </cell>
        </row>
        <row r="1369">
          <cell r="K1369">
            <v>0</v>
          </cell>
          <cell r="M1369">
            <v>0</v>
          </cell>
          <cell r="P1369">
            <v>0</v>
          </cell>
        </row>
        <row r="1370">
          <cell r="K1370">
            <v>0</v>
          </cell>
          <cell r="M1370">
            <v>0</v>
          </cell>
          <cell r="P1370">
            <v>0</v>
          </cell>
        </row>
        <row r="1371">
          <cell r="K1371">
            <v>0</v>
          </cell>
          <cell r="M1371">
            <v>0</v>
          </cell>
          <cell r="P1371">
            <v>0</v>
          </cell>
        </row>
        <row r="1372">
          <cell r="K1372">
            <v>0</v>
          </cell>
          <cell r="M1372">
            <v>0</v>
          </cell>
          <cell r="P1372">
            <v>0</v>
          </cell>
        </row>
        <row r="1373">
          <cell r="K1373">
            <v>0</v>
          </cell>
          <cell r="M1373">
            <v>0</v>
          </cell>
          <cell r="P1373">
            <v>0</v>
          </cell>
        </row>
        <row r="1374">
          <cell r="K1374">
            <v>0</v>
          </cell>
          <cell r="M1374">
            <v>0</v>
          </cell>
          <cell r="P1374">
            <v>0</v>
          </cell>
        </row>
        <row r="1375">
          <cell r="K1375">
            <v>0</v>
          </cell>
          <cell r="M1375">
            <v>0</v>
          </cell>
          <cell r="P1375">
            <v>0</v>
          </cell>
        </row>
        <row r="1376">
          <cell r="K1376">
            <v>0</v>
          </cell>
          <cell r="M1376">
            <v>0</v>
          </cell>
          <cell r="P1376">
            <v>0</v>
          </cell>
        </row>
        <row r="1377">
          <cell r="K1377">
            <v>0</v>
          </cell>
          <cell r="M1377">
            <v>0</v>
          </cell>
          <cell r="P1377">
            <v>0</v>
          </cell>
        </row>
        <row r="1378">
          <cell r="K1378">
            <v>0</v>
          </cell>
          <cell r="M1378">
            <v>0</v>
          </cell>
          <cell r="P1378">
            <v>0</v>
          </cell>
        </row>
        <row r="1379">
          <cell r="K1379">
            <v>0</v>
          </cell>
          <cell r="M1379">
            <v>0</v>
          </cell>
          <cell r="P1379">
            <v>0</v>
          </cell>
        </row>
        <row r="1380">
          <cell r="K1380">
            <v>0</v>
          </cell>
          <cell r="M1380">
            <v>0</v>
          </cell>
          <cell r="P1380">
            <v>0</v>
          </cell>
        </row>
        <row r="1381">
          <cell r="K1381">
            <v>0</v>
          </cell>
          <cell r="M1381">
            <v>0</v>
          </cell>
          <cell r="P1381">
            <v>0</v>
          </cell>
        </row>
        <row r="1382">
          <cell r="K1382">
            <v>0</v>
          </cell>
          <cell r="M1382">
            <v>0</v>
          </cell>
          <cell r="P1382">
            <v>0</v>
          </cell>
        </row>
        <row r="1383">
          <cell r="K1383">
            <v>0</v>
          </cell>
          <cell r="M1383">
            <v>0</v>
          </cell>
          <cell r="P1383">
            <v>0</v>
          </cell>
        </row>
        <row r="1384">
          <cell r="K1384">
            <v>0</v>
          </cell>
          <cell r="M1384">
            <v>0</v>
          </cell>
          <cell r="P1384">
            <v>0</v>
          </cell>
        </row>
        <row r="1385">
          <cell r="K1385">
            <v>0</v>
          </cell>
          <cell r="M1385">
            <v>0</v>
          </cell>
          <cell r="P1385">
            <v>0</v>
          </cell>
        </row>
        <row r="1386">
          <cell r="K1386">
            <v>0</v>
          </cell>
          <cell r="M1386">
            <v>0</v>
          </cell>
          <cell r="P1386">
            <v>0</v>
          </cell>
        </row>
        <row r="1387">
          <cell r="K1387">
            <v>0</v>
          </cell>
          <cell r="M1387">
            <v>0</v>
          </cell>
          <cell r="P1387">
            <v>0</v>
          </cell>
        </row>
        <row r="1388">
          <cell r="K1388">
            <v>0</v>
          </cell>
          <cell r="M1388">
            <v>0</v>
          </cell>
          <cell r="P1388">
            <v>0</v>
          </cell>
        </row>
        <row r="1389">
          <cell r="K1389">
            <v>0</v>
          </cell>
          <cell r="M1389">
            <v>0</v>
          </cell>
          <cell r="P1389">
            <v>0</v>
          </cell>
        </row>
        <row r="1390">
          <cell r="K1390">
            <v>0</v>
          </cell>
          <cell r="M1390">
            <v>0</v>
          </cell>
          <cell r="P1390">
            <v>0</v>
          </cell>
        </row>
        <row r="1391">
          <cell r="K1391">
            <v>0</v>
          </cell>
          <cell r="M1391">
            <v>0</v>
          </cell>
          <cell r="P1391">
            <v>0</v>
          </cell>
        </row>
        <row r="1392">
          <cell r="K1392">
            <v>0</v>
          </cell>
          <cell r="M1392">
            <v>0</v>
          </cell>
          <cell r="P1392">
            <v>0</v>
          </cell>
        </row>
        <row r="1393">
          <cell r="K1393">
            <v>0</v>
          </cell>
          <cell r="M1393">
            <v>0</v>
          </cell>
          <cell r="P1393">
            <v>0</v>
          </cell>
        </row>
        <row r="1394">
          <cell r="K1394">
            <v>0</v>
          </cell>
          <cell r="M1394">
            <v>0</v>
          </cell>
          <cell r="P1394">
            <v>0</v>
          </cell>
        </row>
        <row r="1395">
          <cell r="K1395">
            <v>0</v>
          </cell>
          <cell r="M1395">
            <v>0</v>
          </cell>
          <cell r="P1395">
            <v>0</v>
          </cell>
        </row>
        <row r="1396">
          <cell r="K1396">
            <v>0</v>
          </cell>
          <cell r="M1396">
            <v>0</v>
          </cell>
          <cell r="P1396">
            <v>0</v>
          </cell>
        </row>
        <row r="1397">
          <cell r="K1397">
            <v>0</v>
          </cell>
          <cell r="M1397">
            <v>0</v>
          </cell>
          <cell r="P1397">
            <v>0</v>
          </cell>
        </row>
        <row r="1398">
          <cell r="K1398">
            <v>0</v>
          </cell>
          <cell r="M1398">
            <v>0</v>
          </cell>
          <cell r="P1398">
            <v>0</v>
          </cell>
        </row>
        <row r="1399">
          <cell r="K1399">
            <v>0</v>
          </cell>
          <cell r="M1399">
            <v>0</v>
          </cell>
          <cell r="P1399">
            <v>0</v>
          </cell>
        </row>
        <row r="1400">
          <cell r="K1400">
            <v>0</v>
          </cell>
          <cell r="M1400">
            <v>0</v>
          </cell>
          <cell r="P1400">
            <v>0</v>
          </cell>
        </row>
        <row r="1401">
          <cell r="K1401">
            <v>0</v>
          </cell>
          <cell r="M1401">
            <v>0</v>
          </cell>
          <cell r="P1401">
            <v>0</v>
          </cell>
        </row>
        <row r="1402">
          <cell r="K1402">
            <v>0</v>
          </cell>
          <cell r="M1402">
            <v>0</v>
          </cell>
          <cell r="P1402">
            <v>0</v>
          </cell>
        </row>
        <row r="1403">
          <cell r="K1403">
            <v>0</v>
          </cell>
          <cell r="M1403">
            <v>0</v>
          </cell>
          <cell r="P1403">
            <v>0</v>
          </cell>
        </row>
        <row r="1404">
          <cell r="K1404">
            <v>0</v>
          </cell>
          <cell r="M1404">
            <v>0</v>
          </cell>
          <cell r="P1404">
            <v>0</v>
          </cell>
        </row>
        <row r="1405">
          <cell r="K1405">
            <v>0</v>
          </cell>
          <cell r="M1405">
            <v>0</v>
          </cell>
          <cell r="P1405">
            <v>0</v>
          </cell>
        </row>
        <row r="1406">
          <cell r="K1406">
            <v>0</v>
          </cell>
          <cell r="M1406">
            <v>0</v>
          </cell>
          <cell r="P1406">
            <v>0</v>
          </cell>
        </row>
        <row r="1407">
          <cell r="K1407">
            <v>0</v>
          </cell>
          <cell r="M1407">
            <v>0</v>
          </cell>
          <cell r="P1407">
            <v>0</v>
          </cell>
        </row>
        <row r="1408">
          <cell r="K1408">
            <v>0</v>
          </cell>
          <cell r="M1408">
            <v>0</v>
          </cell>
          <cell r="P1408">
            <v>0</v>
          </cell>
        </row>
        <row r="1409">
          <cell r="K1409">
            <v>0</v>
          </cell>
          <cell r="M1409">
            <v>0</v>
          </cell>
          <cell r="P1409">
            <v>0</v>
          </cell>
        </row>
        <row r="1410">
          <cell r="K1410">
            <v>0</v>
          </cell>
          <cell r="M1410">
            <v>0</v>
          </cell>
          <cell r="P1410">
            <v>0</v>
          </cell>
        </row>
        <row r="1411">
          <cell r="K1411">
            <v>0</v>
          </cell>
          <cell r="M1411">
            <v>0</v>
          </cell>
          <cell r="P1411">
            <v>0</v>
          </cell>
        </row>
        <row r="1412">
          <cell r="K1412">
            <v>0</v>
          </cell>
          <cell r="M1412">
            <v>0</v>
          </cell>
          <cell r="P1412">
            <v>0</v>
          </cell>
        </row>
        <row r="1413">
          <cell r="K1413">
            <v>0</v>
          </cell>
          <cell r="M1413">
            <v>0</v>
          </cell>
          <cell r="P1413">
            <v>0</v>
          </cell>
        </row>
        <row r="1414">
          <cell r="K1414">
            <v>0</v>
          </cell>
          <cell r="M1414">
            <v>0</v>
          </cell>
          <cell r="P1414">
            <v>0</v>
          </cell>
        </row>
        <row r="1415">
          <cell r="K1415">
            <v>0</v>
          </cell>
          <cell r="M1415">
            <v>0</v>
          </cell>
          <cell r="P1415">
            <v>0</v>
          </cell>
        </row>
        <row r="1416">
          <cell r="K1416">
            <v>0</v>
          </cell>
          <cell r="M1416">
            <v>0</v>
          </cell>
          <cell r="P1416">
            <v>0</v>
          </cell>
        </row>
        <row r="1417">
          <cell r="K1417">
            <v>0</v>
          </cell>
          <cell r="M1417">
            <v>0</v>
          </cell>
          <cell r="P1417">
            <v>0</v>
          </cell>
        </row>
        <row r="1418">
          <cell r="K1418">
            <v>0</v>
          </cell>
          <cell r="M1418">
            <v>0</v>
          </cell>
          <cell r="P1418">
            <v>0</v>
          </cell>
        </row>
        <row r="1419">
          <cell r="K1419">
            <v>0</v>
          </cell>
          <cell r="M1419">
            <v>0</v>
          </cell>
          <cell r="P1419">
            <v>0</v>
          </cell>
        </row>
        <row r="1420">
          <cell r="K1420">
            <v>0</v>
          </cell>
          <cell r="M1420">
            <v>0</v>
          </cell>
          <cell r="P1420">
            <v>0</v>
          </cell>
        </row>
        <row r="1421">
          <cell r="K1421">
            <v>0</v>
          </cell>
          <cell r="M1421">
            <v>0</v>
          </cell>
          <cell r="P1421">
            <v>0</v>
          </cell>
        </row>
        <row r="1422">
          <cell r="K1422">
            <v>0</v>
          </cell>
          <cell r="M1422">
            <v>0</v>
          </cell>
          <cell r="P1422">
            <v>0</v>
          </cell>
        </row>
        <row r="1423">
          <cell r="K1423">
            <v>0</v>
          </cell>
          <cell r="M1423">
            <v>0</v>
          </cell>
          <cell r="P1423">
            <v>0</v>
          </cell>
        </row>
        <row r="1424">
          <cell r="K1424">
            <v>0</v>
          </cell>
          <cell r="M1424">
            <v>0</v>
          </cell>
          <cell r="P1424">
            <v>0</v>
          </cell>
        </row>
        <row r="1425">
          <cell r="K1425">
            <v>0</v>
          </cell>
          <cell r="M1425">
            <v>0</v>
          </cell>
          <cell r="P1425">
            <v>0</v>
          </cell>
        </row>
        <row r="1426">
          <cell r="K1426">
            <v>0</v>
          </cell>
          <cell r="M1426">
            <v>0</v>
          </cell>
          <cell r="P1426">
            <v>0</v>
          </cell>
        </row>
        <row r="1427">
          <cell r="K1427">
            <v>0</v>
          </cell>
          <cell r="M1427">
            <v>0</v>
          </cell>
          <cell r="P1427">
            <v>0</v>
          </cell>
        </row>
        <row r="1428">
          <cell r="K1428">
            <v>0</v>
          </cell>
          <cell r="M1428">
            <v>0</v>
          </cell>
          <cell r="P1428">
            <v>0</v>
          </cell>
        </row>
        <row r="1429">
          <cell r="K1429">
            <v>0</v>
          </cell>
          <cell r="M1429">
            <v>0</v>
          </cell>
          <cell r="P1429">
            <v>0</v>
          </cell>
        </row>
        <row r="1430">
          <cell r="K1430">
            <v>0</v>
          </cell>
          <cell r="M1430">
            <v>0</v>
          </cell>
          <cell r="P1430">
            <v>0</v>
          </cell>
        </row>
        <row r="1431">
          <cell r="K1431">
            <v>0</v>
          </cell>
          <cell r="M1431">
            <v>0</v>
          </cell>
          <cell r="P1431">
            <v>0</v>
          </cell>
        </row>
        <row r="1432">
          <cell r="K1432">
            <v>0</v>
          </cell>
          <cell r="M1432">
            <v>0</v>
          </cell>
          <cell r="P1432">
            <v>0</v>
          </cell>
        </row>
        <row r="1433">
          <cell r="K1433">
            <v>0</v>
          </cell>
          <cell r="M1433">
            <v>0</v>
          </cell>
          <cell r="P1433">
            <v>0</v>
          </cell>
        </row>
        <row r="1434">
          <cell r="K1434">
            <v>0</v>
          </cell>
          <cell r="M1434">
            <v>0</v>
          </cell>
          <cell r="P1434">
            <v>0</v>
          </cell>
        </row>
        <row r="1435">
          <cell r="K1435">
            <v>0</v>
          </cell>
          <cell r="M1435">
            <v>0</v>
          </cell>
          <cell r="P1435">
            <v>0</v>
          </cell>
        </row>
        <row r="1436">
          <cell r="K1436">
            <v>0</v>
          </cell>
          <cell r="M1436">
            <v>0</v>
          </cell>
          <cell r="P1436">
            <v>0</v>
          </cell>
        </row>
        <row r="1437">
          <cell r="K1437">
            <v>0</v>
          </cell>
          <cell r="M1437">
            <v>0</v>
          </cell>
          <cell r="P1437">
            <v>0</v>
          </cell>
        </row>
        <row r="1438">
          <cell r="K1438">
            <v>0</v>
          </cell>
          <cell r="M1438">
            <v>0</v>
          </cell>
          <cell r="P1438">
            <v>0</v>
          </cell>
        </row>
        <row r="1439">
          <cell r="K1439">
            <v>0</v>
          </cell>
          <cell r="M1439">
            <v>0</v>
          </cell>
          <cell r="P1439">
            <v>0</v>
          </cell>
        </row>
        <row r="1440">
          <cell r="K1440">
            <v>0</v>
          </cell>
          <cell r="M1440">
            <v>0</v>
          </cell>
          <cell r="P1440">
            <v>0</v>
          </cell>
        </row>
        <row r="1441">
          <cell r="K1441">
            <v>0</v>
          </cell>
          <cell r="M1441">
            <v>0</v>
          </cell>
          <cell r="P1441">
            <v>0</v>
          </cell>
        </row>
        <row r="1442">
          <cell r="K1442">
            <v>0</v>
          </cell>
          <cell r="M1442">
            <v>0</v>
          </cell>
          <cell r="P1442">
            <v>0</v>
          </cell>
        </row>
        <row r="1443">
          <cell r="K1443">
            <v>0</v>
          </cell>
          <cell r="M1443">
            <v>0</v>
          </cell>
          <cell r="P1443">
            <v>0</v>
          </cell>
        </row>
        <row r="1444">
          <cell r="K1444">
            <v>0</v>
          </cell>
          <cell r="M1444">
            <v>0</v>
          </cell>
          <cell r="P1444">
            <v>0</v>
          </cell>
        </row>
        <row r="1445">
          <cell r="K1445">
            <v>0</v>
          </cell>
          <cell r="M1445">
            <v>0</v>
          </cell>
          <cell r="P1445">
            <v>0</v>
          </cell>
        </row>
        <row r="1446">
          <cell r="K1446">
            <v>0</v>
          </cell>
          <cell r="M1446">
            <v>0</v>
          </cell>
          <cell r="P1446">
            <v>0</v>
          </cell>
        </row>
        <row r="1447">
          <cell r="K1447">
            <v>0</v>
          </cell>
          <cell r="M1447">
            <v>0</v>
          </cell>
          <cell r="P1447">
            <v>0</v>
          </cell>
        </row>
        <row r="1448">
          <cell r="K1448">
            <v>0</v>
          </cell>
          <cell r="M1448">
            <v>0</v>
          </cell>
          <cell r="P1448">
            <v>0</v>
          </cell>
        </row>
        <row r="1449">
          <cell r="K1449">
            <v>0</v>
          </cell>
          <cell r="M1449">
            <v>0</v>
          </cell>
          <cell r="P1449">
            <v>0</v>
          </cell>
        </row>
        <row r="1450">
          <cell r="K1450">
            <v>0</v>
          </cell>
          <cell r="M1450">
            <v>0</v>
          </cell>
          <cell r="P1450">
            <v>0</v>
          </cell>
        </row>
        <row r="1451">
          <cell r="K1451">
            <v>0</v>
          </cell>
          <cell r="M1451">
            <v>0</v>
          </cell>
          <cell r="P1451">
            <v>0</v>
          </cell>
        </row>
        <row r="1452">
          <cell r="K1452">
            <v>0</v>
          </cell>
          <cell r="M1452">
            <v>0</v>
          </cell>
          <cell r="P1452">
            <v>0</v>
          </cell>
        </row>
        <row r="1453">
          <cell r="K1453">
            <v>0</v>
          </cell>
          <cell r="M1453">
            <v>0</v>
          </cell>
          <cell r="P1453">
            <v>0</v>
          </cell>
        </row>
        <row r="1454">
          <cell r="K1454">
            <v>0</v>
          </cell>
          <cell r="M1454">
            <v>0</v>
          </cell>
          <cell r="P1454">
            <v>0</v>
          </cell>
        </row>
        <row r="1455">
          <cell r="K1455">
            <v>0</v>
          </cell>
          <cell r="M1455">
            <v>0</v>
          </cell>
          <cell r="P1455">
            <v>0</v>
          </cell>
        </row>
        <row r="1456">
          <cell r="K1456">
            <v>0</v>
          </cell>
          <cell r="M1456">
            <v>0</v>
          </cell>
          <cell r="P1456">
            <v>0</v>
          </cell>
        </row>
        <row r="1457">
          <cell r="K1457">
            <v>0</v>
          </cell>
          <cell r="M1457">
            <v>0</v>
          </cell>
          <cell r="P1457">
            <v>0</v>
          </cell>
        </row>
        <row r="1458">
          <cell r="K1458">
            <v>0</v>
          </cell>
          <cell r="M1458">
            <v>0</v>
          </cell>
          <cell r="P1458">
            <v>0</v>
          </cell>
        </row>
        <row r="1459">
          <cell r="K1459">
            <v>0</v>
          </cell>
          <cell r="M1459">
            <v>0</v>
          </cell>
          <cell r="P1459">
            <v>0</v>
          </cell>
        </row>
        <row r="1460">
          <cell r="K1460">
            <v>0</v>
          </cell>
          <cell r="M1460">
            <v>0</v>
          </cell>
          <cell r="P1460">
            <v>0</v>
          </cell>
        </row>
        <row r="1461">
          <cell r="K1461">
            <v>0</v>
          </cell>
          <cell r="M1461">
            <v>0</v>
          </cell>
          <cell r="P1461">
            <v>0</v>
          </cell>
        </row>
        <row r="1462">
          <cell r="K1462">
            <v>0</v>
          </cell>
          <cell r="M1462">
            <v>0</v>
          </cell>
          <cell r="P1462">
            <v>0</v>
          </cell>
        </row>
        <row r="1463">
          <cell r="K1463">
            <v>0</v>
          </cell>
          <cell r="M1463">
            <v>0</v>
          </cell>
          <cell r="P1463">
            <v>0</v>
          </cell>
        </row>
        <row r="1464">
          <cell r="K1464">
            <v>0</v>
          </cell>
          <cell r="M1464">
            <v>0</v>
          </cell>
          <cell r="P1464">
            <v>0</v>
          </cell>
        </row>
        <row r="1465">
          <cell r="K1465">
            <v>0</v>
          </cell>
          <cell r="M1465">
            <v>0</v>
          </cell>
          <cell r="P1465">
            <v>0</v>
          </cell>
        </row>
        <row r="1466">
          <cell r="K1466">
            <v>0</v>
          </cell>
          <cell r="M1466">
            <v>0</v>
          </cell>
          <cell r="P1466">
            <v>0</v>
          </cell>
        </row>
        <row r="1467">
          <cell r="K1467">
            <v>0</v>
          </cell>
          <cell r="M1467">
            <v>0</v>
          </cell>
          <cell r="P1467">
            <v>0</v>
          </cell>
        </row>
        <row r="1468">
          <cell r="K1468">
            <v>0</v>
          </cell>
          <cell r="M1468">
            <v>0</v>
          </cell>
          <cell r="P1468">
            <v>0</v>
          </cell>
        </row>
        <row r="1469">
          <cell r="K1469">
            <v>0</v>
          </cell>
          <cell r="M1469">
            <v>0</v>
          </cell>
          <cell r="P1469">
            <v>0</v>
          </cell>
        </row>
        <row r="1470">
          <cell r="K1470">
            <v>0</v>
          </cell>
          <cell r="M1470">
            <v>0</v>
          </cell>
          <cell r="P1470">
            <v>0</v>
          </cell>
        </row>
        <row r="1471">
          <cell r="K1471">
            <v>0</v>
          </cell>
          <cell r="M1471">
            <v>0</v>
          </cell>
          <cell r="P1471">
            <v>0</v>
          </cell>
        </row>
        <row r="1472">
          <cell r="K1472">
            <v>0</v>
          </cell>
          <cell r="M1472">
            <v>0</v>
          </cell>
          <cell r="P1472">
            <v>0</v>
          </cell>
        </row>
        <row r="1473">
          <cell r="K1473">
            <v>0</v>
          </cell>
          <cell r="M1473">
            <v>0</v>
          </cell>
          <cell r="P1473">
            <v>0</v>
          </cell>
        </row>
        <row r="1474">
          <cell r="K1474">
            <v>0</v>
          </cell>
          <cell r="M1474">
            <v>0</v>
          </cell>
          <cell r="P1474">
            <v>0</v>
          </cell>
        </row>
        <row r="1475">
          <cell r="K1475">
            <v>0</v>
          </cell>
          <cell r="M1475">
            <v>0</v>
          </cell>
          <cell r="P1475">
            <v>0</v>
          </cell>
        </row>
        <row r="1476">
          <cell r="K1476">
            <v>0</v>
          </cell>
          <cell r="M1476">
            <v>0</v>
          </cell>
          <cell r="P1476">
            <v>0</v>
          </cell>
        </row>
        <row r="1477">
          <cell r="K1477">
            <v>0</v>
          </cell>
          <cell r="M1477">
            <v>0</v>
          </cell>
          <cell r="P1477">
            <v>0</v>
          </cell>
        </row>
        <row r="1478">
          <cell r="K1478">
            <v>0</v>
          </cell>
          <cell r="M1478">
            <v>0</v>
          </cell>
          <cell r="P1478">
            <v>0</v>
          </cell>
        </row>
        <row r="1479">
          <cell r="K1479">
            <v>0</v>
          </cell>
          <cell r="M1479">
            <v>0</v>
          </cell>
          <cell r="P1479">
            <v>0</v>
          </cell>
        </row>
        <row r="1480">
          <cell r="K1480">
            <v>0</v>
          </cell>
          <cell r="M1480">
            <v>0</v>
          </cell>
          <cell r="P1480">
            <v>0</v>
          </cell>
        </row>
        <row r="1481">
          <cell r="K1481">
            <v>0</v>
          </cell>
          <cell r="M1481">
            <v>0</v>
          </cell>
          <cell r="P1481">
            <v>0</v>
          </cell>
        </row>
        <row r="1482">
          <cell r="K1482">
            <v>0</v>
          </cell>
          <cell r="M1482">
            <v>0</v>
          </cell>
          <cell r="P1482">
            <v>0</v>
          </cell>
        </row>
        <row r="1483">
          <cell r="K1483">
            <v>0</v>
          </cell>
          <cell r="M1483">
            <v>0</v>
          </cell>
          <cell r="P1483">
            <v>0</v>
          </cell>
        </row>
        <row r="1484">
          <cell r="K1484">
            <v>0</v>
          </cell>
          <cell r="M1484">
            <v>0</v>
          </cell>
          <cell r="P1484">
            <v>0</v>
          </cell>
        </row>
        <row r="1485">
          <cell r="K1485">
            <v>0</v>
          </cell>
          <cell r="M1485">
            <v>0</v>
          </cell>
          <cell r="P1485">
            <v>0</v>
          </cell>
        </row>
        <row r="1486">
          <cell r="K1486">
            <v>0</v>
          </cell>
          <cell r="M1486">
            <v>0</v>
          </cell>
          <cell r="P1486">
            <v>0</v>
          </cell>
        </row>
        <row r="1487">
          <cell r="K1487">
            <v>0</v>
          </cell>
          <cell r="M1487">
            <v>0</v>
          </cell>
          <cell r="P1487">
            <v>0</v>
          </cell>
        </row>
        <row r="1488">
          <cell r="K1488">
            <v>0</v>
          </cell>
          <cell r="M1488">
            <v>0</v>
          </cell>
          <cell r="P1488">
            <v>0</v>
          </cell>
        </row>
        <row r="1489">
          <cell r="K1489">
            <v>0</v>
          </cell>
          <cell r="M1489">
            <v>0</v>
          </cell>
          <cell r="P1489">
            <v>0</v>
          </cell>
        </row>
        <row r="1490">
          <cell r="K1490">
            <v>0</v>
          </cell>
          <cell r="M1490">
            <v>0</v>
          </cell>
          <cell r="P1490">
            <v>0</v>
          </cell>
        </row>
        <row r="1491">
          <cell r="K1491">
            <v>0</v>
          </cell>
          <cell r="M1491">
            <v>0</v>
          </cell>
          <cell r="P1491">
            <v>0</v>
          </cell>
        </row>
        <row r="1492">
          <cell r="K1492">
            <v>0</v>
          </cell>
          <cell r="M1492">
            <v>0</v>
          </cell>
          <cell r="P1492">
            <v>0</v>
          </cell>
        </row>
        <row r="1493">
          <cell r="K1493">
            <v>0</v>
          </cell>
          <cell r="M1493">
            <v>0</v>
          </cell>
          <cell r="P1493">
            <v>0</v>
          </cell>
        </row>
        <row r="1494">
          <cell r="K1494">
            <v>0</v>
          </cell>
          <cell r="M1494">
            <v>0</v>
          </cell>
          <cell r="P1494">
            <v>0</v>
          </cell>
        </row>
        <row r="1495">
          <cell r="K1495">
            <v>0</v>
          </cell>
          <cell r="M1495">
            <v>0</v>
          </cell>
          <cell r="P1495">
            <v>0</v>
          </cell>
        </row>
        <row r="1496">
          <cell r="K1496">
            <v>0</v>
          </cell>
          <cell r="M1496">
            <v>0</v>
          </cell>
          <cell r="P1496">
            <v>0</v>
          </cell>
        </row>
        <row r="1497">
          <cell r="K1497">
            <v>0</v>
          </cell>
          <cell r="M1497">
            <v>0</v>
          </cell>
          <cell r="P1497">
            <v>0</v>
          </cell>
        </row>
        <row r="1498">
          <cell r="K1498">
            <v>0</v>
          </cell>
          <cell r="M1498">
            <v>0</v>
          </cell>
          <cell r="P1498">
            <v>0</v>
          </cell>
        </row>
        <row r="1499">
          <cell r="K1499">
            <v>0</v>
          </cell>
          <cell r="M1499">
            <v>0</v>
          </cell>
          <cell r="P1499">
            <v>0</v>
          </cell>
        </row>
        <row r="1500">
          <cell r="K1500">
            <v>0</v>
          </cell>
          <cell r="M1500">
            <v>0</v>
          </cell>
          <cell r="P1500">
            <v>0</v>
          </cell>
        </row>
        <row r="1501">
          <cell r="K1501">
            <v>0</v>
          </cell>
          <cell r="M1501">
            <v>0</v>
          </cell>
          <cell r="P1501">
            <v>0</v>
          </cell>
        </row>
        <row r="1502">
          <cell r="K1502">
            <v>0</v>
          </cell>
          <cell r="M1502">
            <v>0</v>
          </cell>
          <cell r="P1502">
            <v>0</v>
          </cell>
        </row>
        <row r="1503">
          <cell r="K1503">
            <v>0</v>
          </cell>
          <cell r="M1503">
            <v>0</v>
          </cell>
          <cell r="P1503">
            <v>0</v>
          </cell>
        </row>
        <row r="1504">
          <cell r="K1504">
            <v>0</v>
          </cell>
          <cell r="M1504">
            <v>0</v>
          </cell>
          <cell r="P1504">
            <v>0</v>
          </cell>
        </row>
        <row r="1505">
          <cell r="K1505">
            <v>0</v>
          </cell>
          <cell r="M1505">
            <v>0</v>
          </cell>
          <cell r="P1505">
            <v>0</v>
          </cell>
        </row>
        <row r="1506">
          <cell r="K1506">
            <v>0</v>
          </cell>
          <cell r="M1506">
            <v>0</v>
          </cell>
          <cell r="P1506">
            <v>0</v>
          </cell>
        </row>
        <row r="1507">
          <cell r="K1507">
            <v>0</v>
          </cell>
          <cell r="M1507">
            <v>0</v>
          </cell>
          <cell r="P1507">
            <v>0</v>
          </cell>
        </row>
        <row r="1508">
          <cell r="K1508">
            <v>0</v>
          </cell>
          <cell r="M1508">
            <v>0</v>
          </cell>
          <cell r="P1508">
            <v>0</v>
          </cell>
        </row>
        <row r="1509">
          <cell r="K1509">
            <v>0</v>
          </cell>
          <cell r="M1509">
            <v>0</v>
          </cell>
          <cell r="P1509">
            <v>0</v>
          </cell>
        </row>
        <row r="1510">
          <cell r="K1510">
            <v>0</v>
          </cell>
          <cell r="M1510">
            <v>0</v>
          </cell>
          <cell r="P1510">
            <v>0</v>
          </cell>
        </row>
        <row r="1511">
          <cell r="K1511">
            <v>0</v>
          </cell>
          <cell r="M1511">
            <v>0</v>
          </cell>
          <cell r="P1511">
            <v>0</v>
          </cell>
        </row>
        <row r="1512">
          <cell r="K1512">
            <v>0</v>
          </cell>
          <cell r="M1512">
            <v>0</v>
          </cell>
          <cell r="P1512">
            <v>0</v>
          </cell>
        </row>
        <row r="1513">
          <cell r="K1513">
            <v>0</v>
          </cell>
          <cell r="M1513">
            <v>0</v>
          </cell>
          <cell r="P1513">
            <v>0</v>
          </cell>
        </row>
        <row r="1514">
          <cell r="K1514">
            <v>0</v>
          </cell>
          <cell r="M1514">
            <v>0</v>
          </cell>
          <cell r="P1514">
            <v>0</v>
          </cell>
        </row>
        <row r="1515">
          <cell r="K1515">
            <v>0</v>
          </cell>
          <cell r="M1515">
            <v>0</v>
          </cell>
          <cell r="P1515">
            <v>0</v>
          </cell>
        </row>
        <row r="1516">
          <cell r="K1516">
            <v>0</v>
          </cell>
          <cell r="M1516">
            <v>0</v>
          </cell>
          <cell r="P1516">
            <v>0</v>
          </cell>
        </row>
        <row r="1517">
          <cell r="K1517">
            <v>0</v>
          </cell>
          <cell r="M1517">
            <v>0</v>
          </cell>
          <cell r="P1517">
            <v>0</v>
          </cell>
        </row>
        <row r="1518">
          <cell r="K1518">
            <v>0</v>
          </cell>
          <cell r="M1518">
            <v>0</v>
          </cell>
          <cell r="P1518">
            <v>0</v>
          </cell>
        </row>
        <row r="1519">
          <cell r="K1519">
            <v>0</v>
          </cell>
          <cell r="M1519">
            <v>0</v>
          </cell>
          <cell r="P1519">
            <v>0</v>
          </cell>
        </row>
        <row r="1520">
          <cell r="K1520">
            <v>0</v>
          </cell>
          <cell r="M1520">
            <v>0</v>
          </cell>
          <cell r="P1520">
            <v>0</v>
          </cell>
        </row>
        <row r="1521">
          <cell r="K1521">
            <v>0</v>
          </cell>
          <cell r="M1521">
            <v>0</v>
          </cell>
          <cell r="P1521">
            <v>0</v>
          </cell>
        </row>
        <row r="1522">
          <cell r="K1522">
            <v>0</v>
          </cell>
          <cell r="M1522">
            <v>0</v>
          </cell>
          <cell r="P1522">
            <v>0</v>
          </cell>
        </row>
        <row r="1523">
          <cell r="K1523">
            <v>0</v>
          </cell>
          <cell r="M1523">
            <v>0</v>
          </cell>
          <cell r="P1523">
            <v>0</v>
          </cell>
        </row>
        <row r="1524">
          <cell r="K1524">
            <v>0</v>
          </cell>
          <cell r="M1524">
            <v>0</v>
          </cell>
          <cell r="P1524">
            <v>0</v>
          </cell>
        </row>
        <row r="1525">
          <cell r="K1525">
            <v>0</v>
          </cell>
          <cell r="M1525">
            <v>0</v>
          </cell>
          <cell r="P1525">
            <v>0</v>
          </cell>
        </row>
        <row r="1526">
          <cell r="K1526">
            <v>0</v>
          </cell>
          <cell r="M1526">
            <v>0</v>
          </cell>
          <cell r="P1526">
            <v>0</v>
          </cell>
        </row>
        <row r="1527">
          <cell r="K1527">
            <v>0</v>
          </cell>
          <cell r="M1527">
            <v>0</v>
          </cell>
          <cell r="P1527">
            <v>0</v>
          </cell>
        </row>
        <row r="1528">
          <cell r="K1528">
            <v>0</v>
          </cell>
          <cell r="M1528">
            <v>0</v>
          </cell>
          <cell r="P1528">
            <v>0</v>
          </cell>
        </row>
        <row r="1529">
          <cell r="K1529">
            <v>0</v>
          </cell>
          <cell r="M1529">
            <v>0</v>
          </cell>
          <cell r="P1529">
            <v>0</v>
          </cell>
        </row>
        <row r="1530">
          <cell r="K1530">
            <v>0</v>
          </cell>
          <cell r="M1530">
            <v>0</v>
          </cell>
          <cell r="P1530">
            <v>0</v>
          </cell>
        </row>
        <row r="1531">
          <cell r="K1531">
            <v>0</v>
          </cell>
          <cell r="M1531">
            <v>0</v>
          </cell>
          <cell r="P1531">
            <v>0</v>
          </cell>
        </row>
        <row r="1532">
          <cell r="K1532">
            <v>0</v>
          </cell>
          <cell r="M1532">
            <v>0</v>
          </cell>
          <cell r="P1532">
            <v>0</v>
          </cell>
        </row>
        <row r="1533">
          <cell r="K1533">
            <v>0</v>
          </cell>
          <cell r="M1533">
            <v>0</v>
          </cell>
          <cell r="P1533">
            <v>0</v>
          </cell>
        </row>
        <row r="1534">
          <cell r="K1534">
            <v>0</v>
          </cell>
          <cell r="M1534">
            <v>0</v>
          </cell>
          <cell r="P1534">
            <v>0</v>
          </cell>
        </row>
        <row r="1535">
          <cell r="K1535">
            <v>0</v>
          </cell>
          <cell r="M1535">
            <v>0</v>
          </cell>
          <cell r="P1535">
            <v>0</v>
          </cell>
        </row>
        <row r="1536">
          <cell r="K1536">
            <v>0</v>
          </cell>
          <cell r="M1536">
            <v>0</v>
          </cell>
          <cell r="P1536">
            <v>0</v>
          </cell>
        </row>
        <row r="1537">
          <cell r="K1537">
            <v>0</v>
          </cell>
          <cell r="M1537">
            <v>0</v>
          </cell>
          <cell r="P1537">
            <v>0</v>
          </cell>
        </row>
        <row r="1538">
          <cell r="K1538">
            <v>0</v>
          </cell>
          <cell r="M1538">
            <v>0</v>
          </cell>
          <cell r="P1538">
            <v>0</v>
          </cell>
        </row>
        <row r="1539">
          <cell r="K1539">
            <v>0</v>
          </cell>
          <cell r="M1539">
            <v>0</v>
          </cell>
          <cell r="P1539">
            <v>0</v>
          </cell>
        </row>
        <row r="1540">
          <cell r="K1540">
            <v>0</v>
          </cell>
          <cell r="M1540">
            <v>0</v>
          </cell>
          <cell r="P1540">
            <v>0</v>
          </cell>
        </row>
        <row r="1541">
          <cell r="K1541">
            <v>0</v>
          </cell>
          <cell r="M1541">
            <v>0</v>
          </cell>
          <cell r="P1541">
            <v>0</v>
          </cell>
        </row>
        <row r="1542">
          <cell r="K1542">
            <v>0</v>
          </cell>
          <cell r="M1542">
            <v>0</v>
          </cell>
          <cell r="P1542">
            <v>0</v>
          </cell>
        </row>
        <row r="1543">
          <cell r="K1543">
            <v>0</v>
          </cell>
          <cell r="M1543">
            <v>0</v>
          </cell>
          <cell r="P1543">
            <v>0</v>
          </cell>
        </row>
        <row r="1544">
          <cell r="K1544">
            <v>0</v>
          </cell>
          <cell r="M1544">
            <v>0</v>
          </cell>
          <cell r="P1544">
            <v>0</v>
          </cell>
        </row>
        <row r="1545">
          <cell r="K1545">
            <v>0</v>
          </cell>
          <cell r="M1545">
            <v>0</v>
          </cell>
          <cell r="P1545">
            <v>0</v>
          </cell>
        </row>
        <row r="1546">
          <cell r="K1546">
            <v>0</v>
          </cell>
          <cell r="M1546">
            <v>0</v>
          </cell>
          <cell r="P1546">
            <v>0</v>
          </cell>
        </row>
        <row r="1547">
          <cell r="K1547">
            <v>0</v>
          </cell>
          <cell r="M1547">
            <v>0</v>
          </cell>
          <cell r="P1547">
            <v>0</v>
          </cell>
        </row>
        <row r="1548">
          <cell r="K1548">
            <v>0</v>
          </cell>
          <cell r="M1548">
            <v>0</v>
          </cell>
          <cell r="P1548">
            <v>0</v>
          </cell>
        </row>
        <row r="1549">
          <cell r="K1549">
            <v>0</v>
          </cell>
          <cell r="M1549">
            <v>0</v>
          </cell>
          <cell r="P1549">
            <v>0</v>
          </cell>
        </row>
        <row r="1550">
          <cell r="K1550">
            <v>0</v>
          </cell>
          <cell r="M1550">
            <v>0</v>
          </cell>
          <cell r="P1550">
            <v>0</v>
          </cell>
        </row>
        <row r="1551">
          <cell r="K1551">
            <v>0</v>
          </cell>
          <cell r="M1551">
            <v>0</v>
          </cell>
          <cell r="P1551">
            <v>0</v>
          </cell>
        </row>
        <row r="1552">
          <cell r="K1552">
            <v>0</v>
          </cell>
          <cell r="M1552">
            <v>0</v>
          </cell>
          <cell r="P1552">
            <v>0</v>
          </cell>
        </row>
        <row r="1553">
          <cell r="K1553">
            <v>0</v>
          </cell>
          <cell r="M1553">
            <v>0</v>
          </cell>
          <cell r="P1553">
            <v>0</v>
          </cell>
        </row>
        <row r="1554">
          <cell r="K1554">
            <v>0</v>
          </cell>
          <cell r="M1554">
            <v>0</v>
          </cell>
          <cell r="P1554">
            <v>0</v>
          </cell>
        </row>
        <row r="1555">
          <cell r="K1555">
            <v>0</v>
          </cell>
          <cell r="M1555">
            <v>0</v>
          </cell>
          <cell r="P1555">
            <v>0</v>
          </cell>
        </row>
        <row r="1556">
          <cell r="K1556">
            <v>0</v>
          </cell>
          <cell r="M1556">
            <v>0</v>
          </cell>
          <cell r="P1556">
            <v>0</v>
          </cell>
        </row>
        <row r="1557">
          <cell r="K1557">
            <v>0</v>
          </cell>
          <cell r="M1557">
            <v>0</v>
          </cell>
          <cell r="P1557">
            <v>0</v>
          </cell>
        </row>
        <row r="1558">
          <cell r="K1558">
            <v>0</v>
          </cell>
          <cell r="M1558">
            <v>0</v>
          </cell>
          <cell r="P1558">
            <v>0</v>
          </cell>
        </row>
        <row r="1559">
          <cell r="K1559">
            <v>0</v>
          </cell>
          <cell r="M1559">
            <v>0</v>
          </cell>
          <cell r="P1559">
            <v>0</v>
          </cell>
        </row>
        <row r="1560">
          <cell r="K1560">
            <v>0</v>
          </cell>
          <cell r="M1560">
            <v>0</v>
          </cell>
          <cell r="P1560">
            <v>0</v>
          </cell>
        </row>
        <row r="1561">
          <cell r="K1561">
            <v>0</v>
          </cell>
          <cell r="M1561">
            <v>0</v>
          </cell>
          <cell r="P1561">
            <v>0</v>
          </cell>
        </row>
        <row r="1562">
          <cell r="K1562">
            <v>0</v>
          </cell>
          <cell r="M1562">
            <v>0</v>
          </cell>
          <cell r="P1562">
            <v>0</v>
          </cell>
        </row>
        <row r="1563">
          <cell r="K1563">
            <v>0</v>
          </cell>
          <cell r="M1563">
            <v>0</v>
          </cell>
          <cell r="P1563">
            <v>0</v>
          </cell>
        </row>
        <row r="1564">
          <cell r="K1564">
            <v>0</v>
          </cell>
          <cell r="M1564">
            <v>0</v>
          </cell>
          <cell r="P1564">
            <v>0</v>
          </cell>
        </row>
        <row r="1565">
          <cell r="K1565">
            <v>0</v>
          </cell>
          <cell r="M1565">
            <v>0</v>
          </cell>
          <cell r="P1565">
            <v>0</v>
          </cell>
        </row>
        <row r="1566">
          <cell r="K1566">
            <v>0</v>
          </cell>
          <cell r="M1566">
            <v>0</v>
          </cell>
          <cell r="P1566">
            <v>0</v>
          </cell>
        </row>
        <row r="1567">
          <cell r="K1567">
            <v>0</v>
          </cell>
          <cell r="M1567">
            <v>0</v>
          </cell>
          <cell r="P1567">
            <v>0</v>
          </cell>
        </row>
        <row r="1568">
          <cell r="K1568">
            <v>0</v>
          </cell>
          <cell r="M1568">
            <v>0</v>
          </cell>
          <cell r="P1568">
            <v>0</v>
          </cell>
        </row>
        <row r="1569">
          <cell r="K1569">
            <v>0</v>
          </cell>
          <cell r="M1569">
            <v>0</v>
          </cell>
          <cell r="P1569">
            <v>0</v>
          </cell>
        </row>
        <row r="1570">
          <cell r="K1570">
            <v>0</v>
          </cell>
          <cell r="M1570">
            <v>0</v>
          </cell>
          <cell r="P1570">
            <v>0</v>
          </cell>
        </row>
        <row r="1571">
          <cell r="K1571">
            <v>0</v>
          </cell>
          <cell r="M1571">
            <v>0</v>
          </cell>
          <cell r="P1571">
            <v>0</v>
          </cell>
        </row>
        <row r="1572">
          <cell r="K1572">
            <v>0</v>
          </cell>
          <cell r="M1572">
            <v>0</v>
          </cell>
          <cell r="P1572">
            <v>0</v>
          </cell>
        </row>
        <row r="1573">
          <cell r="K1573">
            <v>0</v>
          </cell>
          <cell r="M1573">
            <v>0</v>
          </cell>
          <cell r="P1573">
            <v>0</v>
          </cell>
        </row>
        <row r="1574">
          <cell r="K1574">
            <v>0</v>
          </cell>
          <cell r="M1574">
            <v>0</v>
          </cell>
          <cell r="P1574">
            <v>0</v>
          </cell>
        </row>
        <row r="1575">
          <cell r="K1575">
            <v>0</v>
          </cell>
          <cell r="M1575">
            <v>0</v>
          </cell>
          <cell r="P1575">
            <v>0</v>
          </cell>
        </row>
        <row r="1576">
          <cell r="K1576">
            <v>0</v>
          </cell>
          <cell r="M1576">
            <v>0</v>
          </cell>
          <cell r="P1576">
            <v>0</v>
          </cell>
        </row>
        <row r="1577">
          <cell r="K1577">
            <v>0</v>
          </cell>
          <cell r="M1577">
            <v>0</v>
          </cell>
          <cell r="P1577">
            <v>0</v>
          </cell>
        </row>
        <row r="1578">
          <cell r="K1578">
            <v>0</v>
          </cell>
          <cell r="M1578">
            <v>0</v>
          </cell>
          <cell r="P1578">
            <v>0</v>
          </cell>
        </row>
        <row r="1579">
          <cell r="K1579">
            <v>0</v>
          </cell>
          <cell r="M1579">
            <v>0</v>
          </cell>
          <cell r="P1579">
            <v>0</v>
          </cell>
        </row>
        <row r="1580">
          <cell r="K1580">
            <v>0</v>
          </cell>
          <cell r="M1580">
            <v>0</v>
          </cell>
          <cell r="P1580">
            <v>0</v>
          </cell>
        </row>
        <row r="1581">
          <cell r="K1581">
            <v>0</v>
          </cell>
          <cell r="M1581">
            <v>0</v>
          </cell>
          <cell r="P1581">
            <v>0</v>
          </cell>
        </row>
        <row r="1582">
          <cell r="K1582">
            <v>0</v>
          </cell>
          <cell r="M1582">
            <v>0</v>
          </cell>
          <cell r="P1582">
            <v>0</v>
          </cell>
        </row>
        <row r="1583">
          <cell r="K1583">
            <v>0</v>
          </cell>
          <cell r="M1583">
            <v>0</v>
          </cell>
          <cell r="P1583">
            <v>0</v>
          </cell>
        </row>
        <row r="1584">
          <cell r="K1584">
            <v>0</v>
          </cell>
          <cell r="M1584">
            <v>0</v>
          </cell>
          <cell r="P1584">
            <v>0</v>
          </cell>
        </row>
        <row r="1585">
          <cell r="K1585">
            <v>0</v>
          </cell>
          <cell r="M1585">
            <v>0</v>
          </cell>
          <cell r="P1585">
            <v>0</v>
          </cell>
        </row>
        <row r="1586">
          <cell r="K1586">
            <v>0</v>
          </cell>
          <cell r="M1586">
            <v>0</v>
          </cell>
          <cell r="P1586">
            <v>0</v>
          </cell>
        </row>
        <row r="1587">
          <cell r="K1587">
            <v>0</v>
          </cell>
          <cell r="M1587">
            <v>0</v>
          </cell>
          <cell r="P1587">
            <v>0</v>
          </cell>
        </row>
        <row r="1588">
          <cell r="K1588">
            <v>0</v>
          </cell>
          <cell r="M1588">
            <v>0</v>
          </cell>
          <cell r="P1588">
            <v>0</v>
          </cell>
        </row>
        <row r="1589">
          <cell r="K1589">
            <v>0</v>
          </cell>
          <cell r="M1589">
            <v>0</v>
          </cell>
          <cell r="P1589">
            <v>0</v>
          </cell>
        </row>
        <row r="1590">
          <cell r="K1590">
            <v>0</v>
          </cell>
          <cell r="M1590">
            <v>0</v>
          </cell>
          <cell r="P1590">
            <v>0</v>
          </cell>
        </row>
        <row r="1591">
          <cell r="K1591">
            <v>0</v>
          </cell>
          <cell r="M1591">
            <v>0</v>
          </cell>
          <cell r="P1591">
            <v>0</v>
          </cell>
        </row>
        <row r="1592">
          <cell r="K1592">
            <v>0</v>
          </cell>
          <cell r="M1592">
            <v>0</v>
          </cell>
          <cell r="P1592">
            <v>0</v>
          </cell>
        </row>
        <row r="1593">
          <cell r="K1593">
            <v>0</v>
          </cell>
          <cell r="M1593">
            <v>0</v>
          </cell>
          <cell r="P1593">
            <v>0</v>
          </cell>
        </row>
        <row r="1594">
          <cell r="K1594">
            <v>0</v>
          </cell>
          <cell r="M1594">
            <v>0</v>
          </cell>
          <cell r="P1594">
            <v>0</v>
          </cell>
        </row>
        <row r="1595">
          <cell r="K1595">
            <v>0</v>
          </cell>
          <cell r="M1595">
            <v>0</v>
          </cell>
          <cell r="P1595">
            <v>0</v>
          </cell>
        </row>
        <row r="1596">
          <cell r="K1596">
            <v>0</v>
          </cell>
          <cell r="M1596">
            <v>0</v>
          </cell>
          <cell r="P1596">
            <v>0</v>
          </cell>
        </row>
        <row r="1597">
          <cell r="K1597">
            <v>0</v>
          </cell>
          <cell r="M1597">
            <v>0</v>
          </cell>
          <cell r="P1597">
            <v>0</v>
          </cell>
        </row>
        <row r="1598">
          <cell r="K1598">
            <v>0</v>
          </cell>
          <cell r="M1598">
            <v>0</v>
          </cell>
          <cell r="P1598">
            <v>0</v>
          </cell>
        </row>
        <row r="1599">
          <cell r="K1599">
            <v>0</v>
          </cell>
          <cell r="M1599">
            <v>0</v>
          </cell>
          <cell r="P1599">
            <v>0</v>
          </cell>
        </row>
        <row r="1600">
          <cell r="K1600">
            <v>0</v>
          </cell>
          <cell r="M1600">
            <v>0</v>
          </cell>
          <cell r="P1600">
            <v>0</v>
          </cell>
        </row>
        <row r="1601">
          <cell r="K1601">
            <v>0</v>
          </cell>
          <cell r="M1601">
            <v>0</v>
          </cell>
          <cell r="P1601">
            <v>0</v>
          </cell>
        </row>
        <row r="1602">
          <cell r="K1602">
            <v>0</v>
          </cell>
          <cell r="M1602">
            <v>0</v>
          </cell>
          <cell r="P1602">
            <v>0</v>
          </cell>
        </row>
        <row r="1603">
          <cell r="K1603">
            <v>0</v>
          </cell>
          <cell r="M1603">
            <v>0</v>
          </cell>
          <cell r="P1603">
            <v>0</v>
          </cell>
        </row>
        <row r="1604">
          <cell r="K1604">
            <v>0</v>
          </cell>
          <cell r="M1604">
            <v>0</v>
          </cell>
          <cell r="P1604">
            <v>0</v>
          </cell>
        </row>
        <row r="1605">
          <cell r="K1605">
            <v>0</v>
          </cell>
          <cell r="M1605">
            <v>0</v>
          </cell>
          <cell r="P1605">
            <v>0</v>
          </cell>
        </row>
        <row r="1606">
          <cell r="K1606">
            <v>0</v>
          </cell>
          <cell r="M1606">
            <v>0</v>
          </cell>
          <cell r="P1606">
            <v>0</v>
          </cell>
        </row>
        <row r="1607">
          <cell r="K1607">
            <v>0</v>
          </cell>
          <cell r="M1607">
            <v>0</v>
          </cell>
          <cell r="P1607">
            <v>0</v>
          </cell>
        </row>
        <row r="1608">
          <cell r="K1608">
            <v>0</v>
          </cell>
          <cell r="M1608">
            <v>0</v>
          </cell>
          <cell r="P1608">
            <v>0</v>
          </cell>
        </row>
        <row r="1609">
          <cell r="K1609">
            <v>0</v>
          </cell>
          <cell r="M1609">
            <v>0</v>
          </cell>
          <cell r="P1609">
            <v>0</v>
          </cell>
        </row>
        <row r="1610">
          <cell r="K1610">
            <v>0</v>
          </cell>
          <cell r="M1610">
            <v>0</v>
          </cell>
          <cell r="P1610">
            <v>0</v>
          </cell>
        </row>
        <row r="1611">
          <cell r="K1611">
            <v>0</v>
          </cell>
          <cell r="M1611">
            <v>0</v>
          </cell>
          <cell r="P1611">
            <v>0</v>
          </cell>
        </row>
        <row r="1612">
          <cell r="K1612">
            <v>0</v>
          </cell>
          <cell r="M1612">
            <v>0</v>
          </cell>
          <cell r="P1612">
            <v>0</v>
          </cell>
        </row>
        <row r="1613">
          <cell r="K1613">
            <v>0</v>
          </cell>
          <cell r="M1613">
            <v>0</v>
          </cell>
          <cell r="P1613">
            <v>0</v>
          </cell>
        </row>
        <row r="1614">
          <cell r="K1614">
            <v>0</v>
          </cell>
          <cell r="M1614">
            <v>0</v>
          </cell>
          <cell r="P1614">
            <v>0</v>
          </cell>
        </row>
        <row r="1615">
          <cell r="K1615">
            <v>0</v>
          </cell>
          <cell r="M1615">
            <v>0</v>
          </cell>
          <cell r="P1615">
            <v>0</v>
          </cell>
        </row>
        <row r="1616">
          <cell r="K1616">
            <v>0</v>
          </cell>
          <cell r="M1616">
            <v>0</v>
          </cell>
          <cell r="P1616">
            <v>0</v>
          </cell>
        </row>
        <row r="1617">
          <cell r="K1617">
            <v>0</v>
          </cell>
          <cell r="M1617">
            <v>0</v>
          </cell>
          <cell r="P1617">
            <v>0</v>
          </cell>
        </row>
        <row r="1618">
          <cell r="K1618">
            <v>0</v>
          </cell>
          <cell r="M1618">
            <v>0</v>
          </cell>
          <cell r="P1618">
            <v>0</v>
          </cell>
        </row>
        <row r="1619">
          <cell r="K1619">
            <v>0</v>
          </cell>
          <cell r="M1619">
            <v>0</v>
          </cell>
          <cell r="P1619">
            <v>0</v>
          </cell>
        </row>
        <row r="1620">
          <cell r="K1620">
            <v>0</v>
          </cell>
          <cell r="M1620">
            <v>0</v>
          </cell>
          <cell r="P1620">
            <v>0</v>
          </cell>
        </row>
        <row r="1621">
          <cell r="K1621">
            <v>0</v>
          </cell>
          <cell r="M1621">
            <v>0</v>
          </cell>
          <cell r="P1621">
            <v>0</v>
          </cell>
        </row>
        <row r="1622">
          <cell r="K1622">
            <v>0</v>
          </cell>
          <cell r="M1622">
            <v>0</v>
          </cell>
          <cell r="P1622">
            <v>0</v>
          </cell>
        </row>
        <row r="1623">
          <cell r="K1623">
            <v>0</v>
          </cell>
          <cell r="M1623">
            <v>0</v>
          </cell>
          <cell r="P1623">
            <v>0</v>
          </cell>
        </row>
        <row r="1624">
          <cell r="K1624">
            <v>0</v>
          </cell>
          <cell r="M1624">
            <v>0</v>
          </cell>
          <cell r="P1624">
            <v>0</v>
          </cell>
        </row>
        <row r="1625">
          <cell r="K1625">
            <v>0</v>
          </cell>
          <cell r="M1625">
            <v>0</v>
          </cell>
          <cell r="P1625">
            <v>0</v>
          </cell>
        </row>
        <row r="1626">
          <cell r="K1626">
            <v>0</v>
          </cell>
          <cell r="M1626">
            <v>0</v>
          </cell>
          <cell r="P1626">
            <v>0</v>
          </cell>
        </row>
        <row r="1627">
          <cell r="K1627">
            <v>0</v>
          </cell>
          <cell r="M1627">
            <v>0</v>
          </cell>
          <cell r="P1627">
            <v>0</v>
          </cell>
        </row>
        <row r="1628">
          <cell r="K1628">
            <v>0</v>
          </cell>
          <cell r="M1628">
            <v>0</v>
          </cell>
          <cell r="P1628">
            <v>0</v>
          </cell>
        </row>
        <row r="1629">
          <cell r="K1629">
            <v>0</v>
          </cell>
          <cell r="M1629">
            <v>0</v>
          </cell>
          <cell r="P1629">
            <v>0</v>
          </cell>
        </row>
        <row r="1630">
          <cell r="K1630">
            <v>0</v>
          </cell>
          <cell r="M1630">
            <v>0</v>
          </cell>
          <cell r="P1630">
            <v>0</v>
          </cell>
        </row>
        <row r="1631">
          <cell r="K1631">
            <v>0</v>
          </cell>
          <cell r="M1631">
            <v>0</v>
          </cell>
          <cell r="P1631">
            <v>0</v>
          </cell>
        </row>
        <row r="1632">
          <cell r="K1632">
            <v>0</v>
          </cell>
          <cell r="M1632">
            <v>0</v>
          </cell>
          <cell r="P1632">
            <v>0</v>
          </cell>
        </row>
        <row r="1633">
          <cell r="K1633">
            <v>0</v>
          </cell>
          <cell r="M1633">
            <v>0</v>
          </cell>
          <cell r="P1633">
            <v>0</v>
          </cell>
        </row>
        <row r="1634">
          <cell r="K1634">
            <v>0</v>
          </cell>
          <cell r="M1634">
            <v>0</v>
          </cell>
          <cell r="P1634">
            <v>0</v>
          </cell>
        </row>
        <row r="1635">
          <cell r="K1635">
            <v>0</v>
          </cell>
          <cell r="M1635">
            <v>0</v>
          </cell>
          <cell r="P1635">
            <v>0</v>
          </cell>
        </row>
        <row r="1636">
          <cell r="K1636">
            <v>0</v>
          </cell>
          <cell r="M1636">
            <v>0</v>
          </cell>
          <cell r="P1636">
            <v>0</v>
          </cell>
        </row>
        <row r="1637">
          <cell r="K1637">
            <v>0</v>
          </cell>
          <cell r="M1637">
            <v>0</v>
          </cell>
          <cell r="P1637">
            <v>0</v>
          </cell>
        </row>
        <row r="1638">
          <cell r="K1638">
            <v>0</v>
          </cell>
          <cell r="M1638">
            <v>0</v>
          </cell>
          <cell r="P1638">
            <v>0</v>
          </cell>
        </row>
        <row r="1639">
          <cell r="K1639">
            <v>0</v>
          </cell>
          <cell r="M1639">
            <v>0</v>
          </cell>
          <cell r="P1639">
            <v>0</v>
          </cell>
        </row>
        <row r="1640">
          <cell r="K1640">
            <v>0</v>
          </cell>
          <cell r="M1640">
            <v>0</v>
          </cell>
          <cell r="P1640">
            <v>0</v>
          </cell>
        </row>
        <row r="1641">
          <cell r="K1641">
            <v>0</v>
          </cell>
          <cell r="M1641">
            <v>0</v>
          </cell>
          <cell r="P1641">
            <v>0</v>
          </cell>
        </row>
        <row r="1642">
          <cell r="K1642">
            <v>0</v>
          </cell>
          <cell r="M1642">
            <v>0</v>
          </cell>
          <cell r="P1642">
            <v>0</v>
          </cell>
        </row>
        <row r="1643">
          <cell r="K1643">
            <v>0</v>
          </cell>
          <cell r="M1643">
            <v>0</v>
          </cell>
          <cell r="P1643">
            <v>0</v>
          </cell>
        </row>
        <row r="1644">
          <cell r="K1644">
            <v>0</v>
          </cell>
          <cell r="M1644">
            <v>0</v>
          </cell>
          <cell r="P1644">
            <v>0</v>
          </cell>
        </row>
        <row r="1645">
          <cell r="K1645">
            <v>0</v>
          </cell>
          <cell r="M1645">
            <v>0</v>
          </cell>
          <cell r="P1645">
            <v>0</v>
          </cell>
        </row>
        <row r="1646">
          <cell r="K1646">
            <v>0</v>
          </cell>
          <cell r="M1646">
            <v>0</v>
          </cell>
          <cell r="P1646">
            <v>0</v>
          </cell>
        </row>
        <row r="1647">
          <cell r="K1647">
            <v>0</v>
          </cell>
          <cell r="M1647">
            <v>0</v>
          </cell>
          <cell r="P1647">
            <v>0</v>
          </cell>
        </row>
        <row r="1648">
          <cell r="K1648">
            <v>0</v>
          </cell>
          <cell r="M1648">
            <v>0</v>
          </cell>
          <cell r="P1648">
            <v>0</v>
          </cell>
        </row>
        <row r="1649">
          <cell r="K1649">
            <v>0</v>
          </cell>
          <cell r="M1649">
            <v>0</v>
          </cell>
          <cell r="P1649">
            <v>0</v>
          </cell>
        </row>
        <row r="1650">
          <cell r="K1650">
            <v>0</v>
          </cell>
          <cell r="M1650">
            <v>0</v>
          </cell>
          <cell r="P1650">
            <v>0</v>
          </cell>
        </row>
        <row r="1651">
          <cell r="K1651">
            <v>0</v>
          </cell>
          <cell r="M1651">
            <v>0</v>
          </cell>
          <cell r="P1651">
            <v>0</v>
          </cell>
        </row>
        <row r="1652">
          <cell r="K1652">
            <v>0</v>
          </cell>
          <cell r="M1652">
            <v>0</v>
          </cell>
          <cell r="P1652">
            <v>0</v>
          </cell>
        </row>
        <row r="1653">
          <cell r="K1653">
            <v>0</v>
          </cell>
          <cell r="M1653">
            <v>0</v>
          </cell>
          <cell r="P1653">
            <v>0</v>
          </cell>
        </row>
        <row r="1654">
          <cell r="K1654">
            <v>0</v>
          </cell>
          <cell r="M1654">
            <v>0</v>
          </cell>
          <cell r="P1654">
            <v>0</v>
          </cell>
        </row>
        <row r="1655">
          <cell r="K1655">
            <v>0</v>
          </cell>
          <cell r="M1655">
            <v>0</v>
          </cell>
          <cell r="P1655">
            <v>0</v>
          </cell>
        </row>
        <row r="1656">
          <cell r="K1656">
            <v>0</v>
          </cell>
          <cell r="M1656">
            <v>0</v>
          </cell>
          <cell r="P1656">
            <v>0</v>
          </cell>
        </row>
        <row r="1657">
          <cell r="K1657">
            <v>0</v>
          </cell>
          <cell r="M1657">
            <v>0</v>
          </cell>
          <cell r="P1657">
            <v>0</v>
          </cell>
        </row>
        <row r="1658">
          <cell r="K1658">
            <v>0</v>
          </cell>
          <cell r="M1658">
            <v>0</v>
          </cell>
          <cell r="P1658">
            <v>0</v>
          </cell>
        </row>
        <row r="1659">
          <cell r="K1659">
            <v>0</v>
          </cell>
          <cell r="M1659">
            <v>0</v>
          </cell>
          <cell r="P1659">
            <v>0</v>
          </cell>
        </row>
        <row r="1660">
          <cell r="K1660">
            <v>0</v>
          </cell>
          <cell r="M1660">
            <v>0</v>
          </cell>
          <cell r="P1660">
            <v>0</v>
          </cell>
        </row>
        <row r="1661">
          <cell r="K1661">
            <v>0</v>
          </cell>
          <cell r="M1661">
            <v>0</v>
          </cell>
          <cell r="P1661">
            <v>0</v>
          </cell>
        </row>
        <row r="1662">
          <cell r="K1662">
            <v>0</v>
          </cell>
          <cell r="M1662">
            <v>0</v>
          </cell>
          <cell r="P1662">
            <v>0</v>
          </cell>
        </row>
        <row r="1663">
          <cell r="K1663">
            <v>0</v>
          </cell>
          <cell r="M1663">
            <v>0</v>
          </cell>
          <cell r="P1663">
            <v>0</v>
          </cell>
        </row>
        <row r="1664">
          <cell r="K1664">
            <v>0</v>
          </cell>
          <cell r="M1664">
            <v>0</v>
          </cell>
          <cell r="P1664">
            <v>0</v>
          </cell>
        </row>
        <row r="1665">
          <cell r="K1665">
            <v>0</v>
          </cell>
          <cell r="M1665">
            <v>0</v>
          </cell>
          <cell r="P1665">
            <v>0</v>
          </cell>
        </row>
        <row r="1666">
          <cell r="K1666">
            <v>0</v>
          </cell>
          <cell r="M1666">
            <v>0</v>
          </cell>
          <cell r="P1666">
            <v>0</v>
          </cell>
        </row>
        <row r="1667">
          <cell r="K1667">
            <v>0</v>
          </cell>
          <cell r="M1667">
            <v>0</v>
          </cell>
          <cell r="P1667">
            <v>0</v>
          </cell>
        </row>
        <row r="1668">
          <cell r="K1668">
            <v>0</v>
          </cell>
          <cell r="M1668">
            <v>0</v>
          </cell>
          <cell r="P1668">
            <v>0</v>
          </cell>
        </row>
        <row r="1669">
          <cell r="K1669">
            <v>0</v>
          </cell>
          <cell r="M1669">
            <v>0</v>
          </cell>
          <cell r="P1669">
            <v>0</v>
          </cell>
        </row>
        <row r="1670">
          <cell r="K1670">
            <v>0</v>
          </cell>
          <cell r="M1670">
            <v>0</v>
          </cell>
          <cell r="P1670">
            <v>0</v>
          </cell>
        </row>
        <row r="1671">
          <cell r="K1671">
            <v>0</v>
          </cell>
          <cell r="M1671">
            <v>0</v>
          </cell>
          <cell r="P1671">
            <v>0</v>
          </cell>
        </row>
        <row r="1672">
          <cell r="K1672">
            <v>0</v>
          </cell>
          <cell r="M1672">
            <v>0</v>
          </cell>
          <cell r="P1672">
            <v>0</v>
          </cell>
        </row>
        <row r="1673">
          <cell r="K1673">
            <v>0</v>
          </cell>
          <cell r="M1673">
            <v>0</v>
          </cell>
          <cell r="P1673">
            <v>0</v>
          </cell>
        </row>
        <row r="1674">
          <cell r="K1674">
            <v>0</v>
          </cell>
          <cell r="M1674">
            <v>0</v>
          </cell>
          <cell r="P1674">
            <v>0</v>
          </cell>
        </row>
        <row r="1675">
          <cell r="K1675">
            <v>0</v>
          </cell>
          <cell r="M1675">
            <v>0</v>
          </cell>
          <cell r="P1675">
            <v>0</v>
          </cell>
        </row>
        <row r="1676">
          <cell r="K1676">
            <v>0</v>
          </cell>
          <cell r="M1676">
            <v>0</v>
          </cell>
          <cell r="P1676">
            <v>0</v>
          </cell>
        </row>
        <row r="1677">
          <cell r="K1677">
            <v>0</v>
          </cell>
          <cell r="M1677">
            <v>0</v>
          </cell>
          <cell r="P1677">
            <v>0</v>
          </cell>
        </row>
        <row r="1678">
          <cell r="K1678">
            <v>0</v>
          </cell>
          <cell r="M1678">
            <v>0</v>
          </cell>
          <cell r="P1678">
            <v>0</v>
          </cell>
        </row>
        <row r="1679">
          <cell r="K1679">
            <v>0</v>
          </cell>
          <cell r="M1679">
            <v>0</v>
          </cell>
          <cell r="P1679">
            <v>0</v>
          </cell>
        </row>
        <row r="1680">
          <cell r="K1680">
            <v>0</v>
          </cell>
          <cell r="M1680">
            <v>0</v>
          </cell>
          <cell r="P1680">
            <v>0</v>
          </cell>
        </row>
        <row r="1681">
          <cell r="K1681">
            <v>0</v>
          </cell>
          <cell r="M1681">
            <v>0</v>
          </cell>
          <cell r="P1681">
            <v>0</v>
          </cell>
        </row>
        <row r="1682">
          <cell r="K1682">
            <v>0</v>
          </cell>
          <cell r="M1682">
            <v>0</v>
          </cell>
          <cell r="P1682">
            <v>0</v>
          </cell>
        </row>
        <row r="1683">
          <cell r="K1683">
            <v>0</v>
          </cell>
          <cell r="M1683">
            <v>0</v>
          </cell>
          <cell r="P1683">
            <v>0</v>
          </cell>
        </row>
        <row r="1684">
          <cell r="K1684">
            <v>0</v>
          </cell>
          <cell r="M1684">
            <v>0</v>
          </cell>
          <cell r="P1684">
            <v>0</v>
          </cell>
        </row>
        <row r="1685">
          <cell r="K1685">
            <v>0</v>
          </cell>
          <cell r="M1685">
            <v>0</v>
          </cell>
          <cell r="P1685">
            <v>0</v>
          </cell>
        </row>
        <row r="1686">
          <cell r="K1686">
            <v>0</v>
          </cell>
          <cell r="M1686">
            <v>0</v>
          </cell>
          <cell r="P1686">
            <v>0</v>
          </cell>
        </row>
        <row r="1687">
          <cell r="K1687">
            <v>0</v>
          </cell>
          <cell r="M1687">
            <v>0</v>
          </cell>
          <cell r="P1687">
            <v>0</v>
          </cell>
        </row>
        <row r="1688">
          <cell r="K1688">
            <v>0</v>
          </cell>
          <cell r="M1688">
            <v>0</v>
          </cell>
          <cell r="P1688">
            <v>0</v>
          </cell>
        </row>
        <row r="1689">
          <cell r="K1689">
            <v>0</v>
          </cell>
          <cell r="M1689">
            <v>0</v>
          </cell>
          <cell r="P1689">
            <v>0</v>
          </cell>
        </row>
        <row r="1690">
          <cell r="K1690">
            <v>0</v>
          </cell>
          <cell r="M1690">
            <v>0</v>
          </cell>
          <cell r="P1690">
            <v>0</v>
          </cell>
        </row>
        <row r="1691">
          <cell r="K1691">
            <v>0</v>
          </cell>
          <cell r="M1691">
            <v>0</v>
          </cell>
          <cell r="P1691">
            <v>0</v>
          </cell>
        </row>
        <row r="1692">
          <cell r="K1692">
            <v>0</v>
          </cell>
          <cell r="M1692">
            <v>0</v>
          </cell>
          <cell r="P1692">
            <v>0</v>
          </cell>
        </row>
        <row r="1693">
          <cell r="K1693">
            <v>0</v>
          </cell>
          <cell r="M1693">
            <v>0</v>
          </cell>
          <cell r="P1693">
            <v>0</v>
          </cell>
        </row>
        <row r="1694">
          <cell r="K1694">
            <v>0</v>
          </cell>
          <cell r="M1694">
            <v>0</v>
          </cell>
          <cell r="P1694">
            <v>0</v>
          </cell>
        </row>
        <row r="1695">
          <cell r="K1695">
            <v>0</v>
          </cell>
          <cell r="M1695">
            <v>0</v>
          </cell>
          <cell r="P1695">
            <v>0</v>
          </cell>
        </row>
        <row r="1696">
          <cell r="K1696">
            <v>0</v>
          </cell>
          <cell r="M1696">
            <v>0</v>
          </cell>
          <cell r="P1696">
            <v>0</v>
          </cell>
        </row>
        <row r="1697">
          <cell r="K1697">
            <v>0</v>
          </cell>
          <cell r="M1697">
            <v>0</v>
          </cell>
          <cell r="P1697">
            <v>0</v>
          </cell>
        </row>
        <row r="1698">
          <cell r="K1698">
            <v>0</v>
          </cell>
          <cell r="M1698">
            <v>0</v>
          </cell>
          <cell r="P1698">
            <v>0</v>
          </cell>
        </row>
        <row r="1699">
          <cell r="K1699">
            <v>0</v>
          </cell>
          <cell r="M1699">
            <v>0</v>
          </cell>
          <cell r="P1699">
            <v>0</v>
          </cell>
        </row>
        <row r="1700">
          <cell r="K1700">
            <v>0</v>
          </cell>
          <cell r="M1700">
            <v>0</v>
          </cell>
          <cell r="P1700">
            <v>0</v>
          </cell>
        </row>
        <row r="1701">
          <cell r="K1701">
            <v>0</v>
          </cell>
          <cell r="M1701">
            <v>0</v>
          </cell>
          <cell r="P1701">
            <v>0</v>
          </cell>
        </row>
        <row r="1702">
          <cell r="K1702">
            <v>0</v>
          </cell>
          <cell r="M1702">
            <v>0</v>
          </cell>
          <cell r="P1702">
            <v>0</v>
          </cell>
        </row>
        <row r="1703">
          <cell r="K1703">
            <v>0</v>
          </cell>
          <cell r="M1703">
            <v>0</v>
          </cell>
          <cell r="P1703">
            <v>0</v>
          </cell>
        </row>
        <row r="1704">
          <cell r="K1704">
            <v>0</v>
          </cell>
          <cell r="M1704">
            <v>0</v>
          </cell>
          <cell r="P1704">
            <v>0</v>
          </cell>
        </row>
        <row r="1705">
          <cell r="K1705">
            <v>0</v>
          </cell>
          <cell r="M1705">
            <v>0</v>
          </cell>
          <cell r="P1705">
            <v>0</v>
          </cell>
        </row>
        <row r="1706">
          <cell r="K1706">
            <v>0</v>
          </cell>
          <cell r="M1706">
            <v>0</v>
          </cell>
          <cell r="P1706">
            <v>0</v>
          </cell>
        </row>
        <row r="1707">
          <cell r="K1707">
            <v>0</v>
          </cell>
          <cell r="M1707">
            <v>0</v>
          </cell>
          <cell r="P1707">
            <v>0</v>
          </cell>
        </row>
        <row r="1708">
          <cell r="K1708">
            <v>0</v>
          </cell>
          <cell r="M1708">
            <v>0</v>
          </cell>
          <cell r="P1708">
            <v>0</v>
          </cell>
        </row>
        <row r="1709">
          <cell r="K1709">
            <v>0</v>
          </cell>
          <cell r="M1709">
            <v>0</v>
          </cell>
          <cell r="P1709">
            <v>0</v>
          </cell>
        </row>
        <row r="1710">
          <cell r="K1710">
            <v>0</v>
          </cell>
          <cell r="M1710">
            <v>0</v>
          </cell>
          <cell r="P1710">
            <v>0</v>
          </cell>
        </row>
        <row r="1711">
          <cell r="K1711">
            <v>0</v>
          </cell>
          <cell r="M1711">
            <v>0</v>
          </cell>
          <cell r="P1711">
            <v>0</v>
          </cell>
        </row>
        <row r="1712">
          <cell r="K1712">
            <v>0</v>
          </cell>
          <cell r="M1712">
            <v>0</v>
          </cell>
          <cell r="P1712">
            <v>0</v>
          </cell>
        </row>
        <row r="1713">
          <cell r="K1713">
            <v>0</v>
          </cell>
          <cell r="M1713">
            <v>0</v>
          </cell>
          <cell r="P1713">
            <v>0</v>
          </cell>
        </row>
        <row r="1714">
          <cell r="K1714">
            <v>0</v>
          </cell>
          <cell r="M1714">
            <v>0</v>
          </cell>
          <cell r="P1714">
            <v>0</v>
          </cell>
        </row>
        <row r="1715">
          <cell r="K1715">
            <v>0</v>
          </cell>
          <cell r="M1715">
            <v>0</v>
          </cell>
          <cell r="P1715">
            <v>0</v>
          </cell>
        </row>
        <row r="1716">
          <cell r="K1716">
            <v>0</v>
          </cell>
          <cell r="M1716">
            <v>0</v>
          </cell>
          <cell r="P1716">
            <v>0</v>
          </cell>
        </row>
        <row r="1717">
          <cell r="K1717">
            <v>0</v>
          </cell>
          <cell r="M1717">
            <v>0</v>
          </cell>
          <cell r="P1717">
            <v>0</v>
          </cell>
        </row>
        <row r="1718">
          <cell r="K1718">
            <v>0</v>
          </cell>
          <cell r="M1718">
            <v>0</v>
          </cell>
          <cell r="P1718">
            <v>0</v>
          </cell>
        </row>
        <row r="1719">
          <cell r="K1719">
            <v>0</v>
          </cell>
          <cell r="M1719">
            <v>0</v>
          </cell>
          <cell r="P1719">
            <v>0</v>
          </cell>
        </row>
        <row r="1720">
          <cell r="K1720">
            <v>0</v>
          </cell>
          <cell r="M1720">
            <v>0</v>
          </cell>
          <cell r="P1720">
            <v>0</v>
          </cell>
        </row>
        <row r="1721">
          <cell r="K1721">
            <v>0</v>
          </cell>
          <cell r="M1721">
            <v>0</v>
          </cell>
          <cell r="P1721">
            <v>0</v>
          </cell>
        </row>
        <row r="1722">
          <cell r="K1722">
            <v>0</v>
          </cell>
          <cell r="M1722">
            <v>0</v>
          </cell>
          <cell r="P1722">
            <v>0</v>
          </cell>
        </row>
        <row r="1723">
          <cell r="K1723">
            <v>0</v>
          </cell>
          <cell r="M1723">
            <v>0</v>
          </cell>
          <cell r="P1723">
            <v>0</v>
          </cell>
        </row>
        <row r="1724">
          <cell r="K1724">
            <v>0</v>
          </cell>
          <cell r="M1724">
            <v>0</v>
          </cell>
          <cell r="P1724">
            <v>0</v>
          </cell>
        </row>
        <row r="1725">
          <cell r="K1725">
            <v>0</v>
          </cell>
          <cell r="M1725">
            <v>0</v>
          </cell>
          <cell r="P1725">
            <v>0</v>
          </cell>
        </row>
        <row r="1726">
          <cell r="K1726">
            <v>0</v>
          </cell>
          <cell r="M1726">
            <v>0</v>
          </cell>
          <cell r="P1726">
            <v>0</v>
          </cell>
        </row>
        <row r="1727">
          <cell r="K1727">
            <v>0</v>
          </cell>
          <cell r="M1727">
            <v>0</v>
          </cell>
          <cell r="P1727">
            <v>0</v>
          </cell>
        </row>
        <row r="1728">
          <cell r="K1728">
            <v>0</v>
          </cell>
          <cell r="M1728">
            <v>0</v>
          </cell>
          <cell r="P1728">
            <v>0</v>
          </cell>
        </row>
        <row r="1729">
          <cell r="K1729">
            <v>0</v>
          </cell>
          <cell r="M1729">
            <v>0</v>
          </cell>
          <cell r="P1729">
            <v>0</v>
          </cell>
        </row>
        <row r="1730">
          <cell r="K1730">
            <v>0</v>
          </cell>
          <cell r="M1730">
            <v>0</v>
          </cell>
          <cell r="P1730">
            <v>0</v>
          </cell>
        </row>
        <row r="1731">
          <cell r="K1731">
            <v>0</v>
          </cell>
          <cell r="M1731">
            <v>0</v>
          </cell>
          <cell r="P1731">
            <v>0</v>
          </cell>
        </row>
        <row r="1732">
          <cell r="K1732">
            <v>0</v>
          </cell>
          <cell r="M1732">
            <v>0</v>
          </cell>
          <cell r="P1732">
            <v>0</v>
          </cell>
        </row>
        <row r="1733">
          <cell r="K1733">
            <v>0</v>
          </cell>
          <cell r="M1733">
            <v>0</v>
          </cell>
          <cell r="P1733">
            <v>0</v>
          </cell>
        </row>
        <row r="1734">
          <cell r="K1734">
            <v>0</v>
          </cell>
          <cell r="M1734">
            <v>0</v>
          </cell>
          <cell r="P1734">
            <v>0</v>
          </cell>
        </row>
        <row r="1735">
          <cell r="K1735">
            <v>0</v>
          </cell>
          <cell r="M1735">
            <v>0</v>
          </cell>
          <cell r="P1735">
            <v>0</v>
          </cell>
        </row>
        <row r="1736">
          <cell r="K1736">
            <v>0</v>
          </cell>
          <cell r="M1736">
            <v>0</v>
          </cell>
          <cell r="P1736">
            <v>0</v>
          </cell>
        </row>
        <row r="1737">
          <cell r="K1737">
            <v>0</v>
          </cell>
          <cell r="M1737">
            <v>0</v>
          </cell>
          <cell r="P1737">
            <v>0</v>
          </cell>
        </row>
        <row r="1738">
          <cell r="K1738">
            <v>0</v>
          </cell>
          <cell r="M1738">
            <v>0</v>
          </cell>
          <cell r="P1738">
            <v>0</v>
          </cell>
        </row>
        <row r="1739">
          <cell r="K1739">
            <v>0</v>
          </cell>
          <cell r="M1739">
            <v>0</v>
          </cell>
          <cell r="P1739">
            <v>0</v>
          </cell>
        </row>
        <row r="1740">
          <cell r="K1740">
            <v>0</v>
          </cell>
          <cell r="M1740">
            <v>0</v>
          </cell>
          <cell r="P1740">
            <v>0</v>
          </cell>
        </row>
        <row r="1741">
          <cell r="K1741">
            <v>0</v>
          </cell>
          <cell r="M1741">
            <v>0</v>
          </cell>
          <cell r="P1741">
            <v>0</v>
          </cell>
        </row>
        <row r="1742">
          <cell r="K1742">
            <v>0</v>
          </cell>
          <cell r="M1742">
            <v>0</v>
          </cell>
          <cell r="P1742">
            <v>0</v>
          </cell>
        </row>
        <row r="1743">
          <cell r="K1743">
            <v>0</v>
          </cell>
          <cell r="M1743">
            <v>0</v>
          </cell>
          <cell r="P1743">
            <v>0</v>
          </cell>
        </row>
        <row r="1744">
          <cell r="K1744">
            <v>0</v>
          </cell>
          <cell r="M1744">
            <v>0</v>
          </cell>
          <cell r="P1744">
            <v>0</v>
          </cell>
        </row>
        <row r="1745">
          <cell r="K1745">
            <v>0</v>
          </cell>
          <cell r="M1745">
            <v>0</v>
          </cell>
          <cell r="P1745">
            <v>0</v>
          </cell>
        </row>
        <row r="1746">
          <cell r="K1746">
            <v>0</v>
          </cell>
          <cell r="M1746">
            <v>0</v>
          </cell>
          <cell r="P1746">
            <v>0</v>
          </cell>
        </row>
        <row r="1747">
          <cell r="K1747">
            <v>0</v>
          </cell>
          <cell r="M1747">
            <v>0</v>
          </cell>
          <cell r="P1747">
            <v>0</v>
          </cell>
        </row>
        <row r="1748">
          <cell r="K1748">
            <v>0</v>
          </cell>
          <cell r="M1748">
            <v>0</v>
          </cell>
          <cell r="P1748">
            <v>0</v>
          </cell>
        </row>
        <row r="1749">
          <cell r="K1749">
            <v>0</v>
          </cell>
          <cell r="M1749">
            <v>0</v>
          </cell>
          <cell r="P1749">
            <v>0</v>
          </cell>
        </row>
        <row r="1750">
          <cell r="K1750">
            <v>0</v>
          </cell>
          <cell r="M1750">
            <v>0</v>
          </cell>
          <cell r="P1750">
            <v>0</v>
          </cell>
        </row>
        <row r="1751">
          <cell r="K1751">
            <v>0</v>
          </cell>
          <cell r="M1751">
            <v>0</v>
          </cell>
          <cell r="P1751">
            <v>0</v>
          </cell>
        </row>
        <row r="1752">
          <cell r="K1752">
            <v>0</v>
          </cell>
          <cell r="M1752">
            <v>0</v>
          </cell>
          <cell r="P1752">
            <v>0</v>
          </cell>
        </row>
        <row r="1753">
          <cell r="K1753">
            <v>0</v>
          </cell>
          <cell r="M1753">
            <v>0</v>
          </cell>
          <cell r="P1753">
            <v>0</v>
          </cell>
        </row>
        <row r="1754">
          <cell r="K1754">
            <v>0</v>
          </cell>
          <cell r="M1754">
            <v>0</v>
          </cell>
          <cell r="P1754">
            <v>0</v>
          </cell>
        </row>
        <row r="1755">
          <cell r="K1755">
            <v>0</v>
          </cell>
          <cell r="M1755">
            <v>0</v>
          </cell>
          <cell r="P1755">
            <v>0</v>
          </cell>
        </row>
        <row r="1756">
          <cell r="K1756">
            <v>0</v>
          </cell>
          <cell r="M1756">
            <v>0</v>
          </cell>
          <cell r="P1756">
            <v>0</v>
          </cell>
        </row>
        <row r="1757">
          <cell r="K1757">
            <v>0</v>
          </cell>
          <cell r="M1757">
            <v>0</v>
          </cell>
          <cell r="P1757">
            <v>0</v>
          </cell>
        </row>
        <row r="1758">
          <cell r="K1758">
            <v>0</v>
          </cell>
          <cell r="M1758">
            <v>0</v>
          </cell>
          <cell r="P1758">
            <v>0</v>
          </cell>
        </row>
        <row r="1759">
          <cell r="K1759">
            <v>0</v>
          </cell>
          <cell r="M1759">
            <v>0</v>
          </cell>
          <cell r="P1759">
            <v>0</v>
          </cell>
        </row>
        <row r="1760">
          <cell r="K1760">
            <v>0</v>
          </cell>
          <cell r="M1760">
            <v>0</v>
          </cell>
          <cell r="P1760">
            <v>0</v>
          </cell>
        </row>
        <row r="1761">
          <cell r="K1761">
            <v>0</v>
          </cell>
          <cell r="M1761">
            <v>0</v>
          </cell>
          <cell r="P1761">
            <v>0</v>
          </cell>
        </row>
        <row r="1762">
          <cell r="K1762">
            <v>0</v>
          </cell>
          <cell r="M1762">
            <v>0</v>
          </cell>
          <cell r="P1762">
            <v>0</v>
          </cell>
        </row>
        <row r="1763">
          <cell r="K1763">
            <v>0</v>
          </cell>
          <cell r="M1763">
            <v>0</v>
          </cell>
          <cell r="P1763">
            <v>0</v>
          </cell>
        </row>
        <row r="1764">
          <cell r="K1764">
            <v>0</v>
          </cell>
          <cell r="M1764">
            <v>0</v>
          </cell>
          <cell r="P1764">
            <v>0</v>
          </cell>
        </row>
        <row r="1765">
          <cell r="K1765">
            <v>0</v>
          </cell>
          <cell r="M1765">
            <v>0</v>
          </cell>
          <cell r="P1765">
            <v>0</v>
          </cell>
        </row>
        <row r="1766">
          <cell r="K1766">
            <v>0</v>
          </cell>
          <cell r="M1766">
            <v>0</v>
          </cell>
          <cell r="P1766">
            <v>0</v>
          </cell>
        </row>
        <row r="1767">
          <cell r="K1767">
            <v>0</v>
          </cell>
          <cell r="M1767">
            <v>0</v>
          </cell>
          <cell r="P1767">
            <v>0</v>
          </cell>
        </row>
        <row r="1768">
          <cell r="K1768">
            <v>0</v>
          </cell>
          <cell r="M1768">
            <v>0</v>
          </cell>
          <cell r="P1768">
            <v>0</v>
          </cell>
        </row>
        <row r="1769">
          <cell r="K1769">
            <v>0</v>
          </cell>
          <cell r="M1769">
            <v>0</v>
          </cell>
          <cell r="P1769">
            <v>0</v>
          </cell>
        </row>
        <row r="1770">
          <cell r="K1770">
            <v>0</v>
          </cell>
          <cell r="M1770">
            <v>0</v>
          </cell>
          <cell r="P1770">
            <v>0</v>
          </cell>
        </row>
        <row r="1771">
          <cell r="K1771">
            <v>0</v>
          </cell>
          <cell r="M1771">
            <v>0</v>
          </cell>
          <cell r="P1771">
            <v>0</v>
          </cell>
        </row>
        <row r="1772">
          <cell r="K1772">
            <v>0</v>
          </cell>
          <cell r="M1772">
            <v>0</v>
          </cell>
          <cell r="P1772">
            <v>0</v>
          </cell>
        </row>
        <row r="1773">
          <cell r="K1773">
            <v>0</v>
          </cell>
          <cell r="M1773">
            <v>0</v>
          </cell>
          <cell r="P1773">
            <v>0</v>
          </cell>
        </row>
        <row r="1774">
          <cell r="K1774">
            <v>0</v>
          </cell>
          <cell r="M1774">
            <v>0</v>
          </cell>
          <cell r="P1774">
            <v>0</v>
          </cell>
        </row>
        <row r="1775">
          <cell r="K1775">
            <v>0</v>
          </cell>
          <cell r="M1775">
            <v>0</v>
          </cell>
          <cell r="P1775">
            <v>0</v>
          </cell>
        </row>
        <row r="1776">
          <cell r="K1776">
            <v>0</v>
          </cell>
          <cell r="M1776">
            <v>0</v>
          </cell>
          <cell r="P1776">
            <v>0</v>
          </cell>
        </row>
        <row r="1777">
          <cell r="K1777">
            <v>0</v>
          </cell>
          <cell r="M1777">
            <v>0</v>
          </cell>
          <cell r="P1777">
            <v>0</v>
          </cell>
        </row>
        <row r="1778">
          <cell r="K1778">
            <v>0</v>
          </cell>
          <cell r="M1778">
            <v>0</v>
          </cell>
          <cell r="P1778">
            <v>0</v>
          </cell>
        </row>
        <row r="1779">
          <cell r="K1779">
            <v>0</v>
          </cell>
          <cell r="M1779">
            <v>0</v>
          </cell>
          <cell r="P1779">
            <v>0</v>
          </cell>
        </row>
        <row r="1780">
          <cell r="K1780">
            <v>0</v>
          </cell>
          <cell r="M1780">
            <v>0</v>
          </cell>
          <cell r="P1780">
            <v>0</v>
          </cell>
        </row>
        <row r="1781">
          <cell r="K1781">
            <v>0</v>
          </cell>
          <cell r="M1781">
            <v>0</v>
          </cell>
          <cell r="P1781">
            <v>0</v>
          </cell>
        </row>
        <row r="1782">
          <cell r="K1782">
            <v>0</v>
          </cell>
          <cell r="M1782">
            <v>0</v>
          </cell>
          <cell r="P1782">
            <v>0</v>
          </cell>
        </row>
        <row r="1783">
          <cell r="K1783">
            <v>0</v>
          </cell>
          <cell r="M1783">
            <v>0</v>
          </cell>
          <cell r="P1783">
            <v>0</v>
          </cell>
        </row>
        <row r="1784">
          <cell r="K1784">
            <v>0</v>
          </cell>
          <cell r="M1784">
            <v>0</v>
          </cell>
          <cell r="P1784">
            <v>0</v>
          </cell>
        </row>
        <row r="1785">
          <cell r="K1785">
            <v>0</v>
          </cell>
          <cell r="M1785">
            <v>0</v>
          </cell>
          <cell r="P1785">
            <v>0</v>
          </cell>
        </row>
        <row r="1786">
          <cell r="K1786">
            <v>0</v>
          </cell>
          <cell r="M1786">
            <v>0</v>
          </cell>
          <cell r="P1786">
            <v>0</v>
          </cell>
        </row>
        <row r="1787">
          <cell r="K1787">
            <v>0</v>
          </cell>
          <cell r="M1787">
            <v>0</v>
          </cell>
          <cell r="P1787">
            <v>0</v>
          </cell>
        </row>
        <row r="1788">
          <cell r="K1788">
            <v>0</v>
          </cell>
          <cell r="M1788">
            <v>0</v>
          </cell>
          <cell r="P1788">
            <v>0</v>
          </cell>
        </row>
        <row r="1789">
          <cell r="K1789">
            <v>0</v>
          </cell>
          <cell r="M1789">
            <v>0</v>
          </cell>
          <cell r="P1789">
            <v>0</v>
          </cell>
        </row>
        <row r="1790">
          <cell r="K1790">
            <v>0</v>
          </cell>
          <cell r="M1790">
            <v>0</v>
          </cell>
          <cell r="P1790">
            <v>0</v>
          </cell>
        </row>
        <row r="1791">
          <cell r="K1791">
            <v>0</v>
          </cell>
          <cell r="M1791">
            <v>0</v>
          </cell>
          <cell r="P1791">
            <v>0</v>
          </cell>
        </row>
        <row r="1792">
          <cell r="K1792">
            <v>0</v>
          </cell>
          <cell r="M1792">
            <v>0</v>
          </cell>
          <cell r="P1792">
            <v>0</v>
          </cell>
        </row>
        <row r="1793">
          <cell r="K1793">
            <v>0</v>
          </cell>
          <cell r="M1793">
            <v>0</v>
          </cell>
          <cell r="P1793">
            <v>0</v>
          </cell>
        </row>
        <row r="1794">
          <cell r="K1794">
            <v>0</v>
          </cell>
          <cell r="M1794">
            <v>0</v>
          </cell>
          <cell r="P1794">
            <v>0</v>
          </cell>
        </row>
        <row r="1795">
          <cell r="K1795">
            <v>0</v>
          </cell>
          <cell r="M1795">
            <v>0</v>
          </cell>
          <cell r="P1795">
            <v>0</v>
          </cell>
        </row>
        <row r="1796">
          <cell r="K1796">
            <v>0</v>
          </cell>
          <cell r="M1796">
            <v>0</v>
          </cell>
          <cell r="P1796">
            <v>0</v>
          </cell>
        </row>
        <row r="1797">
          <cell r="K1797">
            <v>0</v>
          </cell>
          <cell r="M1797">
            <v>0</v>
          </cell>
          <cell r="P1797">
            <v>0</v>
          </cell>
        </row>
        <row r="1798">
          <cell r="K1798">
            <v>0</v>
          </cell>
          <cell r="M1798">
            <v>0</v>
          </cell>
          <cell r="P1798">
            <v>0</v>
          </cell>
        </row>
        <row r="1799">
          <cell r="K1799">
            <v>0</v>
          </cell>
          <cell r="M1799">
            <v>0</v>
          </cell>
          <cell r="P1799">
            <v>0</v>
          </cell>
        </row>
        <row r="1800">
          <cell r="K1800">
            <v>0</v>
          </cell>
          <cell r="M1800">
            <v>0</v>
          </cell>
          <cell r="P1800">
            <v>0</v>
          </cell>
        </row>
        <row r="1801">
          <cell r="K1801">
            <v>0</v>
          </cell>
          <cell r="M1801">
            <v>0</v>
          </cell>
          <cell r="P1801">
            <v>0</v>
          </cell>
        </row>
        <row r="1802">
          <cell r="K1802">
            <v>0</v>
          </cell>
          <cell r="M1802">
            <v>0</v>
          </cell>
          <cell r="P1802">
            <v>0</v>
          </cell>
        </row>
        <row r="1803">
          <cell r="K1803">
            <v>0</v>
          </cell>
          <cell r="M1803">
            <v>0</v>
          </cell>
          <cell r="P1803">
            <v>0</v>
          </cell>
        </row>
        <row r="1804">
          <cell r="K1804">
            <v>0</v>
          </cell>
          <cell r="M1804">
            <v>0</v>
          </cell>
          <cell r="P1804">
            <v>0</v>
          </cell>
        </row>
        <row r="1805">
          <cell r="K1805">
            <v>0</v>
          </cell>
          <cell r="M1805">
            <v>0</v>
          </cell>
          <cell r="P1805">
            <v>0</v>
          </cell>
        </row>
        <row r="1806">
          <cell r="K1806">
            <v>0</v>
          </cell>
          <cell r="M1806">
            <v>0</v>
          </cell>
          <cell r="P1806">
            <v>0</v>
          </cell>
        </row>
        <row r="1807">
          <cell r="K1807">
            <v>0</v>
          </cell>
          <cell r="M1807">
            <v>0</v>
          </cell>
          <cell r="P1807">
            <v>0</v>
          </cell>
        </row>
        <row r="1808">
          <cell r="K1808">
            <v>0</v>
          </cell>
          <cell r="M1808">
            <v>0</v>
          </cell>
          <cell r="P1808">
            <v>0</v>
          </cell>
        </row>
        <row r="1809">
          <cell r="K1809">
            <v>0</v>
          </cell>
          <cell r="M1809">
            <v>0</v>
          </cell>
          <cell r="P1809">
            <v>0</v>
          </cell>
        </row>
        <row r="1810">
          <cell r="K1810">
            <v>0</v>
          </cell>
          <cell r="M1810">
            <v>0</v>
          </cell>
          <cell r="P1810">
            <v>0</v>
          </cell>
        </row>
        <row r="1811">
          <cell r="K1811">
            <v>0</v>
          </cell>
          <cell r="M1811">
            <v>0</v>
          </cell>
          <cell r="P1811">
            <v>0</v>
          </cell>
        </row>
        <row r="1812">
          <cell r="K1812">
            <v>0</v>
          </cell>
          <cell r="M1812">
            <v>0</v>
          </cell>
          <cell r="P1812">
            <v>0</v>
          </cell>
        </row>
        <row r="1813">
          <cell r="K1813">
            <v>0</v>
          </cell>
          <cell r="M1813">
            <v>0</v>
          </cell>
          <cell r="P1813">
            <v>0</v>
          </cell>
        </row>
        <row r="1814">
          <cell r="K1814">
            <v>0</v>
          </cell>
          <cell r="M1814">
            <v>0</v>
          </cell>
          <cell r="P1814">
            <v>0</v>
          </cell>
        </row>
        <row r="1815">
          <cell r="K1815">
            <v>0</v>
          </cell>
          <cell r="M1815">
            <v>0</v>
          </cell>
          <cell r="P1815">
            <v>0</v>
          </cell>
        </row>
        <row r="1816">
          <cell r="K1816">
            <v>0</v>
          </cell>
          <cell r="M1816">
            <v>0</v>
          </cell>
          <cell r="P1816">
            <v>0</v>
          </cell>
        </row>
        <row r="1817">
          <cell r="K1817">
            <v>0</v>
          </cell>
          <cell r="M1817">
            <v>0</v>
          </cell>
          <cell r="P1817">
            <v>0</v>
          </cell>
        </row>
        <row r="1818">
          <cell r="K1818">
            <v>0</v>
          </cell>
          <cell r="M1818">
            <v>0</v>
          </cell>
          <cell r="P1818">
            <v>0</v>
          </cell>
        </row>
        <row r="1819">
          <cell r="K1819">
            <v>0</v>
          </cell>
          <cell r="M1819">
            <v>0</v>
          </cell>
          <cell r="P1819">
            <v>0</v>
          </cell>
        </row>
        <row r="1820">
          <cell r="K1820">
            <v>0</v>
          </cell>
          <cell r="M1820">
            <v>0</v>
          </cell>
          <cell r="P1820">
            <v>0</v>
          </cell>
        </row>
        <row r="1821">
          <cell r="K1821">
            <v>0</v>
          </cell>
          <cell r="M1821">
            <v>0</v>
          </cell>
          <cell r="P1821">
            <v>0</v>
          </cell>
        </row>
        <row r="1822">
          <cell r="K1822">
            <v>0</v>
          </cell>
          <cell r="M1822">
            <v>0</v>
          </cell>
          <cell r="P1822">
            <v>0</v>
          </cell>
        </row>
        <row r="1823">
          <cell r="K1823">
            <v>0</v>
          </cell>
          <cell r="M1823">
            <v>0</v>
          </cell>
          <cell r="P1823">
            <v>0</v>
          </cell>
        </row>
        <row r="1824">
          <cell r="K1824">
            <v>0</v>
          </cell>
          <cell r="M1824">
            <v>0</v>
          </cell>
          <cell r="P1824">
            <v>0</v>
          </cell>
        </row>
        <row r="1825">
          <cell r="K1825">
            <v>0</v>
          </cell>
          <cell r="M1825">
            <v>0</v>
          </cell>
          <cell r="P1825">
            <v>0</v>
          </cell>
        </row>
        <row r="1826">
          <cell r="K1826">
            <v>0</v>
          </cell>
          <cell r="M1826">
            <v>0</v>
          </cell>
          <cell r="P1826">
            <v>0</v>
          </cell>
        </row>
        <row r="1827">
          <cell r="K1827">
            <v>0</v>
          </cell>
          <cell r="M1827">
            <v>0</v>
          </cell>
          <cell r="P1827">
            <v>0</v>
          </cell>
        </row>
        <row r="1828">
          <cell r="K1828">
            <v>0</v>
          </cell>
          <cell r="M1828">
            <v>0</v>
          </cell>
          <cell r="P1828">
            <v>0</v>
          </cell>
        </row>
        <row r="1829">
          <cell r="K1829">
            <v>0</v>
          </cell>
          <cell r="M1829">
            <v>0</v>
          </cell>
          <cell r="P1829">
            <v>0</v>
          </cell>
        </row>
        <row r="1830">
          <cell r="K1830">
            <v>0</v>
          </cell>
          <cell r="M1830">
            <v>0</v>
          </cell>
          <cell r="P1830">
            <v>0</v>
          </cell>
        </row>
        <row r="1831">
          <cell r="K1831">
            <v>0</v>
          </cell>
          <cell r="M1831">
            <v>0</v>
          </cell>
          <cell r="P1831">
            <v>0</v>
          </cell>
        </row>
        <row r="1832">
          <cell r="K1832">
            <v>0</v>
          </cell>
          <cell r="M1832">
            <v>0</v>
          </cell>
          <cell r="P1832">
            <v>0</v>
          </cell>
        </row>
        <row r="1833">
          <cell r="K1833">
            <v>0</v>
          </cell>
          <cell r="M1833">
            <v>0</v>
          </cell>
          <cell r="P1833">
            <v>0</v>
          </cell>
        </row>
        <row r="1834">
          <cell r="K1834">
            <v>0</v>
          </cell>
          <cell r="M1834">
            <v>0</v>
          </cell>
          <cell r="P1834">
            <v>0</v>
          </cell>
        </row>
        <row r="1835">
          <cell r="K1835">
            <v>0</v>
          </cell>
          <cell r="M1835">
            <v>0</v>
          </cell>
          <cell r="P1835">
            <v>0</v>
          </cell>
        </row>
        <row r="1836">
          <cell r="K1836">
            <v>0</v>
          </cell>
          <cell r="M1836">
            <v>0</v>
          </cell>
          <cell r="P1836">
            <v>0</v>
          </cell>
        </row>
        <row r="1837">
          <cell r="K1837">
            <v>0</v>
          </cell>
          <cell r="M1837">
            <v>0</v>
          </cell>
          <cell r="P1837">
            <v>0</v>
          </cell>
        </row>
        <row r="1838">
          <cell r="K1838">
            <v>0</v>
          </cell>
          <cell r="M1838">
            <v>0</v>
          </cell>
          <cell r="P1838">
            <v>0</v>
          </cell>
        </row>
        <row r="1839">
          <cell r="K1839">
            <v>0</v>
          </cell>
          <cell r="M1839">
            <v>0</v>
          </cell>
          <cell r="P1839">
            <v>0</v>
          </cell>
        </row>
        <row r="1840">
          <cell r="K1840">
            <v>0</v>
          </cell>
          <cell r="M1840">
            <v>0</v>
          </cell>
          <cell r="P1840">
            <v>0</v>
          </cell>
        </row>
        <row r="1841">
          <cell r="K1841">
            <v>0</v>
          </cell>
          <cell r="M1841">
            <v>0</v>
          </cell>
          <cell r="P1841">
            <v>0</v>
          </cell>
        </row>
        <row r="1842">
          <cell r="K1842">
            <v>0</v>
          </cell>
          <cell r="M1842">
            <v>0</v>
          </cell>
          <cell r="P1842">
            <v>0</v>
          </cell>
        </row>
        <row r="1843">
          <cell r="K1843">
            <v>0</v>
          </cell>
          <cell r="M1843">
            <v>0</v>
          </cell>
          <cell r="P1843">
            <v>0</v>
          </cell>
        </row>
        <row r="1844">
          <cell r="K1844">
            <v>0</v>
          </cell>
          <cell r="M1844">
            <v>0</v>
          </cell>
          <cell r="P1844">
            <v>0</v>
          </cell>
        </row>
        <row r="1845">
          <cell r="K1845">
            <v>0</v>
          </cell>
          <cell r="M1845">
            <v>0</v>
          </cell>
          <cell r="P1845">
            <v>0</v>
          </cell>
        </row>
        <row r="1846">
          <cell r="K1846">
            <v>0</v>
          </cell>
          <cell r="M1846">
            <v>0</v>
          </cell>
          <cell r="P1846">
            <v>0</v>
          </cell>
        </row>
        <row r="1847">
          <cell r="K1847">
            <v>0</v>
          </cell>
          <cell r="M1847">
            <v>0</v>
          </cell>
          <cell r="P1847">
            <v>0</v>
          </cell>
        </row>
        <row r="1848">
          <cell r="K1848">
            <v>0</v>
          </cell>
          <cell r="M1848">
            <v>0</v>
          </cell>
          <cell r="P1848">
            <v>0</v>
          </cell>
        </row>
        <row r="1849">
          <cell r="K1849">
            <v>0</v>
          </cell>
          <cell r="M1849">
            <v>0</v>
          </cell>
          <cell r="P1849">
            <v>0</v>
          </cell>
        </row>
        <row r="1850">
          <cell r="K1850">
            <v>0</v>
          </cell>
          <cell r="M1850">
            <v>0</v>
          </cell>
          <cell r="P1850">
            <v>0</v>
          </cell>
        </row>
        <row r="1851">
          <cell r="K1851">
            <v>0</v>
          </cell>
          <cell r="M1851">
            <v>0</v>
          </cell>
          <cell r="P1851">
            <v>0</v>
          </cell>
        </row>
        <row r="1852">
          <cell r="K1852">
            <v>0</v>
          </cell>
          <cell r="M1852">
            <v>0</v>
          </cell>
          <cell r="P1852">
            <v>0</v>
          </cell>
        </row>
        <row r="1853">
          <cell r="K1853">
            <v>0</v>
          </cell>
          <cell r="M1853">
            <v>0</v>
          </cell>
          <cell r="P1853">
            <v>0</v>
          </cell>
        </row>
        <row r="1854">
          <cell r="K1854">
            <v>0</v>
          </cell>
          <cell r="M1854">
            <v>0</v>
          </cell>
          <cell r="P1854">
            <v>0</v>
          </cell>
        </row>
        <row r="1855">
          <cell r="K1855">
            <v>0</v>
          </cell>
          <cell r="M1855">
            <v>0</v>
          </cell>
          <cell r="P1855">
            <v>0</v>
          </cell>
        </row>
        <row r="1856">
          <cell r="K1856">
            <v>0</v>
          </cell>
          <cell r="M1856">
            <v>0</v>
          </cell>
          <cell r="P1856">
            <v>0</v>
          </cell>
        </row>
        <row r="1857">
          <cell r="K1857">
            <v>0</v>
          </cell>
          <cell r="M1857">
            <v>0</v>
          </cell>
          <cell r="P1857">
            <v>0</v>
          </cell>
        </row>
        <row r="1858">
          <cell r="K1858">
            <v>0</v>
          </cell>
          <cell r="M1858">
            <v>0</v>
          </cell>
          <cell r="P1858">
            <v>0</v>
          </cell>
        </row>
        <row r="1859">
          <cell r="K1859">
            <v>0</v>
          </cell>
          <cell r="M1859">
            <v>0</v>
          </cell>
          <cell r="P1859">
            <v>0</v>
          </cell>
        </row>
        <row r="1860">
          <cell r="K1860">
            <v>0</v>
          </cell>
          <cell r="M1860">
            <v>0</v>
          </cell>
          <cell r="P1860">
            <v>0</v>
          </cell>
        </row>
        <row r="1861">
          <cell r="K1861">
            <v>0</v>
          </cell>
          <cell r="M1861">
            <v>0</v>
          </cell>
          <cell r="P1861">
            <v>0</v>
          </cell>
        </row>
        <row r="1862">
          <cell r="K1862">
            <v>0</v>
          </cell>
          <cell r="M1862">
            <v>0</v>
          </cell>
          <cell r="P1862">
            <v>0</v>
          </cell>
        </row>
        <row r="1863">
          <cell r="K1863">
            <v>0</v>
          </cell>
          <cell r="M1863">
            <v>0</v>
          </cell>
          <cell r="P1863">
            <v>0</v>
          </cell>
        </row>
        <row r="1864">
          <cell r="K1864">
            <v>0</v>
          </cell>
          <cell r="M1864">
            <v>0</v>
          </cell>
          <cell r="P1864">
            <v>0</v>
          </cell>
        </row>
        <row r="1865">
          <cell r="K1865">
            <v>0</v>
          </cell>
          <cell r="M1865">
            <v>0</v>
          </cell>
          <cell r="P1865">
            <v>0</v>
          </cell>
        </row>
        <row r="1866">
          <cell r="K1866">
            <v>0</v>
          </cell>
          <cell r="M1866">
            <v>0</v>
          </cell>
          <cell r="P1866">
            <v>0</v>
          </cell>
        </row>
        <row r="1867">
          <cell r="K1867">
            <v>0</v>
          </cell>
          <cell r="M1867">
            <v>0</v>
          </cell>
          <cell r="P1867">
            <v>0</v>
          </cell>
        </row>
        <row r="1868">
          <cell r="K1868">
            <v>0</v>
          </cell>
          <cell r="M1868">
            <v>0</v>
          </cell>
          <cell r="P1868">
            <v>0</v>
          </cell>
        </row>
        <row r="1869">
          <cell r="K1869">
            <v>0</v>
          </cell>
          <cell r="M1869">
            <v>0</v>
          </cell>
          <cell r="P1869">
            <v>0</v>
          </cell>
        </row>
        <row r="1870">
          <cell r="K1870">
            <v>0</v>
          </cell>
          <cell r="M1870">
            <v>0</v>
          </cell>
          <cell r="P1870">
            <v>0</v>
          </cell>
        </row>
        <row r="1871">
          <cell r="K1871">
            <v>0</v>
          </cell>
          <cell r="M1871">
            <v>0</v>
          </cell>
          <cell r="P1871">
            <v>0</v>
          </cell>
        </row>
        <row r="1872">
          <cell r="K1872">
            <v>0</v>
          </cell>
          <cell r="M1872">
            <v>0</v>
          </cell>
          <cell r="P1872">
            <v>0</v>
          </cell>
        </row>
        <row r="1873">
          <cell r="K1873">
            <v>0</v>
          </cell>
          <cell r="M1873">
            <v>0</v>
          </cell>
          <cell r="P1873">
            <v>0</v>
          </cell>
        </row>
        <row r="1874">
          <cell r="K1874">
            <v>0</v>
          </cell>
          <cell r="M1874">
            <v>0</v>
          </cell>
          <cell r="P1874">
            <v>0</v>
          </cell>
        </row>
        <row r="1875">
          <cell r="K1875">
            <v>0</v>
          </cell>
          <cell r="M1875">
            <v>0</v>
          </cell>
          <cell r="P1875">
            <v>0</v>
          </cell>
        </row>
        <row r="1876">
          <cell r="K1876">
            <v>0</v>
          </cell>
          <cell r="M1876">
            <v>0</v>
          </cell>
          <cell r="P1876">
            <v>0</v>
          </cell>
        </row>
        <row r="1877">
          <cell r="K1877">
            <v>0</v>
          </cell>
          <cell r="M1877">
            <v>0</v>
          </cell>
          <cell r="P1877">
            <v>0</v>
          </cell>
        </row>
        <row r="1878">
          <cell r="K1878">
            <v>0</v>
          </cell>
          <cell r="M1878">
            <v>0</v>
          </cell>
          <cell r="P1878">
            <v>0</v>
          </cell>
        </row>
        <row r="1879">
          <cell r="K1879">
            <v>0</v>
          </cell>
          <cell r="M1879">
            <v>0</v>
          </cell>
          <cell r="P1879">
            <v>0</v>
          </cell>
        </row>
        <row r="1880">
          <cell r="K1880">
            <v>0</v>
          </cell>
          <cell r="M1880">
            <v>0</v>
          </cell>
          <cell r="P1880">
            <v>0</v>
          </cell>
        </row>
        <row r="1881">
          <cell r="K1881">
            <v>0</v>
          </cell>
          <cell r="M1881">
            <v>0</v>
          </cell>
          <cell r="P1881">
            <v>0</v>
          </cell>
        </row>
        <row r="1882">
          <cell r="K1882">
            <v>0</v>
          </cell>
          <cell r="M1882">
            <v>0</v>
          </cell>
          <cell r="P1882">
            <v>0</v>
          </cell>
        </row>
        <row r="1883">
          <cell r="K1883">
            <v>0</v>
          </cell>
          <cell r="M1883">
            <v>0</v>
          </cell>
          <cell r="P1883">
            <v>0</v>
          </cell>
        </row>
        <row r="1884">
          <cell r="K1884">
            <v>0</v>
          </cell>
          <cell r="M1884">
            <v>0</v>
          </cell>
          <cell r="P1884">
            <v>0</v>
          </cell>
        </row>
        <row r="1885">
          <cell r="K1885">
            <v>0</v>
          </cell>
          <cell r="M1885">
            <v>0</v>
          </cell>
          <cell r="P1885">
            <v>0</v>
          </cell>
        </row>
        <row r="1886">
          <cell r="K1886">
            <v>0</v>
          </cell>
          <cell r="M1886">
            <v>0</v>
          </cell>
          <cell r="P1886">
            <v>0</v>
          </cell>
        </row>
        <row r="1887">
          <cell r="K1887">
            <v>0</v>
          </cell>
          <cell r="M1887">
            <v>0</v>
          </cell>
          <cell r="P1887">
            <v>0</v>
          </cell>
        </row>
        <row r="1888">
          <cell r="K1888">
            <v>0</v>
          </cell>
          <cell r="M1888">
            <v>0</v>
          </cell>
          <cell r="P1888">
            <v>0</v>
          </cell>
        </row>
        <row r="1889">
          <cell r="K1889">
            <v>0</v>
          </cell>
          <cell r="M1889">
            <v>0</v>
          </cell>
          <cell r="P1889">
            <v>0</v>
          </cell>
        </row>
        <row r="1890">
          <cell r="K1890">
            <v>0</v>
          </cell>
          <cell r="M1890">
            <v>0</v>
          </cell>
          <cell r="P1890">
            <v>0</v>
          </cell>
        </row>
        <row r="1891">
          <cell r="K1891">
            <v>0</v>
          </cell>
          <cell r="M1891">
            <v>0</v>
          </cell>
          <cell r="P1891">
            <v>0</v>
          </cell>
        </row>
        <row r="1892">
          <cell r="K1892">
            <v>0</v>
          </cell>
          <cell r="M1892">
            <v>0</v>
          </cell>
          <cell r="P1892">
            <v>0</v>
          </cell>
        </row>
        <row r="1893">
          <cell r="K1893">
            <v>0</v>
          </cell>
          <cell r="M1893">
            <v>0</v>
          </cell>
          <cell r="P1893">
            <v>0</v>
          </cell>
        </row>
        <row r="1894">
          <cell r="K1894">
            <v>0</v>
          </cell>
          <cell r="M1894">
            <v>0</v>
          </cell>
          <cell r="P1894">
            <v>0</v>
          </cell>
        </row>
        <row r="1895">
          <cell r="K1895">
            <v>0</v>
          </cell>
          <cell r="M1895">
            <v>0</v>
          </cell>
          <cell r="P1895">
            <v>0</v>
          </cell>
        </row>
        <row r="1896">
          <cell r="K1896">
            <v>0</v>
          </cell>
          <cell r="M1896">
            <v>0</v>
          </cell>
          <cell r="P1896">
            <v>0</v>
          </cell>
        </row>
        <row r="1897">
          <cell r="K1897">
            <v>0</v>
          </cell>
          <cell r="M1897">
            <v>0</v>
          </cell>
          <cell r="P1897">
            <v>0</v>
          </cell>
        </row>
        <row r="1898">
          <cell r="K1898">
            <v>0</v>
          </cell>
          <cell r="M1898">
            <v>0</v>
          </cell>
          <cell r="P1898">
            <v>0</v>
          </cell>
        </row>
        <row r="1899">
          <cell r="K1899">
            <v>0</v>
          </cell>
          <cell r="M1899">
            <v>0</v>
          </cell>
          <cell r="P1899">
            <v>0</v>
          </cell>
        </row>
        <row r="1900">
          <cell r="K1900">
            <v>0</v>
          </cell>
          <cell r="M1900">
            <v>0</v>
          </cell>
          <cell r="P1900">
            <v>0</v>
          </cell>
        </row>
        <row r="1901">
          <cell r="K1901">
            <v>0</v>
          </cell>
          <cell r="M1901">
            <v>0</v>
          </cell>
          <cell r="P1901">
            <v>0</v>
          </cell>
        </row>
        <row r="1902">
          <cell r="K1902">
            <v>0</v>
          </cell>
          <cell r="M1902">
            <v>0</v>
          </cell>
          <cell r="P1902">
            <v>0</v>
          </cell>
        </row>
        <row r="1903">
          <cell r="K1903">
            <v>0</v>
          </cell>
          <cell r="M1903">
            <v>0</v>
          </cell>
          <cell r="P1903">
            <v>0</v>
          </cell>
        </row>
        <row r="1904">
          <cell r="K1904">
            <v>0</v>
          </cell>
          <cell r="M1904">
            <v>0</v>
          </cell>
          <cell r="P1904">
            <v>0</v>
          </cell>
        </row>
        <row r="1905">
          <cell r="K1905">
            <v>0</v>
          </cell>
          <cell r="M1905">
            <v>0</v>
          </cell>
          <cell r="P1905">
            <v>0</v>
          </cell>
        </row>
        <row r="1906">
          <cell r="K1906">
            <v>0</v>
          </cell>
          <cell r="M1906">
            <v>0</v>
          </cell>
          <cell r="P1906">
            <v>0</v>
          </cell>
        </row>
        <row r="1907">
          <cell r="K1907">
            <v>0</v>
          </cell>
          <cell r="M1907">
            <v>0</v>
          </cell>
          <cell r="P1907">
            <v>0</v>
          </cell>
        </row>
        <row r="1908">
          <cell r="K1908">
            <v>0</v>
          </cell>
          <cell r="M1908">
            <v>0</v>
          </cell>
          <cell r="P1908">
            <v>0</v>
          </cell>
        </row>
        <row r="1909">
          <cell r="K1909">
            <v>0</v>
          </cell>
          <cell r="M1909">
            <v>0</v>
          </cell>
          <cell r="P1909">
            <v>0</v>
          </cell>
        </row>
        <row r="1910">
          <cell r="K1910">
            <v>0</v>
          </cell>
          <cell r="M1910">
            <v>0</v>
          </cell>
          <cell r="P1910">
            <v>0</v>
          </cell>
        </row>
        <row r="1911">
          <cell r="K1911">
            <v>0</v>
          </cell>
          <cell r="M1911">
            <v>0</v>
          </cell>
          <cell r="P1911">
            <v>0</v>
          </cell>
        </row>
        <row r="1912">
          <cell r="K1912">
            <v>0</v>
          </cell>
          <cell r="M1912">
            <v>0</v>
          </cell>
          <cell r="P1912">
            <v>0</v>
          </cell>
        </row>
        <row r="1913">
          <cell r="K1913">
            <v>0</v>
          </cell>
          <cell r="M1913">
            <v>0</v>
          </cell>
          <cell r="P1913">
            <v>0</v>
          </cell>
        </row>
        <row r="1914">
          <cell r="K1914">
            <v>0</v>
          </cell>
          <cell r="M1914">
            <v>0</v>
          </cell>
          <cell r="P1914">
            <v>0</v>
          </cell>
        </row>
        <row r="1915">
          <cell r="K1915">
            <v>0</v>
          </cell>
          <cell r="M1915">
            <v>0</v>
          </cell>
          <cell r="P1915">
            <v>0</v>
          </cell>
        </row>
        <row r="1916">
          <cell r="K1916">
            <v>0</v>
          </cell>
          <cell r="M1916">
            <v>0</v>
          </cell>
          <cell r="P1916">
            <v>0</v>
          </cell>
        </row>
        <row r="1917">
          <cell r="K1917">
            <v>0</v>
          </cell>
          <cell r="M1917">
            <v>0</v>
          </cell>
          <cell r="P1917">
            <v>0</v>
          </cell>
        </row>
        <row r="1918">
          <cell r="K1918">
            <v>0</v>
          </cell>
          <cell r="M1918">
            <v>0</v>
          </cell>
          <cell r="P1918">
            <v>0</v>
          </cell>
        </row>
        <row r="1919">
          <cell r="K1919">
            <v>0</v>
          </cell>
          <cell r="M1919">
            <v>0</v>
          </cell>
          <cell r="P1919">
            <v>0</v>
          </cell>
        </row>
        <row r="1920">
          <cell r="K1920">
            <v>0</v>
          </cell>
          <cell r="M1920">
            <v>0</v>
          </cell>
          <cell r="P1920">
            <v>0</v>
          </cell>
        </row>
        <row r="1921">
          <cell r="K1921">
            <v>0</v>
          </cell>
          <cell r="M1921">
            <v>0</v>
          </cell>
          <cell r="P1921">
            <v>0</v>
          </cell>
        </row>
        <row r="1922">
          <cell r="K1922">
            <v>0</v>
          </cell>
          <cell r="M1922">
            <v>0</v>
          </cell>
          <cell r="P1922">
            <v>0</v>
          </cell>
        </row>
        <row r="1923">
          <cell r="K1923">
            <v>0</v>
          </cell>
          <cell r="M1923">
            <v>0</v>
          </cell>
          <cell r="P1923">
            <v>0</v>
          </cell>
        </row>
        <row r="1924">
          <cell r="K1924">
            <v>0</v>
          </cell>
          <cell r="M1924">
            <v>0</v>
          </cell>
          <cell r="P1924">
            <v>0</v>
          </cell>
        </row>
        <row r="1925">
          <cell r="K1925">
            <v>0</v>
          </cell>
          <cell r="M1925">
            <v>0</v>
          </cell>
          <cell r="P1925">
            <v>0</v>
          </cell>
        </row>
        <row r="1926">
          <cell r="K1926">
            <v>0</v>
          </cell>
          <cell r="M1926">
            <v>0</v>
          </cell>
          <cell r="P1926">
            <v>0</v>
          </cell>
        </row>
        <row r="1927">
          <cell r="K1927">
            <v>0</v>
          </cell>
          <cell r="M1927">
            <v>0</v>
          </cell>
          <cell r="P1927">
            <v>0</v>
          </cell>
        </row>
        <row r="1928">
          <cell r="K1928">
            <v>0</v>
          </cell>
          <cell r="M1928">
            <v>0</v>
          </cell>
          <cell r="P1928">
            <v>0</v>
          </cell>
        </row>
        <row r="1929">
          <cell r="K1929">
            <v>0</v>
          </cell>
          <cell r="M1929">
            <v>0</v>
          </cell>
          <cell r="P1929">
            <v>0</v>
          </cell>
        </row>
        <row r="1930">
          <cell r="K1930">
            <v>0</v>
          </cell>
          <cell r="M1930">
            <v>0</v>
          </cell>
          <cell r="P1930">
            <v>0</v>
          </cell>
        </row>
        <row r="1931">
          <cell r="K1931">
            <v>0</v>
          </cell>
          <cell r="M1931">
            <v>0</v>
          </cell>
          <cell r="P1931">
            <v>0</v>
          </cell>
        </row>
        <row r="1932">
          <cell r="K1932">
            <v>0</v>
          </cell>
          <cell r="M1932">
            <v>0</v>
          </cell>
          <cell r="P1932">
            <v>0</v>
          </cell>
        </row>
        <row r="1933">
          <cell r="K1933">
            <v>0</v>
          </cell>
          <cell r="M1933">
            <v>0</v>
          </cell>
          <cell r="P1933">
            <v>0</v>
          </cell>
        </row>
        <row r="1934">
          <cell r="K1934">
            <v>0</v>
          </cell>
          <cell r="M1934">
            <v>0</v>
          </cell>
          <cell r="P1934">
            <v>0</v>
          </cell>
        </row>
        <row r="1935">
          <cell r="K1935">
            <v>0</v>
          </cell>
          <cell r="M1935">
            <v>0</v>
          </cell>
          <cell r="P1935">
            <v>0</v>
          </cell>
        </row>
        <row r="1936">
          <cell r="K1936">
            <v>0</v>
          </cell>
          <cell r="M1936">
            <v>0</v>
          </cell>
          <cell r="P1936">
            <v>0</v>
          </cell>
        </row>
        <row r="1937">
          <cell r="K1937">
            <v>0</v>
          </cell>
          <cell r="M1937">
            <v>0</v>
          </cell>
          <cell r="P1937">
            <v>0</v>
          </cell>
        </row>
        <row r="1938">
          <cell r="K1938">
            <v>0</v>
          </cell>
          <cell r="M1938">
            <v>0</v>
          </cell>
          <cell r="P1938">
            <v>0</v>
          </cell>
        </row>
        <row r="1939">
          <cell r="K1939">
            <v>0</v>
          </cell>
          <cell r="M1939">
            <v>0</v>
          </cell>
          <cell r="P1939">
            <v>0</v>
          </cell>
        </row>
        <row r="1940">
          <cell r="K1940">
            <v>0</v>
          </cell>
          <cell r="M1940">
            <v>0</v>
          </cell>
          <cell r="P1940">
            <v>0</v>
          </cell>
        </row>
        <row r="1941">
          <cell r="K1941">
            <v>0</v>
          </cell>
          <cell r="M1941">
            <v>0</v>
          </cell>
          <cell r="P1941">
            <v>0</v>
          </cell>
        </row>
        <row r="1942">
          <cell r="K1942">
            <v>0</v>
          </cell>
          <cell r="M1942">
            <v>0</v>
          </cell>
          <cell r="P1942">
            <v>0</v>
          </cell>
        </row>
        <row r="1943">
          <cell r="K1943">
            <v>0</v>
          </cell>
          <cell r="M1943">
            <v>0</v>
          </cell>
          <cell r="P1943">
            <v>0</v>
          </cell>
        </row>
        <row r="1944">
          <cell r="K1944">
            <v>0</v>
          </cell>
          <cell r="M1944">
            <v>0</v>
          </cell>
          <cell r="P1944">
            <v>0</v>
          </cell>
        </row>
        <row r="1945">
          <cell r="K1945">
            <v>0</v>
          </cell>
          <cell r="M1945">
            <v>0</v>
          </cell>
          <cell r="P1945">
            <v>0</v>
          </cell>
        </row>
        <row r="1946">
          <cell r="K1946">
            <v>0</v>
          </cell>
          <cell r="M1946">
            <v>0</v>
          </cell>
          <cell r="P1946">
            <v>0</v>
          </cell>
        </row>
        <row r="1947">
          <cell r="K1947">
            <v>0</v>
          </cell>
          <cell r="M1947">
            <v>0</v>
          </cell>
          <cell r="P1947">
            <v>0</v>
          </cell>
        </row>
        <row r="1948">
          <cell r="K1948">
            <v>0</v>
          </cell>
          <cell r="M1948">
            <v>0</v>
          </cell>
          <cell r="P1948">
            <v>0</v>
          </cell>
        </row>
        <row r="1949">
          <cell r="K1949">
            <v>0</v>
          </cell>
          <cell r="M1949">
            <v>0</v>
          </cell>
          <cell r="P1949">
            <v>0</v>
          </cell>
        </row>
        <row r="1950">
          <cell r="K1950">
            <v>0</v>
          </cell>
          <cell r="M1950">
            <v>0</v>
          </cell>
          <cell r="P1950">
            <v>0</v>
          </cell>
        </row>
        <row r="1951">
          <cell r="K1951">
            <v>0</v>
          </cell>
          <cell r="M1951">
            <v>0</v>
          </cell>
          <cell r="P1951">
            <v>0</v>
          </cell>
        </row>
        <row r="1952">
          <cell r="K1952">
            <v>0</v>
          </cell>
          <cell r="M1952">
            <v>0</v>
          </cell>
          <cell r="P1952">
            <v>0</v>
          </cell>
        </row>
        <row r="1953">
          <cell r="K1953">
            <v>0</v>
          </cell>
          <cell r="M1953">
            <v>0</v>
          </cell>
          <cell r="P1953">
            <v>0</v>
          </cell>
        </row>
        <row r="1954">
          <cell r="K1954">
            <v>0</v>
          </cell>
          <cell r="M1954">
            <v>0</v>
          </cell>
          <cell r="P1954">
            <v>0</v>
          </cell>
        </row>
        <row r="1955">
          <cell r="K1955">
            <v>0</v>
          </cell>
          <cell r="M1955">
            <v>0</v>
          </cell>
          <cell r="P1955">
            <v>0</v>
          </cell>
        </row>
        <row r="1956">
          <cell r="K1956">
            <v>0</v>
          </cell>
          <cell r="M1956">
            <v>0</v>
          </cell>
          <cell r="P1956">
            <v>0</v>
          </cell>
        </row>
        <row r="1957">
          <cell r="K1957">
            <v>0</v>
          </cell>
          <cell r="M1957">
            <v>0</v>
          </cell>
          <cell r="P1957">
            <v>0</v>
          </cell>
        </row>
        <row r="1958">
          <cell r="K1958">
            <v>0</v>
          </cell>
          <cell r="M1958">
            <v>0</v>
          </cell>
          <cell r="P1958">
            <v>0</v>
          </cell>
        </row>
        <row r="1959">
          <cell r="K1959">
            <v>0</v>
          </cell>
          <cell r="M1959">
            <v>0</v>
          </cell>
          <cell r="P1959">
            <v>0</v>
          </cell>
        </row>
        <row r="1960">
          <cell r="K1960">
            <v>0</v>
          </cell>
          <cell r="M1960">
            <v>0</v>
          </cell>
          <cell r="P1960">
            <v>0</v>
          </cell>
        </row>
        <row r="1961">
          <cell r="K1961">
            <v>0</v>
          </cell>
          <cell r="M1961">
            <v>0</v>
          </cell>
          <cell r="P1961">
            <v>0</v>
          </cell>
        </row>
        <row r="1962">
          <cell r="K1962">
            <v>0</v>
          </cell>
          <cell r="M1962">
            <v>0</v>
          </cell>
          <cell r="P1962">
            <v>0</v>
          </cell>
        </row>
        <row r="1963">
          <cell r="K1963">
            <v>0</v>
          </cell>
          <cell r="M1963">
            <v>0</v>
          </cell>
          <cell r="P1963">
            <v>0</v>
          </cell>
        </row>
        <row r="1964">
          <cell r="K1964">
            <v>0</v>
          </cell>
          <cell r="M1964">
            <v>0</v>
          </cell>
          <cell r="P1964">
            <v>0</v>
          </cell>
        </row>
        <row r="1965">
          <cell r="K1965">
            <v>0</v>
          </cell>
          <cell r="M1965">
            <v>0</v>
          </cell>
          <cell r="P1965">
            <v>0</v>
          </cell>
        </row>
        <row r="1966">
          <cell r="K1966">
            <v>0</v>
          </cell>
          <cell r="M1966">
            <v>0</v>
          </cell>
          <cell r="P1966">
            <v>0</v>
          </cell>
        </row>
        <row r="1967">
          <cell r="K1967">
            <v>0</v>
          </cell>
          <cell r="M1967">
            <v>0</v>
          </cell>
          <cell r="P1967">
            <v>0</v>
          </cell>
        </row>
        <row r="1968">
          <cell r="K1968">
            <v>0</v>
          </cell>
          <cell r="M1968">
            <v>0</v>
          </cell>
          <cell r="P1968">
            <v>0</v>
          </cell>
        </row>
        <row r="1969">
          <cell r="K1969">
            <v>0</v>
          </cell>
          <cell r="M1969">
            <v>0</v>
          </cell>
          <cell r="P1969">
            <v>0</v>
          </cell>
        </row>
        <row r="1970">
          <cell r="K1970">
            <v>0</v>
          </cell>
          <cell r="M1970">
            <v>0</v>
          </cell>
          <cell r="P1970">
            <v>0</v>
          </cell>
        </row>
        <row r="1971">
          <cell r="K1971">
            <v>0</v>
          </cell>
          <cell r="M1971">
            <v>0</v>
          </cell>
          <cell r="P1971">
            <v>0</v>
          </cell>
        </row>
        <row r="1972">
          <cell r="K1972">
            <v>0</v>
          </cell>
          <cell r="M1972">
            <v>0</v>
          </cell>
          <cell r="P1972">
            <v>0</v>
          </cell>
        </row>
        <row r="1973">
          <cell r="K1973">
            <v>0</v>
          </cell>
          <cell r="M1973">
            <v>0</v>
          </cell>
          <cell r="P1973">
            <v>0</v>
          </cell>
        </row>
        <row r="1974">
          <cell r="K1974">
            <v>0</v>
          </cell>
          <cell r="M1974">
            <v>0</v>
          </cell>
          <cell r="P1974">
            <v>0</v>
          </cell>
        </row>
        <row r="1975">
          <cell r="K1975">
            <v>0</v>
          </cell>
          <cell r="M1975">
            <v>0</v>
          </cell>
          <cell r="P1975">
            <v>0</v>
          </cell>
        </row>
        <row r="1976">
          <cell r="K1976">
            <v>0</v>
          </cell>
          <cell r="M1976">
            <v>0</v>
          </cell>
          <cell r="P1976">
            <v>0</v>
          </cell>
        </row>
        <row r="1977">
          <cell r="K1977">
            <v>0</v>
          </cell>
          <cell r="M1977">
            <v>0</v>
          </cell>
          <cell r="P1977">
            <v>0</v>
          </cell>
        </row>
        <row r="1978">
          <cell r="K1978">
            <v>0</v>
          </cell>
          <cell r="M1978">
            <v>0</v>
          </cell>
          <cell r="P1978">
            <v>0</v>
          </cell>
        </row>
        <row r="1979">
          <cell r="K1979">
            <v>0</v>
          </cell>
          <cell r="M1979">
            <v>0</v>
          </cell>
          <cell r="P1979">
            <v>0</v>
          </cell>
        </row>
        <row r="1980">
          <cell r="K1980">
            <v>0</v>
          </cell>
          <cell r="M1980">
            <v>0</v>
          </cell>
          <cell r="P1980">
            <v>0</v>
          </cell>
        </row>
        <row r="1981">
          <cell r="K1981">
            <v>0</v>
          </cell>
          <cell r="M1981">
            <v>0</v>
          </cell>
          <cell r="P1981">
            <v>0</v>
          </cell>
        </row>
        <row r="1982">
          <cell r="K1982">
            <v>0</v>
          </cell>
          <cell r="M1982">
            <v>0</v>
          </cell>
          <cell r="P1982">
            <v>0</v>
          </cell>
        </row>
        <row r="1983">
          <cell r="K1983">
            <v>0</v>
          </cell>
          <cell r="M1983">
            <v>0</v>
          </cell>
          <cell r="P1983">
            <v>0</v>
          </cell>
        </row>
        <row r="1984">
          <cell r="K1984">
            <v>0</v>
          </cell>
          <cell r="M1984">
            <v>0</v>
          </cell>
          <cell r="P1984">
            <v>0</v>
          </cell>
        </row>
        <row r="1985">
          <cell r="K1985">
            <v>0</v>
          </cell>
          <cell r="M1985">
            <v>0</v>
          </cell>
          <cell r="P1985">
            <v>0</v>
          </cell>
        </row>
        <row r="1986">
          <cell r="K1986">
            <v>0</v>
          </cell>
          <cell r="M1986">
            <v>0</v>
          </cell>
          <cell r="P1986">
            <v>0</v>
          </cell>
        </row>
        <row r="1987">
          <cell r="K1987">
            <v>0</v>
          </cell>
          <cell r="M1987">
            <v>0</v>
          </cell>
          <cell r="P1987">
            <v>0</v>
          </cell>
        </row>
        <row r="1988">
          <cell r="K1988">
            <v>0</v>
          </cell>
          <cell r="M1988">
            <v>0</v>
          </cell>
          <cell r="P1988">
            <v>0</v>
          </cell>
        </row>
        <row r="1989">
          <cell r="K1989">
            <v>0</v>
          </cell>
          <cell r="M1989">
            <v>0</v>
          </cell>
          <cell r="P1989">
            <v>0</v>
          </cell>
        </row>
        <row r="1990">
          <cell r="K1990">
            <v>0</v>
          </cell>
          <cell r="M1990">
            <v>0</v>
          </cell>
          <cell r="P1990">
            <v>0</v>
          </cell>
        </row>
        <row r="1991">
          <cell r="K1991">
            <v>0</v>
          </cell>
          <cell r="M1991">
            <v>0</v>
          </cell>
          <cell r="P1991">
            <v>0</v>
          </cell>
        </row>
        <row r="1992">
          <cell r="K1992">
            <v>0</v>
          </cell>
          <cell r="M1992">
            <v>0</v>
          </cell>
          <cell r="P1992">
            <v>0</v>
          </cell>
        </row>
        <row r="1993">
          <cell r="K1993">
            <v>0</v>
          </cell>
          <cell r="M1993">
            <v>0</v>
          </cell>
          <cell r="P1993">
            <v>0</v>
          </cell>
        </row>
        <row r="1994">
          <cell r="K1994">
            <v>0</v>
          </cell>
          <cell r="M1994">
            <v>0</v>
          </cell>
          <cell r="P1994">
            <v>0</v>
          </cell>
        </row>
        <row r="1995">
          <cell r="K1995">
            <v>0</v>
          </cell>
          <cell r="M1995">
            <v>0</v>
          </cell>
          <cell r="P1995">
            <v>0</v>
          </cell>
        </row>
        <row r="1996">
          <cell r="K1996">
            <v>0</v>
          </cell>
          <cell r="M1996">
            <v>0</v>
          </cell>
          <cell r="P1996">
            <v>0</v>
          </cell>
        </row>
        <row r="1997">
          <cell r="K1997">
            <v>0</v>
          </cell>
          <cell r="M1997">
            <v>0</v>
          </cell>
          <cell r="P1997">
            <v>0</v>
          </cell>
        </row>
        <row r="1998">
          <cell r="K1998">
            <v>0</v>
          </cell>
          <cell r="M1998">
            <v>0</v>
          </cell>
          <cell r="P1998">
            <v>0</v>
          </cell>
        </row>
        <row r="1999">
          <cell r="K1999">
            <v>0</v>
          </cell>
          <cell r="M1999">
            <v>0</v>
          </cell>
          <cell r="P1999">
            <v>0</v>
          </cell>
        </row>
        <row r="2000">
          <cell r="K2000">
            <v>0</v>
          </cell>
          <cell r="M2000">
            <v>0</v>
          </cell>
          <cell r="P2000">
            <v>0</v>
          </cell>
        </row>
        <row r="2001">
          <cell r="K2001">
            <v>0</v>
          </cell>
          <cell r="M2001">
            <v>0</v>
          </cell>
          <cell r="P2001">
            <v>0</v>
          </cell>
        </row>
        <row r="2002">
          <cell r="K2002">
            <v>0</v>
          </cell>
          <cell r="M2002">
            <v>0</v>
          </cell>
          <cell r="P2002">
            <v>0</v>
          </cell>
        </row>
        <row r="2003">
          <cell r="K2003">
            <v>0</v>
          </cell>
          <cell r="M2003">
            <v>0</v>
          </cell>
          <cell r="P2003">
            <v>0</v>
          </cell>
        </row>
        <row r="2004">
          <cell r="K2004">
            <v>0</v>
          </cell>
          <cell r="M2004">
            <v>0</v>
          </cell>
          <cell r="P2004">
            <v>0</v>
          </cell>
        </row>
        <row r="2005">
          <cell r="K2005">
            <v>0</v>
          </cell>
          <cell r="M2005">
            <v>0</v>
          </cell>
          <cell r="P2005">
            <v>0</v>
          </cell>
        </row>
        <row r="2006">
          <cell r="K2006">
            <v>0</v>
          </cell>
          <cell r="M2006">
            <v>0</v>
          </cell>
          <cell r="P2006">
            <v>0</v>
          </cell>
        </row>
        <row r="2007">
          <cell r="K2007">
            <v>0</v>
          </cell>
          <cell r="M2007">
            <v>0</v>
          </cell>
          <cell r="P2007">
            <v>0</v>
          </cell>
        </row>
        <row r="2008">
          <cell r="K2008">
            <v>0</v>
          </cell>
          <cell r="M2008">
            <v>0</v>
          </cell>
          <cell r="P2008">
            <v>0</v>
          </cell>
        </row>
        <row r="2009">
          <cell r="K2009">
            <v>0</v>
          </cell>
          <cell r="M2009">
            <v>0</v>
          </cell>
          <cell r="P2009">
            <v>0</v>
          </cell>
        </row>
        <row r="2010">
          <cell r="K2010">
            <v>0</v>
          </cell>
          <cell r="M2010">
            <v>0</v>
          </cell>
          <cell r="P2010">
            <v>0</v>
          </cell>
        </row>
        <row r="2011">
          <cell r="K2011">
            <v>0</v>
          </cell>
          <cell r="M2011">
            <v>0</v>
          </cell>
          <cell r="P2011">
            <v>0</v>
          </cell>
        </row>
        <row r="2012">
          <cell r="K2012">
            <v>0</v>
          </cell>
          <cell r="M2012">
            <v>0</v>
          </cell>
          <cell r="P2012">
            <v>0</v>
          </cell>
        </row>
        <row r="2013">
          <cell r="K2013">
            <v>0</v>
          </cell>
          <cell r="M2013">
            <v>0</v>
          </cell>
          <cell r="P2013">
            <v>0</v>
          </cell>
        </row>
        <row r="2014">
          <cell r="K2014">
            <v>0</v>
          </cell>
          <cell r="M2014">
            <v>0</v>
          </cell>
          <cell r="P2014">
            <v>0</v>
          </cell>
        </row>
        <row r="2015">
          <cell r="K2015">
            <v>0</v>
          </cell>
          <cell r="M2015">
            <v>0</v>
          </cell>
          <cell r="P2015">
            <v>0</v>
          </cell>
        </row>
        <row r="2016">
          <cell r="K2016">
            <v>0</v>
          </cell>
          <cell r="M2016">
            <v>0</v>
          </cell>
          <cell r="P2016">
            <v>0</v>
          </cell>
        </row>
        <row r="2017">
          <cell r="K2017">
            <v>0</v>
          </cell>
          <cell r="M2017">
            <v>0</v>
          </cell>
          <cell r="P2017">
            <v>0</v>
          </cell>
        </row>
        <row r="2018">
          <cell r="K2018">
            <v>0</v>
          </cell>
          <cell r="M2018">
            <v>0</v>
          </cell>
          <cell r="P2018">
            <v>0</v>
          </cell>
        </row>
        <row r="2019">
          <cell r="K2019">
            <v>0</v>
          </cell>
          <cell r="M2019">
            <v>0</v>
          </cell>
          <cell r="P2019">
            <v>0</v>
          </cell>
        </row>
        <row r="2020">
          <cell r="K2020">
            <v>0</v>
          </cell>
          <cell r="M2020">
            <v>0</v>
          </cell>
          <cell r="P2020">
            <v>0</v>
          </cell>
        </row>
        <row r="2021">
          <cell r="K2021">
            <v>0</v>
          </cell>
          <cell r="M2021">
            <v>0</v>
          </cell>
          <cell r="P2021">
            <v>0</v>
          </cell>
        </row>
        <row r="2022">
          <cell r="K2022">
            <v>0</v>
          </cell>
          <cell r="M2022">
            <v>0</v>
          </cell>
          <cell r="P2022">
            <v>0</v>
          </cell>
        </row>
        <row r="2023">
          <cell r="K2023">
            <v>0</v>
          </cell>
          <cell r="M2023">
            <v>0</v>
          </cell>
          <cell r="P2023">
            <v>0</v>
          </cell>
        </row>
        <row r="2024">
          <cell r="K2024">
            <v>0</v>
          </cell>
          <cell r="M2024">
            <v>0</v>
          </cell>
          <cell r="P2024">
            <v>0</v>
          </cell>
        </row>
        <row r="2025">
          <cell r="K2025">
            <v>0</v>
          </cell>
          <cell r="M2025">
            <v>0</v>
          </cell>
          <cell r="P2025">
            <v>0</v>
          </cell>
        </row>
        <row r="2026">
          <cell r="K2026">
            <v>0</v>
          </cell>
          <cell r="M2026">
            <v>0</v>
          </cell>
          <cell r="P2026">
            <v>0</v>
          </cell>
        </row>
        <row r="2027">
          <cell r="K2027">
            <v>0</v>
          </cell>
          <cell r="M2027">
            <v>0</v>
          </cell>
          <cell r="P2027">
            <v>0</v>
          </cell>
        </row>
        <row r="2028">
          <cell r="K2028">
            <v>0</v>
          </cell>
          <cell r="M2028">
            <v>0</v>
          </cell>
          <cell r="P2028">
            <v>0</v>
          </cell>
        </row>
        <row r="2029">
          <cell r="K2029">
            <v>0</v>
          </cell>
          <cell r="M2029">
            <v>0</v>
          </cell>
          <cell r="P2029">
            <v>0</v>
          </cell>
        </row>
        <row r="2030">
          <cell r="K2030">
            <v>0</v>
          </cell>
          <cell r="M2030">
            <v>0</v>
          </cell>
          <cell r="P2030">
            <v>0</v>
          </cell>
        </row>
        <row r="2031">
          <cell r="K2031">
            <v>0</v>
          </cell>
          <cell r="M2031">
            <v>0</v>
          </cell>
          <cell r="P2031">
            <v>0</v>
          </cell>
        </row>
        <row r="2032">
          <cell r="K2032">
            <v>0</v>
          </cell>
          <cell r="M2032">
            <v>0</v>
          </cell>
          <cell r="P2032">
            <v>0</v>
          </cell>
        </row>
        <row r="2033">
          <cell r="K2033">
            <v>0</v>
          </cell>
          <cell r="M2033">
            <v>0</v>
          </cell>
          <cell r="P2033">
            <v>0</v>
          </cell>
        </row>
        <row r="2034">
          <cell r="K2034">
            <v>0</v>
          </cell>
          <cell r="M2034">
            <v>0</v>
          </cell>
          <cell r="P2034">
            <v>0</v>
          </cell>
        </row>
        <row r="2035">
          <cell r="K2035">
            <v>0</v>
          </cell>
          <cell r="M2035">
            <v>0</v>
          </cell>
          <cell r="P2035">
            <v>0</v>
          </cell>
        </row>
        <row r="2036">
          <cell r="K2036">
            <v>0</v>
          </cell>
          <cell r="M2036">
            <v>0</v>
          </cell>
          <cell r="P2036">
            <v>0</v>
          </cell>
        </row>
        <row r="2037">
          <cell r="K2037">
            <v>0</v>
          </cell>
          <cell r="M2037">
            <v>0</v>
          </cell>
          <cell r="P2037">
            <v>0</v>
          </cell>
        </row>
        <row r="2038">
          <cell r="K2038">
            <v>0</v>
          </cell>
          <cell r="M2038">
            <v>0</v>
          </cell>
          <cell r="P2038">
            <v>0</v>
          </cell>
        </row>
        <row r="2039">
          <cell r="K2039">
            <v>0</v>
          </cell>
          <cell r="M2039">
            <v>0</v>
          </cell>
          <cell r="P2039">
            <v>0</v>
          </cell>
        </row>
        <row r="2040">
          <cell r="K2040">
            <v>0</v>
          </cell>
          <cell r="M2040">
            <v>0</v>
          </cell>
          <cell r="P2040">
            <v>0</v>
          </cell>
        </row>
        <row r="2041">
          <cell r="K2041">
            <v>0</v>
          </cell>
          <cell r="M2041">
            <v>0</v>
          </cell>
          <cell r="P2041">
            <v>0</v>
          </cell>
        </row>
        <row r="2042">
          <cell r="K2042">
            <v>0</v>
          </cell>
          <cell r="M2042">
            <v>0</v>
          </cell>
          <cell r="P2042">
            <v>0</v>
          </cell>
        </row>
        <row r="2043">
          <cell r="K2043">
            <v>0</v>
          </cell>
          <cell r="M2043">
            <v>0</v>
          </cell>
          <cell r="P2043">
            <v>0</v>
          </cell>
        </row>
        <row r="2044">
          <cell r="K2044">
            <v>0</v>
          </cell>
          <cell r="M2044">
            <v>0</v>
          </cell>
          <cell r="P2044">
            <v>0</v>
          </cell>
        </row>
        <row r="2045">
          <cell r="K2045">
            <v>0</v>
          </cell>
          <cell r="M2045">
            <v>0</v>
          </cell>
          <cell r="P2045">
            <v>0</v>
          </cell>
        </row>
        <row r="2046">
          <cell r="K2046">
            <v>0</v>
          </cell>
          <cell r="M2046">
            <v>0</v>
          </cell>
          <cell r="P2046">
            <v>0</v>
          </cell>
        </row>
        <row r="2047">
          <cell r="K2047">
            <v>0</v>
          </cell>
          <cell r="M2047">
            <v>0</v>
          </cell>
          <cell r="P2047">
            <v>0</v>
          </cell>
        </row>
        <row r="2048">
          <cell r="K2048">
            <v>0</v>
          </cell>
          <cell r="M2048">
            <v>0</v>
          </cell>
          <cell r="P2048">
            <v>0</v>
          </cell>
        </row>
        <row r="2049">
          <cell r="K2049">
            <v>0</v>
          </cell>
          <cell r="M2049">
            <v>0</v>
          </cell>
          <cell r="P2049">
            <v>0</v>
          </cell>
        </row>
        <row r="2050">
          <cell r="K2050">
            <v>0</v>
          </cell>
          <cell r="M2050">
            <v>0</v>
          </cell>
          <cell r="P2050">
            <v>0</v>
          </cell>
        </row>
        <row r="2051">
          <cell r="K2051">
            <v>0</v>
          </cell>
          <cell r="M2051">
            <v>0</v>
          </cell>
          <cell r="P2051">
            <v>0</v>
          </cell>
        </row>
        <row r="2052">
          <cell r="K2052">
            <v>0</v>
          </cell>
          <cell r="M2052">
            <v>0</v>
          </cell>
          <cell r="P2052">
            <v>0</v>
          </cell>
        </row>
        <row r="2053">
          <cell r="K2053">
            <v>0</v>
          </cell>
          <cell r="M2053">
            <v>0</v>
          </cell>
          <cell r="P2053">
            <v>0</v>
          </cell>
        </row>
        <row r="2054">
          <cell r="K2054">
            <v>0</v>
          </cell>
          <cell r="M2054">
            <v>0</v>
          </cell>
          <cell r="P2054">
            <v>0</v>
          </cell>
        </row>
        <row r="2055">
          <cell r="K2055">
            <v>0</v>
          </cell>
          <cell r="M2055">
            <v>0</v>
          </cell>
          <cell r="P2055">
            <v>0</v>
          </cell>
        </row>
        <row r="2056">
          <cell r="K2056">
            <v>0</v>
          </cell>
          <cell r="M2056">
            <v>0</v>
          </cell>
          <cell r="P2056">
            <v>0</v>
          </cell>
        </row>
        <row r="2057">
          <cell r="K2057">
            <v>0</v>
          </cell>
          <cell r="M2057">
            <v>0</v>
          </cell>
          <cell r="P2057">
            <v>0</v>
          </cell>
        </row>
        <row r="2058">
          <cell r="K2058">
            <v>0</v>
          </cell>
          <cell r="M2058">
            <v>0</v>
          </cell>
          <cell r="P2058">
            <v>0</v>
          </cell>
        </row>
        <row r="2059">
          <cell r="K2059">
            <v>0</v>
          </cell>
          <cell r="M2059">
            <v>0</v>
          </cell>
          <cell r="P2059">
            <v>0</v>
          </cell>
        </row>
        <row r="2060">
          <cell r="K2060">
            <v>0</v>
          </cell>
          <cell r="M2060">
            <v>0</v>
          </cell>
          <cell r="P2060">
            <v>0</v>
          </cell>
        </row>
        <row r="2061">
          <cell r="K2061">
            <v>0</v>
          </cell>
          <cell r="M2061">
            <v>0</v>
          </cell>
          <cell r="P2061">
            <v>0</v>
          </cell>
        </row>
        <row r="2062">
          <cell r="K2062">
            <v>0</v>
          </cell>
          <cell r="M2062">
            <v>0</v>
          </cell>
          <cell r="P2062">
            <v>0</v>
          </cell>
        </row>
        <row r="2063">
          <cell r="K2063">
            <v>0</v>
          </cell>
          <cell r="M2063">
            <v>0</v>
          </cell>
          <cell r="P2063">
            <v>0</v>
          </cell>
        </row>
        <row r="2064">
          <cell r="K2064">
            <v>0</v>
          </cell>
          <cell r="M2064">
            <v>0</v>
          </cell>
          <cell r="P2064">
            <v>0</v>
          </cell>
        </row>
        <row r="2065">
          <cell r="K2065">
            <v>0</v>
          </cell>
          <cell r="M2065">
            <v>0</v>
          </cell>
          <cell r="P2065">
            <v>0</v>
          </cell>
        </row>
        <row r="2066">
          <cell r="K2066">
            <v>0</v>
          </cell>
          <cell r="M2066">
            <v>0</v>
          </cell>
          <cell r="P2066">
            <v>0</v>
          </cell>
        </row>
        <row r="2067">
          <cell r="K2067">
            <v>0</v>
          </cell>
          <cell r="M2067">
            <v>0</v>
          </cell>
          <cell r="P2067">
            <v>0</v>
          </cell>
        </row>
        <row r="2068">
          <cell r="K2068">
            <v>0</v>
          </cell>
          <cell r="M2068">
            <v>0</v>
          </cell>
          <cell r="P2068">
            <v>0</v>
          </cell>
        </row>
        <row r="2069">
          <cell r="K2069">
            <v>0</v>
          </cell>
          <cell r="M2069">
            <v>0</v>
          </cell>
          <cell r="P2069">
            <v>0</v>
          </cell>
        </row>
        <row r="2070">
          <cell r="K2070">
            <v>0</v>
          </cell>
          <cell r="M2070">
            <v>0</v>
          </cell>
          <cell r="P2070">
            <v>0</v>
          </cell>
        </row>
        <row r="2071">
          <cell r="K2071">
            <v>0</v>
          </cell>
          <cell r="M2071">
            <v>0</v>
          </cell>
          <cell r="P2071">
            <v>0</v>
          </cell>
        </row>
        <row r="2072">
          <cell r="K2072">
            <v>0</v>
          </cell>
          <cell r="M2072">
            <v>0</v>
          </cell>
          <cell r="P2072">
            <v>0</v>
          </cell>
        </row>
        <row r="2073">
          <cell r="K2073">
            <v>0</v>
          </cell>
          <cell r="M2073">
            <v>0</v>
          </cell>
          <cell r="P2073">
            <v>0</v>
          </cell>
        </row>
        <row r="2074">
          <cell r="K2074">
            <v>0</v>
          </cell>
          <cell r="M2074">
            <v>0</v>
          </cell>
          <cell r="P2074">
            <v>0</v>
          </cell>
        </row>
        <row r="2075">
          <cell r="K2075">
            <v>0</v>
          </cell>
          <cell r="M2075">
            <v>0</v>
          </cell>
          <cell r="P2075">
            <v>0</v>
          </cell>
        </row>
        <row r="2076">
          <cell r="K2076">
            <v>0</v>
          </cell>
          <cell r="M2076">
            <v>0</v>
          </cell>
          <cell r="P2076">
            <v>0</v>
          </cell>
        </row>
        <row r="2077">
          <cell r="K2077">
            <v>0</v>
          </cell>
          <cell r="M2077">
            <v>0</v>
          </cell>
          <cell r="P2077">
            <v>0</v>
          </cell>
        </row>
        <row r="2078">
          <cell r="K2078">
            <v>0</v>
          </cell>
          <cell r="M2078">
            <v>0</v>
          </cell>
          <cell r="P2078">
            <v>0</v>
          </cell>
        </row>
        <row r="2079">
          <cell r="K2079">
            <v>0</v>
          </cell>
          <cell r="M2079">
            <v>0</v>
          </cell>
          <cell r="P2079">
            <v>0</v>
          </cell>
        </row>
        <row r="2080">
          <cell r="K2080">
            <v>0</v>
          </cell>
          <cell r="M2080">
            <v>0</v>
          </cell>
          <cell r="P2080">
            <v>0</v>
          </cell>
        </row>
        <row r="2081">
          <cell r="K2081">
            <v>0</v>
          </cell>
          <cell r="M2081">
            <v>0</v>
          </cell>
          <cell r="P2081">
            <v>0</v>
          </cell>
        </row>
        <row r="2082">
          <cell r="K2082">
            <v>0</v>
          </cell>
          <cell r="M2082">
            <v>0</v>
          </cell>
          <cell r="P2082">
            <v>0</v>
          </cell>
        </row>
        <row r="2083">
          <cell r="K2083">
            <v>0</v>
          </cell>
          <cell r="M2083">
            <v>0</v>
          </cell>
          <cell r="P2083">
            <v>0</v>
          </cell>
        </row>
        <row r="2084">
          <cell r="K2084">
            <v>0</v>
          </cell>
          <cell r="M2084">
            <v>0</v>
          </cell>
          <cell r="P2084">
            <v>0</v>
          </cell>
        </row>
        <row r="2085">
          <cell r="K2085">
            <v>0</v>
          </cell>
          <cell r="M2085">
            <v>0</v>
          </cell>
          <cell r="P2085">
            <v>0</v>
          </cell>
        </row>
        <row r="2086">
          <cell r="K2086">
            <v>0</v>
          </cell>
          <cell r="M2086">
            <v>0</v>
          </cell>
          <cell r="P2086">
            <v>0</v>
          </cell>
        </row>
        <row r="2087">
          <cell r="K2087">
            <v>0</v>
          </cell>
          <cell r="M2087">
            <v>0</v>
          </cell>
          <cell r="P2087">
            <v>0</v>
          </cell>
        </row>
        <row r="2088">
          <cell r="K2088">
            <v>0</v>
          </cell>
          <cell r="M2088">
            <v>0</v>
          </cell>
          <cell r="P2088">
            <v>0</v>
          </cell>
        </row>
        <row r="2089">
          <cell r="K2089">
            <v>0</v>
          </cell>
          <cell r="M2089">
            <v>0</v>
          </cell>
          <cell r="P2089">
            <v>0</v>
          </cell>
        </row>
        <row r="2090">
          <cell r="K2090">
            <v>0</v>
          </cell>
          <cell r="M2090">
            <v>0</v>
          </cell>
          <cell r="P2090">
            <v>0</v>
          </cell>
        </row>
        <row r="2091">
          <cell r="K2091">
            <v>0</v>
          </cell>
          <cell r="M2091">
            <v>0</v>
          </cell>
          <cell r="P2091">
            <v>0</v>
          </cell>
        </row>
        <row r="2092">
          <cell r="K2092">
            <v>0</v>
          </cell>
          <cell r="M2092">
            <v>0</v>
          </cell>
          <cell r="P2092">
            <v>0</v>
          </cell>
        </row>
        <row r="2093">
          <cell r="K2093">
            <v>0</v>
          </cell>
          <cell r="M2093">
            <v>0</v>
          </cell>
          <cell r="P2093">
            <v>0</v>
          </cell>
        </row>
        <row r="2094">
          <cell r="K2094">
            <v>0</v>
          </cell>
          <cell r="M2094">
            <v>0</v>
          </cell>
          <cell r="P2094">
            <v>0</v>
          </cell>
        </row>
        <row r="2095">
          <cell r="K2095">
            <v>0</v>
          </cell>
          <cell r="M2095">
            <v>0</v>
          </cell>
          <cell r="P2095">
            <v>0</v>
          </cell>
        </row>
        <row r="2096">
          <cell r="K2096">
            <v>0</v>
          </cell>
          <cell r="M2096">
            <v>0</v>
          </cell>
          <cell r="P2096">
            <v>0</v>
          </cell>
        </row>
        <row r="2097">
          <cell r="K2097">
            <v>0</v>
          </cell>
          <cell r="M2097">
            <v>0</v>
          </cell>
          <cell r="P2097">
            <v>0</v>
          </cell>
        </row>
        <row r="2098">
          <cell r="K2098">
            <v>0</v>
          </cell>
          <cell r="M2098">
            <v>0</v>
          </cell>
          <cell r="P2098">
            <v>0</v>
          </cell>
        </row>
        <row r="2099">
          <cell r="K2099">
            <v>0</v>
          </cell>
          <cell r="M2099">
            <v>0</v>
          </cell>
          <cell r="P2099">
            <v>0</v>
          </cell>
        </row>
        <row r="2100">
          <cell r="K2100">
            <v>0</v>
          </cell>
          <cell r="M2100">
            <v>0</v>
          </cell>
          <cell r="P2100">
            <v>0</v>
          </cell>
        </row>
        <row r="2101">
          <cell r="K2101">
            <v>0</v>
          </cell>
          <cell r="M2101">
            <v>0</v>
          </cell>
          <cell r="P2101">
            <v>0</v>
          </cell>
        </row>
        <row r="2102">
          <cell r="K2102">
            <v>0</v>
          </cell>
          <cell r="M2102">
            <v>0</v>
          </cell>
          <cell r="P2102">
            <v>0</v>
          </cell>
        </row>
        <row r="2103">
          <cell r="K2103">
            <v>0</v>
          </cell>
          <cell r="M2103">
            <v>0</v>
          </cell>
          <cell r="P2103">
            <v>0</v>
          </cell>
        </row>
        <row r="2104">
          <cell r="K2104">
            <v>0</v>
          </cell>
          <cell r="M2104">
            <v>0</v>
          </cell>
          <cell r="P2104">
            <v>0</v>
          </cell>
        </row>
        <row r="2105">
          <cell r="K2105">
            <v>0</v>
          </cell>
          <cell r="M2105">
            <v>0</v>
          </cell>
          <cell r="P2105">
            <v>0</v>
          </cell>
        </row>
        <row r="2106">
          <cell r="K2106">
            <v>0</v>
          </cell>
          <cell r="M2106">
            <v>0</v>
          </cell>
          <cell r="P2106">
            <v>0</v>
          </cell>
        </row>
        <row r="2107">
          <cell r="K2107">
            <v>0</v>
          </cell>
          <cell r="M2107">
            <v>0</v>
          </cell>
          <cell r="P2107">
            <v>0</v>
          </cell>
        </row>
        <row r="2108">
          <cell r="K2108">
            <v>0</v>
          </cell>
          <cell r="M2108">
            <v>0</v>
          </cell>
          <cell r="P2108">
            <v>0</v>
          </cell>
        </row>
        <row r="2109">
          <cell r="K2109">
            <v>0</v>
          </cell>
          <cell r="M2109">
            <v>0</v>
          </cell>
          <cell r="P2109">
            <v>0</v>
          </cell>
        </row>
        <row r="2110">
          <cell r="K2110">
            <v>0</v>
          </cell>
          <cell r="M2110">
            <v>0</v>
          </cell>
          <cell r="P2110">
            <v>0</v>
          </cell>
        </row>
        <row r="2111">
          <cell r="K2111">
            <v>0</v>
          </cell>
          <cell r="M2111">
            <v>0</v>
          </cell>
          <cell r="P2111">
            <v>0</v>
          </cell>
        </row>
        <row r="2112">
          <cell r="K2112">
            <v>0</v>
          </cell>
          <cell r="M2112">
            <v>0</v>
          </cell>
          <cell r="P2112">
            <v>0</v>
          </cell>
        </row>
        <row r="2113">
          <cell r="K2113">
            <v>0</v>
          </cell>
          <cell r="M2113">
            <v>0</v>
          </cell>
          <cell r="P2113">
            <v>0</v>
          </cell>
        </row>
        <row r="2114">
          <cell r="K2114">
            <v>0</v>
          </cell>
          <cell r="M2114">
            <v>0</v>
          </cell>
          <cell r="P2114">
            <v>0</v>
          </cell>
        </row>
        <row r="2115">
          <cell r="K2115">
            <v>0</v>
          </cell>
          <cell r="M2115">
            <v>0</v>
          </cell>
          <cell r="P2115">
            <v>0</v>
          </cell>
        </row>
        <row r="2116">
          <cell r="K2116">
            <v>0</v>
          </cell>
          <cell r="M2116">
            <v>0</v>
          </cell>
          <cell r="P2116">
            <v>0</v>
          </cell>
        </row>
        <row r="2117">
          <cell r="K2117">
            <v>0</v>
          </cell>
          <cell r="M2117">
            <v>0</v>
          </cell>
          <cell r="P2117">
            <v>0</v>
          </cell>
        </row>
        <row r="2118">
          <cell r="K2118">
            <v>0</v>
          </cell>
          <cell r="M2118">
            <v>0</v>
          </cell>
          <cell r="P2118">
            <v>0</v>
          </cell>
        </row>
        <row r="2119">
          <cell r="K2119">
            <v>0</v>
          </cell>
          <cell r="M2119">
            <v>0</v>
          </cell>
          <cell r="P2119">
            <v>0</v>
          </cell>
        </row>
        <row r="2120">
          <cell r="K2120">
            <v>0</v>
          </cell>
          <cell r="M2120">
            <v>0</v>
          </cell>
          <cell r="P2120">
            <v>0</v>
          </cell>
        </row>
        <row r="2121">
          <cell r="K2121">
            <v>0</v>
          </cell>
          <cell r="M2121">
            <v>0</v>
          </cell>
          <cell r="P2121">
            <v>0</v>
          </cell>
        </row>
        <row r="2122">
          <cell r="K2122">
            <v>0</v>
          </cell>
          <cell r="M2122">
            <v>0</v>
          </cell>
          <cell r="P2122">
            <v>0</v>
          </cell>
        </row>
        <row r="2123">
          <cell r="K2123">
            <v>0</v>
          </cell>
          <cell r="M2123">
            <v>0</v>
          </cell>
          <cell r="P2123">
            <v>0</v>
          </cell>
        </row>
        <row r="2124">
          <cell r="K2124">
            <v>0</v>
          </cell>
          <cell r="M2124">
            <v>0</v>
          </cell>
          <cell r="P2124">
            <v>0</v>
          </cell>
        </row>
        <row r="2125">
          <cell r="K2125">
            <v>0</v>
          </cell>
          <cell r="M2125">
            <v>0</v>
          </cell>
          <cell r="P2125">
            <v>0</v>
          </cell>
        </row>
        <row r="2126">
          <cell r="K2126">
            <v>0</v>
          </cell>
          <cell r="M2126">
            <v>0</v>
          </cell>
          <cell r="P2126">
            <v>0</v>
          </cell>
        </row>
        <row r="2127">
          <cell r="K2127">
            <v>0</v>
          </cell>
          <cell r="M2127">
            <v>0</v>
          </cell>
          <cell r="P2127">
            <v>0</v>
          </cell>
        </row>
        <row r="2128">
          <cell r="K2128">
            <v>0</v>
          </cell>
          <cell r="M2128">
            <v>0</v>
          </cell>
          <cell r="P2128">
            <v>0</v>
          </cell>
        </row>
        <row r="2129">
          <cell r="K2129">
            <v>0</v>
          </cell>
          <cell r="M2129">
            <v>0</v>
          </cell>
          <cell r="P2129">
            <v>0</v>
          </cell>
        </row>
        <row r="2130">
          <cell r="K2130">
            <v>0</v>
          </cell>
          <cell r="M2130">
            <v>0</v>
          </cell>
          <cell r="P2130">
            <v>0</v>
          </cell>
        </row>
        <row r="2131">
          <cell r="K2131">
            <v>0</v>
          </cell>
          <cell r="M2131">
            <v>0</v>
          </cell>
          <cell r="P2131">
            <v>0</v>
          </cell>
        </row>
        <row r="2132">
          <cell r="K2132">
            <v>0</v>
          </cell>
          <cell r="M2132">
            <v>0</v>
          </cell>
          <cell r="P2132">
            <v>0</v>
          </cell>
        </row>
        <row r="2133">
          <cell r="K2133">
            <v>0</v>
          </cell>
          <cell r="M2133">
            <v>0</v>
          </cell>
          <cell r="P2133">
            <v>0</v>
          </cell>
        </row>
        <row r="2134">
          <cell r="K2134">
            <v>0</v>
          </cell>
          <cell r="M2134">
            <v>0</v>
          </cell>
          <cell r="P2134">
            <v>0</v>
          </cell>
        </row>
        <row r="2135">
          <cell r="K2135">
            <v>0</v>
          </cell>
          <cell r="M2135">
            <v>0</v>
          </cell>
          <cell r="P2135">
            <v>0</v>
          </cell>
        </row>
        <row r="2136">
          <cell r="K2136">
            <v>0</v>
          </cell>
          <cell r="M2136">
            <v>0</v>
          </cell>
          <cell r="P2136">
            <v>0</v>
          </cell>
        </row>
        <row r="2137">
          <cell r="K2137">
            <v>0</v>
          </cell>
          <cell r="M2137">
            <v>0</v>
          </cell>
          <cell r="P2137">
            <v>0</v>
          </cell>
        </row>
        <row r="2138">
          <cell r="K2138">
            <v>0</v>
          </cell>
          <cell r="M2138">
            <v>0</v>
          </cell>
          <cell r="P2138">
            <v>0</v>
          </cell>
        </row>
        <row r="2139">
          <cell r="K2139">
            <v>0</v>
          </cell>
          <cell r="M2139">
            <v>0</v>
          </cell>
          <cell r="P2139">
            <v>0</v>
          </cell>
        </row>
        <row r="2140">
          <cell r="K2140">
            <v>0</v>
          </cell>
          <cell r="M2140">
            <v>0</v>
          </cell>
          <cell r="P2140">
            <v>0</v>
          </cell>
        </row>
        <row r="2141">
          <cell r="K2141">
            <v>0</v>
          </cell>
          <cell r="M2141">
            <v>0</v>
          </cell>
          <cell r="P2141">
            <v>0</v>
          </cell>
        </row>
        <row r="2142">
          <cell r="K2142">
            <v>0</v>
          </cell>
          <cell r="M2142">
            <v>0</v>
          </cell>
          <cell r="P2142">
            <v>0</v>
          </cell>
        </row>
        <row r="2143">
          <cell r="K2143">
            <v>0</v>
          </cell>
          <cell r="M2143">
            <v>0</v>
          </cell>
          <cell r="P2143">
            <v>0</v>
          </cell>
        </row>
        <row r="2144">
          <cell r="K2144">
            <v>0</v>
          </cell>
          <cell r="M2144">
            <v>0</v>
          </cell>
          <cell r="P2144">
            <v>0</v>
          </cell>
        </row>
        <row r="2145">
          <cell r="K2145">
            <v>0</v>
          </cell>
          <cell r="M2145">
            <v>0</v>
          </cell>
          <cell r="P2145">
            <v>0</v>
          </cell>
        </row>
        <row r="2146">
          <cell r="K2146">
            <v>0</v>
          </cell>
          <cell r="M2146">
            <v>0</v>
          </cell>
          <cell r="P2146">
            <v>0</v>
          </cell>
        </row>
        <row r="2147">
          <cell r="K2147">
            <v>0</v>
          </cell>
          <cell r="M2147">
            <v>0</v>
          </cell>
          <cell r="P2147">
            <v>0</v>
          </cell>
        </row>
        <row r="2148">
          <cell r="K2148">
            <v>0</v>
          </cell>
          <cell r="M2148">
            <v>0</v>
          </cell>
          <cell r="P2148">
            <v>0</v>
          </cell>
        </row>
        <row r="2149">
          <cell r="K2149">
            <v>0</v>
          </cell>
          <cell r="M2149">
            <v>0</v>
          </cell>
          <cell r="P2149">
            <v>0</v>
          </cell>
        </row>
        <row r="2150">
          <cell r="K2150">
            <v>0</v>
          </cell>
          <cell r="M2150">
            <v>0</v>
          </cell>
          <cell r="P2150">
            <v>0</v>
          </cell>
        </row>
        <row r="2151">
          <cell r="K2151">
            <v>0</v>
          </cell>
          <cell r="M2151">
            <v>0</v>
          </cell>
          <cell r="P2151">
            <v>0</v>
          </cell>
        </row>
        <row r="2152">
          <cell r="K2152">
            <v>0</v>
          </cell>
          <cell r="M2152">
            <v>0</v>
          </cell>
          <cell r="P2152">
            <v>0</v>
          </cell>
        </row>
        <row r="2153">
          <cell r="K2153">
            <v>0</v>
          </cell>
          <cell r="M2153">
            <v>0</v>
          </cell>
          <cell r="P2153">
            <v>0</v>
          </cell>
        </row>
        <row r="2154">
          <cell r="K2154">
            <v>0</v>
          </cell>
          <cell r="M2154">
            <v>0</v>
          </cell>
          <cell r="P2154">
            <v>0</v>
          </cell>
        </row>
        <row r="2155">
          <cell r="K2155">
            <v>0</v>
          </cell>
          <cell r="M2155">
            <v>0</v>
          </cell>
          <cell r="P2155">
            <v>0</v>
          </cell>
        </row>
        <row r="2156">
          <cell r="K2156">
            <v>0</v>
          </cell>
          <cell r="M2156">
            <v>0</v>
          </cell>
          <cell r="P2156">
            <v>0</v>
          </cell>
        </row>
        <row r="2157">
          <cell r="K2157">
            <v>0</v>
          </cell>
          <cell r="M2157">
            <v>0</v>
          </cell>
          <cell r="P2157">
            <v>0</v>
          </cell>
        </row>
        <row r="2158">
          <cell r="K2158">
            <v>0</v>
          </cell>
          <cell r="M2158">
            <v>0</v>
          </cell>
          <cell r="P2158">
            <v>0</v>
          </cell>
        </row>
        <row r="2159">
          <cell r="K2159">
            <v>0</v>
          </cell>
          <cell r="M2159">
            <v>0</v>
          </cell>
          <cell r="P2159">
            <v>0</v>
          </cell>
        </row>
        <row r="2160">
          <cell r="K2160">
            <v>0</v>
          </cell>
          <cell r="M2160">
            <v>0</v>
          </cell>
          <cell r="P2160">
            <v>0</v>
          </cell>
        </row>
        <row r="2161">
          <cell r="K2161">
            <v>0</v>
          </cell>
          <cell r="M2161">
            <v>0</v>
          </cell>
          <cell r="P2161">
            <v>0</v>
          </cell>
        </row>
        <row r="2162">
          <cell r="K2162">
            <v>0</v>
          </cell>
          <cell r="M2162">
            <v>0</v>
          </cell>
          <cell r="P2162">
            <v>0</v>
          </cell>
        </row>
        <row r="2163">
          <cell r="K2163">
            <v>0</v>
          </cell>
          <cell r="M2163">
            <v>0</v>
          </cell>
          <cell r="P2163">
            <v>0</v>
          </cell>
        </row>
        <row r="2164">
          <cell r="K2164">
            <v>0</v>
          </cell>
          <cell r="M2164">
            <v>0</v>
          </cell>
          <cell r="P2164">
            <v>0</v>
          </cell>
        </row>
        <row r="2165">
          <cell r="K2165">
            <v>0</v>
          </cell>
          <cell r="M2165">
            <v>0</v>
          </cell>
          <cell r="P2165">
            <v>0</v>
          </cell>
        </row>
        <row r="2166">
          <cell r="K2166">
            <v>0</v>
          </cell>
          <cell r="M2166">
            <v>0</v>
          </cell>
          <cell r="P2166">
            <v>0</v>
          </cell>
        </row>
        <row r="2167">
          <cell r="K2167">
            <v>0</v>
          </cell>
          <cell r="M2167">
            <v>0</v>
          </cell>
          <cell r="P2167">
            <v>0</v>
          </cell>
        </row>
        <row r="2168">
          <cell r="K2168">
            <v>0</v>
          </cell>
          <cell r="M2168">
            <v>0</v>
          </cell>
          <cell r="P2168">
            <v>0</v>
          </cell>
        </row>
        <row r="2169">
          <cell r="K2169">
            <v>0</v>
          </cell>
          <cell r="M2169">
            <v>0</v>
          </cell>
          <cell r="P2169">
            <v>0</v>
          </cell>
        </row>
        <row r="2170">
          <cell r="K2170">
            <v>0</v>
          </cell>
          <cell r="M2170">
            <v>0</v>
          </cell>
          <cell r="P2170">
            <v>0</v>
          </cell>
        </row>
        <row r="2171">
          <cell r="K2171">
            <v>0</v>
          </cell>
          <cell r="M2171">
            <v>0</v>
          </cell>
          <cell r="P2171">
            <v>0</v>
          </cell>
        </row>
        <row r="2172">
          <cell r="K2172">
            <v>0</v>
          </cell>
          <cell r="M2172">
            <v>0</v>
          </cell>
          <cell r="P2172">
            <v>0</v>
          </cell>
        </row>
        <row r="2173">
          <cell r="K2173">
            <v>0</v>
          </cell>
          <cell r="M2173">
            <v>0</v>
          </cell>
          <cell r="P2173">
            <v>0</v>
          </cell>
        </row>
        <row r="2174">
          <cell r="K2174">
            <v>0</v>
          </cell>
          <cell r="M2174">
            <v>0</v>
          </cell>
          <cell r="P2174">
            <v>0</v>
          </cell>
        </row>
        <row r="2175">
          <cell r="K2175">
            <v>0</v>
          </cell>
          <cell r="M2175">
            <v>0</v>
          </cell>
          <cell r="P2175">
            <v>0</v>
          </cell>
        </row>
        <row r="2176">
          <cell r="K2176">
            <v>0</v>
          </cell>
          <cell r="M2176">
            <v>0</v>
          </cell>
          <cell r="P2176">
            <v>0</v>
          </cell>
        </row>
        <row r="2177">
          <cell r="K2177">
            <v>0</v>
          </cell>
          <cell r="M2177">
            <v>0</v>
          </cell>
          <cell r="P2177">
            <v>0</v>
          </cell>
        </row>
        <row r="2178">
          <cell r="K2178">
            <v>0</v>
          </cell>
          <cell r="M2178">
            <v>0</v>
          </cell>
          <cell r="P2178">
            <v>0</v>
          </cell>
        </row>
        <row r="2179">
          <cell r="K2179">
            <v>0</v>
          </cell>
          <cell r="M2179">
            <v>0</v>
          </cell>
          <cell r="P2179">
            <v>0</v>
          </cell>
        </row>
        <row r="2180">
          <cell r="K2180">
            <v>0</v>
          </cell>
          <cell r="M2180">
            <v>0</v>
          </cell>
          <cell r="P2180">
            <v>0</v>
          </cell>
        </row>
        <row r="2181">
          <cell r="K2181">
            <v>0</v>
          </cell>
          <cell r="M2181">
            <v>0</v>
          </cell>
          <cell r="P2181">
            <v>0</v>
          </cell>
        </row>
        <row r="2182">
          <cell r="K2182">
            <v>0</v>
          </cell>
          <cell r="M2182">
            <v>0</v>
          </cell>
          <cell r="P2182">
            <v>0</v>
          </cell>
        </row>
        <row r="2183">
          <cell r="K2183">
            <v>0</v>
          </cell>
          <cell r="M2183">
            <v>0</v>
          </cell>
          <cell r="P2183">
            <v>0</v>
          </cell>
        </row>
        <row r="2184">
          <cell r="K2184">
            <v>0</v>
          </cell>
          <cell r="M2184">
            <v>0</v>
          </cell>
          <cell r="P2184">
            <v>0</v>
          </cell>
        </row>
        <row r="2185">
          <cell r="K2185">
            <v>0</v>
          </cell>
          <cell r="M2185">
            <v>0</v>
          </cell>
          <cell r="P2185">
            <v>0</v>
          </cell>
        </row>
        <row r="2186">
          <cell r="K2186">
            <v>0</v>
          </cell>
          <cell r="M2186">
            <v>0</v>
          </cell>
          <cell r="P2186">
            <v>0</v>
          </cell>
        </row>
        <row r="2187">
          <cell r="K2187">
            <v>0</v>
          </cell>
          <cell r="M2187">
            <v>0</v>
          </cell>
          <cell r="P2187">
            <v>0</v>
          </cell>
        </row>
        <row r="2188">
          <cell r="K2188">
            <v>0</v>
          </cell>
          <cell r="M2188">
            <v>0</v>
          </cell>
          <cell r="P2188">
            <v>0</v>
          </cell>
        </row>
        <row r="2189">
          <cell r="K2189">
            <v>0</v>
          </cell>
          <cell r="M2189">
            <v>0</v>
          </cell>
          <cell r="P2189">
            <v>0</v>
          </cell>
        </row>
        <row r="2190">
          <cell r="K2190">
            <v>0</v>
          </cell>
          <cell r="M2190">
            <v>0</v>
          </cell>
          <cell r="P2190">
            <v>0</v>
          </cell>
        </row>
        <row r="2191">
          <cell r="K2191">
            <v>0</v>
          </cell>
          <cell r="M2191">
            <v>0</v>
          </cell>
          <cell r="P2191">
            <v>0</v>
          </cell>
        </row>
        <row r="2192">
          <cell r="K2192">
            <v>0</v>
          </cell>
          <cell r="M2192">
            <v>0</v>
          </cell>
          <cell r="P2192">
            <v>0</v>
          </cell>
        </row>
        <row r="2193">
          <cell r="K2193">
            <v>0</v>
          </cell>
          <cell r="M2193">
            <v>0</v>
          </cell>
          <cell r="P2193">
            <v>0</v>
          </cell>
        </row>
        <row r="2194">
          <cell r="K2194">
            <v>0</v>
          </cell>
          <cell r="M2194">
            <v>0</v>
          </cell>
          <cell r="P2194">
            <v>0</v>
          </cell>
        </row>
        <row r="2195">
          <cell r="K2195">
            <v>0</v>
          </cell>
          <cell r="M2195">
            <v>0</v>
          </cell>
          <cell r="P2195">
            <v>0</v>
          </cell>
        </row>
        <row r="2196">
          <cell r="K2196">
            <v>0</v>
          </cell>
          <cell r="M2196">
            <v>0</v>
          </cell>
          <cell r="P2196">
            <v>0</v>
          </cell>
        </row>
        <row r="2197">
          <cell r="K2197">
            <v>0</v>
          </cell>
          <cell r="M2197">
            <v>0</v>
          </cell>
          <cell r="P2197">
            <v>0</v>
          </cell>
        </row>
        <row r="2198">
          <cell r="K2198">
            <v>0</v>
          </cell>
          <cell r="M2198">
            <v>0</v>
          </cell>
          <cell r="P2198">
            <v>0</v>
          </cell>
        </row>
        <row r="2199">
          <cell r="K2199">
            <v>0</v>
          </cell>
          <cell r="M2199">
            <v>0</v>
          </cell>
          <cell r="P2199">
            <v>0</v>
          </cell>
        </row>
        <row r="2200">
          <cell r="K2200">
            <v>0</v>
          </cell>
          <cell r="M2200">
            <v>0</v>
          </cell>
          <cell r="P2200">
            <v>0</v>
          </cell>
        </row>
        <row r="2201">
          <cell r="K2201">
            <v>0</v>
          </cell>
          <cell r="M2201">
            <v>0</v>
          </cell>
          <cell r="P2201">
            <v>0</v>
          </cell>
        </row>
        <row r="2202">
          <cell r="K2202">
            <v>0</v>
          </cell>
          <cell r="M2202">
            <v>0</v>
          </cell>
          <cell r="P2202">
            <v>0</v>
          </cell>
        </row>
        <row r="2203">
          <cell r="K2203">
            <v>0</v>
          </cell>
          <cell r="M2203">
            <v>0</v>
          </cell>
          <cell r="P2203">
            <v>0</v>
          </cell>
        </row>
        <row r="2204">
          <cell r="K2204">
            <v>0</v>
          </cell>
          <cell r="M2204">
            <v>0</v>
          </cell>
          <cell r="P2204">
            <v>0</v>
          </cell>
        </row>
        <row r="2205">
          <cell r="K2205">
            <v>0</v>
          </cell>
          <cell r="M2205">
            <v>0</v>
          </cell>
          <cell r="P2205">
            <v>0</v>
          </cell>
        </row>
        <row r="2206">
          <cell r="K2206">
            <v>0</v>
          </cell>
          <cell r="M2206">
            <v>0</v>
          </cell>
          <cell r="P2206">
            <v>0</v>
          </cell>
        </row>
        <row r="2207">
          <cell r="K2207">
            <v>0</v>
          </cell>
          <cell r="M2207">
            <v>0</v>
          </cell>
          <cell r="P2207">
            <v>0</v>
          </cell>
        </row>
        <row r="2208">
          <cell r="K2208">
            <v>0</v>
          </cell>
          <cell r="M2208">
            <v>0</v>
          </cell>
          <cell r="P2208">
            <v>0</v>
          </cell>
        </row>
        <row r="2209">
          <cell r="K2209">
            <v>0</v>
          </cell>
          <cell r="M2209">
            <v>0</v>
          </cell>
          <cell r="P2209">
            <v>0</v>
          </cell>
        </row>
        <row r="2210">
          <cell r="K2210">
            <v>0</v>
          </cell>
          <cell r="M2210">
            <v>0</v>
          </cell>
          <cell r="P2210">
            <v>0</v>
          </cell>
        </row>
        <row r="2211">
          <cell r="K2211">
            <v>0</v>
          </cell>
          <cell r="M2211">
            <v>0</v>
          </cell>
          <cell r="P2211">
            <v>0</v>
          </cell>
        </row>
        <row r="2212">
          <cell r="K2212">
            <v>0</v>
          </cell>
          <cell r="M2212">
            <v>0</v>
          </cell>
          <cell r="P2212">
            <v>0</v>
          </cell>
        </row>
        <row r="2213">
          <cell r="K2213">
            <v>0</v>
          </cell>
          <cell r="M2213">
            <v>0</v>
          </cell>
          <cell r="P2213">
            <v>0</v>
          </cell>
        </row>
        <row r="2214">
          <cell r="K2214">
            <v>0</v>
          </cell>
          <cell r="M2214">
            <v>0</v>
          </cell>
          <cell r="P2214">
            <v>0</v>
          </cell>
        </row>
        <row r="2215">
          <cell r="K2215">
            <v>0</v>
          </cell>
          <cell r="M2215">
            <v>0</v>
          </cell>
          <cell r="P2215">
            <v>0</v>
          </cell>
        </row>
        <row r="2216">
          <cell r="K2216">
            <v>0</v>
          </cell>
          <cell r="M2216">
            <v>0</v>
          </cell>
          <cell r="P2216">
            <v>0</v>
          </cell>
        </row>
        <row r="2217">
          <cell r="K2217">
            <v>0</v>
          </cell>
          <cell r="M2217">
            <v>0</v>
          </cell>
          <cell r="P2217">
            <v>0</v>
          </cell>
        </row>
        <row r="2218">
          <cell r="K2218">
            <v>0</v>
          </cell>
          <cell r="M2218">
            <v>0</v>
          </cell>
          <cell r="P2218">
            <v>0</v>
          </cell>
        </row>
        <row r="2219">
          <cell r="K2219">
            <v>0</v>
          </cell>
          <cell r="M2219">
            <v>0</v>
          </cell>
          <cell r="P2219">
            <v>0</v>
          </cell>
        </row>
        <row r="2220">
          <cell r="K2220">
            <v>0</v>
          </cell>
          <cell r="M2220">
            <v>0</v>
          </cell>
          <cell r="P2220">
            <v>0</v>
          </cell>
        </row>
        <row r="2221">
          <cell r="K2221">
            <v>0</v>
          </cell>
          <cell r="M2221">
            <v>0</v>
          </cell>
          <cell r="P2221">
            <v>0</v>
          </cell>
        </row>
        <row r="2222">
          <cell r="K2222">
            <v>0</v>
          </cell>
          <cell r="M2222">
            <v>0</v>
          </cell>
          <cell r="P2222">
            <v>0</v>
          </cell>
        </row>
        <row r="2223">
          <cell r="K2223">
            <v>0</v>
          </cell>
          <cell r="M2223">
            <v>0</v>
          </cell>
          <cell r="P2223">
            <v>0</v>
          </cell>
        </row>
        <row r="2224">
          <cell r="K2224">
            <v>0</v>
          </cell>
          <cell r="M2224">
            <v>0</v>
          </cell>
          <cell r="P2224">
            <v>0</v>
          </cell>
        </row>
        <row r="2225">
          <cell r="K2225">
            <v>0</v>
          </cell>
          <cell r="M2225">
            <v>0</v>
          </cell>
          <cell r="P2225">
            <v>0</v>
          </cell>
        </row>
        <row r="2226">
          <cell r="K2226">
            <v>0</v>
          </cell>
          <cell r="M2226">
            <v>0</v>
          </cell>
          <cell r="P2226">
            <v>0</v>
          </cell>
        </row>
        <row r="2227">
          <cell r="K2227">
            <v>0</v>
          </cell>
          <cell r="M2227">
            <v>0</v>
          </cell>
          <cell r="P2227">
            <v>0</v>
          </cell>
        </row>
        <row r="2228">
          <cell r="K2228">
            <v>0</v>
          </cell>
          <cell r="M2228">
            <v>0</v>
          </cell>
          <cell r="P2228">
            <v>0</v>
          </cell>
        </row>
        <row r="2229">
          <cell r="K2229">
            <v>0</v>
          </cell>
          <cell r="M2229">
            <v>0</v>
          </cell>
          <cell r="P2229">
            <v>0</v>
          </cell>
        </row>
        <row r="2230">
          <cell r="K2230">
            <v>0</v>
          </cell>
          <cell r="M2230">
            <v>0</v>
          </cell>
          <cell r="P2230">
            <v>0</v>
          </cell>
        </row>
        <row r="2231">
          <cell r="K2231">
            <v>0</v>
          </cell>
          <cell r="M2231">
            <v>0</v>
          </cell>
          <cell r="P2231">
            <v>0</v>
          </cell>
        </row>
        <row r="2232">
          <cell r="K2232">
            <v>0</v>
          </cell>
          <cell r="M2232">
            <v>0</v>
          </cell>
          <cell r="P2232">
            <v>0</v>
          </cell>
        </row>
        <row r="2233">
          <cell r="K2233">
            <v>0</v>
          </cell>
          <cell r="M2233">
            <v>0</v>
          </cell>
          <cell r="P2233">
            <v>0</v>
          </cell>
        </row>
        <row r="2234">
          <cell r="K2234">
            <v>0</v>
          </cell>
          <cell r="M2234">
            <v>0</v>
          </cell>
          <cell r="P2234">
            <v>0</v>
          </cell>
        </row>
        <row r="2235">
          <cell r="K2235">
            <v>0</v>
          </cell>
          <cell r="M2235">
            <v>0</v>
          </cell>
          <cell r="P2235">
            <v>0</v>
          </cell>
        </row>
        <row r="2236">
          <cell r="K2236">
            <v>0</v>
          </cell>
          <cell r="M2236">
            <v>0</v>
          </cell>
          <cell r="P2236">
            <v>0</v>
          </cell>
        </row>
        <row r="2237">
          <cell r="K2237">
            <v>0</v>
          </cell>
          <cell r="M2237">
            <v>0</v>
          </cell>
          <cell r="P2237">
            <v>0</v>
          </cell>
        </row>
        <row r="2238">
          <cell r="K2238">
            <v>0</v>
          </cell>
          <cell r="M2238">
            <v>0</v>
          </cell>
          <cell r="P2238">
            <v>0</v>
          </cell>
        </row>
        <row r="2239">
          <cell r="K2239">
            <v>0</v>
          </cell>
          <cell r="M2239">
            <v>0</v>
          </cell>
          <cell r="P2239">
            <v>0</v>
          </cell>
        </row>
        <row r="2240">
          <cell r="K2240">
            <v>0</v>
          </cell>
          <cell r="M2240">
            <v>0</v>
          </cell>
          <cell r="P2240">
            <v>0</v>
          </cell>
        </row>
        <row r="2241">
          <cell r="K2241">
            <v>0</v>
          </cell>
          <cell r="M2241">
            <v>0</v>
          </cell>
          <cell r="P2241">
            <v>0</v>
          </cell>
        </row>
        <row r="2242">
          <cell r="K2242">
            <v>0</v>
          </cell>
          <cell r="M2242">
            <v>0</v>
          </cell>
          <cell r="P2242">
            <v>0</v>
          </cell>
        </row>
        <row r="2243">
          <cell r="K2243">
            <v>0</v>
          </cell>
          <cell r="M2243">
            <v>0</v>
          </cell>
          <cell r="P2243">
            <v>0</v>
          </cell>
        </row>
        <row r="2244">
          <cell r="K2244">
            <v>0</v>
          </cell>
          <cell r="M2244">
            <v>0</v>
          </cell>
          <cell r="P2244">
            <v>0</v>
          </cell>
        </row>
        <row r="2245">
          <cell r="K2245">
            <v>0</v>
          </cell>
          <cell r="M2245">
            <v>0</v>
          </cell>
          <cell r="P2245">
            <v>0</v>
          </cell>
        </row>
        <row r="2246">
          <cell r="K2246">
            <v>0</v>
          </cell>
          <cell r="M2246">
            <v>0</v>
          </cell>
          <cell r="P2246">
            <v>0</v>
          </cell>
        </row>
        <row r="2247">
          <cell r="K2247">
            <v>0</v>
          </cell>
          <cell r="M2247">
            <v>0</v>
          </cell>
          <cell r="P2247">
            <v>0</v>
          </cell>
        </row>
        <row r="2248">
          <cell r="K2248">
            <v>0</v>
          </cell>
          <cell r="M2248">
            <v>0</v>
          </cell>
          <cell r="P2248">
            <v>0</v>
          </cell>
        </row>
        <row r="2249">
          <cell r="K2249">
            <v>0</v>
          </cell>
          <cell r="M2249">
            <v>0</v>
          </cell>
          <cell r="P2249">
            <v>0</v>
          </cell>
        </row>
        <row r="2250">
          <cell r="K2250">
            <v>0</v>
          </cell>
          <cell r="M2250">
            <v>0</v>
          </cell>
          <cell r="P2250">
            <v>0</v>
          </cell>
        </row>
        <row r="2251">
          <cell r="K2251">
            <v>0</v>
          </cell>
          <cell r="M2251">
            <v>0</v>
          </cell>
          <cell r="P2251">
            <v>0</v>
          </cell>
        </row>
        <row r="2252">
          <cell r="K2252">
            <v>0</v>
          </cell>
          <cell r="M2252">
            <v>0</v>
          </cell>
          <cell r="P2252">
            <v>0</v>
          </cell>
        </row>
        <row r="2253">
          <cell r="K2253">
            <v>0</v>
          </cell>
          <cell r="M2253">
            <v>0</v>
          </cell>
          <cell r="P2253">
            <v>0</v>
          </cell>
        </row>
        <row r="2254">
          <cell r="K2254">
            <v>0</v>
          </cell>
          <cell r="M2254">
            <v>0</v>
          </cell>
          <cell r="P2254">
            <v>0</v>
          </cell>
        </row>
        <row r="2255">
          <cell r="K2255">
            <v>0</v>
          </cell>
          <cell r="M2255">
            <v>0</v>
          </cell>
          <cell r="P2255">
            <v>0</v>
          </cell>
        </row>
        <row r="2256">
          <cell r="K2256">
            <v>0</v>
          </cell>
          <cell r="M2256">
            <v>0</v>
          </cell>
          <cell r="P2256">
            <v>0</v>
          </cell>
        </row>
        <row r="2257">
          <cell r="K2257">
            <v>0</v>
          </cell>
          <cell r="M2257">
            <v>0</v>
          </cell>
          <cell r="P2257">
            <v>0</v>
          </cell>
        </row>
        <row r="2258">
          <cell r="K2258">
            <v>0</v>
          </cell>
          <cell r="M2258">
            <v>0</v>
          </cell>
          <cell r="P2258">
            <v>0</v>
          </cell>
        </row>
        <row r="2259">
          <cell r="K2259">
            <v>0</v>
          </cell>
          <cell r="M2259">
            <v>0</v>
          </cell>
          <cell r="P2259">
            <v>0</v>
          </cell>
        </row>
        <row r="2260">
          <cell r="K2260">
            <v>0</v>
          </cell>
          <cell r="M2260">
            <v>0</v>
          </cell>
          <cell r="P2260">
            <v>0</v>
          </cell>
        </row>
        <row r="2261">
          <cell r="K2261">
            <v>0</v>
          </cell>
          <cell r="M2261">
            <v>0</v>
          </cell>
          <cell r="P2261">
            <v>0</v>
          </cell>
        </row>
        <row r="2262">
          <cell r="K2262">
            <v>0</v>
          </cell>
          <cell r="M2262">
            <v>0</v>
          </cell>
          <cell r="P2262">
            <v>0</v>
          </cell>
        </row>
        <row r="2263">
          <cell r="K2263">
            <v>0</v>
          </cell>
          <cell r="M2263">
            <v>0</v>
          </cell>
          <cell r="P2263">
            <v>0</v>
          </cell>
        </row>
        <row r="2264">
          <cell r="K2264">
            <v>0</v>
          </cell>
          <cell r="M2264">
            <v>0</v>
          </cell>
          <cell r="P2264">
            <v>0</v>
          </cell>
        </row>
        <row r="2265">
          <cell r="K2265">
            <v>0</v>
          </cell>
          <cell r="M2265">
            <v>0</v>
          </cell>
          <cell r="P2265">
            <v>0</v>
          </cell>
        </row>
        <row r="2266">
          <cell r="K2266">
            <v>0</v>
          </cell>
          <cell r="M2266">
            <v>0</v>
          </cell>
          <cell r="P2266">
            <v>0</v>
          </cell>
        </row>
        <row r="2267">
          <cell r="K2267">
            <v>0</v>
          </cell>
          <cell r="M2267">
            <v>0</v>
          </cell>
          <cell r="P2267">
            <v>0</v>
          </cell>
        </row>
        <row r="2268">
          <cell r="K2268">
            <v>0</v>
          </cell>
          <cell r="M2268">
            <v>0</v>
          </cell>
          <cell r="P2268">
            <v>0</v>
          </cell>
        </row>
        <row r="2269">
          <cell r="K2269">
            <v>0</v>
          </cell>
          <cell r="M2269">
            <v>0</v>
          </cell>
          <cell r="P2269">
            <v>0</v>
          </cell>
        </row>
        <row r="2270">
          <cell r="K2270">
            <v>0</v>
          </cell>
          <cell r="M2270">
            <v>0</v>
          </cell>
          <cell r="P2270">
            <v>0</v>
          </cell>
        </row>
        <row r="2271">
          <cell r="K2271">
            <v>0</v>
          </cell>
          <cell r="M2271">
            <v>0</v>
          </cell>
          <cell r="P2271">
            <v>0</v>
          </cell>
        </row>
        <row r="2272">
          <cell r="K2272">
            <v>0</v>
          </cell>
          <cell r="M2272">
            <v>0</v>
          </cell>
          <cell r="P2272">
            <v>0</v>
          </cell>
        </row>
        <row r="2273">
          <cell r="K2273">
            <v>0</v>
          </cell>
          <cell r="M2273">
            <v>0</v>
          </cell>
          <cell r="P2273">
            <v>0</v>
          </cell>
        </row>
        <row r="2274">
          <cell r="K2274">
            <v>0</v>
          </cell>
          <cell r="M2274">
            <v>0</v>
          </cell>
          <cell r="P2274">
            <v>0</v>
          </cell>
        </row>
        <row r="2275">
          <cell r="K2275">
            <v>0</v>
          </cell>
          <cell r="M2275">
            <v>0</v>
          </cell>
          <cell r="P2275">
            <v>0</v>
          </cell>
        </row>
        <row r="2276">
          <cell r="K2276">
            <v>0</v>
          </cell>
          <cell r="M2276">
            <v>0</v>
          </cell>
          <cell r="P2276">
            <v>0</v>
          </cell>
        </row>
        <row r="2277">
          <cell r="K2277">
            <v>0</v>
          </cell>
          <cell r="M2277">
            <v>0</v>
          </cell>
          <cell r="P2277">
            <v>0</v>
          </cell>
        </row>
        <row r="2278">
          <cell r="K2278">
            <v>0</v>
          </cell>
          <cell r="M2278">
            <v>0</v>
          </cell>
          <cell r="P2278">
            <v>0</v>
          </cell>
        </row>
        <row r="2279">
          <cell r="K2279">
            <v>0</v>
          </cell>
          <cell r="M2279">
            <v>0</v>
          </cell>
          <cell r="P2279">
            <v>0</v>
          </cell>
        </row>
        <row r="2280">
          <cell r="K2280">
            <v>0</v>
          </cell>
          <cell r="M2280">
            <v>0</v>
          </cell>
          <cell r="P2280">
            <v>0</v>
          </cell>
        </row>
        <row r="2281">
          <cell r="K2281">
            <v>0</v>
          </cell>
          <cell r="M2281">
            <v>0</v>
          </cell>
          <cell r="P2281">
            <v>0</v>
          </cell>
        </row>
        <row r="2282">
          <cell r="K2282">
            <v>0</v>
          </cell>
          <cell r="M2282">
            <v>0</v>
          </cell>
          <cell r="P2282">
            <v>0</v>
          </cell>
        </row>
        <row r="2283">
          <cell r="K2283">
            <v>0</v>
          </cell>
          <cell r="M2283">
            <v>0</v>
          </cell>
          <cell r="P2283">
            <v>0</v>
          </cell>
        </row>
        <row r="2284">
          <cell r="K2284">
            <v>0</v>
          </cell>
          <cell r="M2284">
            <v>0</v>
          </cell>
          <cell r="P2284">
            <v>0</v>
          </cell>
        </row>
        <row r="2285">
          <cell r="K2285">
            <v>0</v>
          </cell>
          <cell r="M2285">
            <v>0</v>
          </cell>
          <cell r="P2285">
            <v>0</v>
          </cell>
        </row>
        <row r="2286">
          <cell r="K2286">
            <v>0</v>
          </cell>
          <cell r="M2286">
            <v>0</v>
          </cell>
          <cell r="P2286">
            <v>0</v>
          </cell>
        </row>
        <row r="2287">
          <cell r="K2287">
            <v>0</v>
          </cell>
          <cell r="M2287">
            <v>0</v>
          </cell>
          <cell r="P2287">
            <v>0</v>
          </cell>
        </row>
        <row r="2288">
          <cell r="K2288">
            <v>0</v>
          </cell>
          <cell r="M2288">
            <v>0</v>
          </cell>
          <cell r="P2288">
            <v>0</v>
          </cell>
        </row>
        <row r="2289">
          <cell r="K2289">
            <v>0</v>
          </cell>
          <cell r="M2289">
            <v>0</v>
          </cell>
          <cell r="P2289">
            <v>0</v>
          </cell>
        </row>
        <row r="2290">
          <cell r="K2290">
            <v>0</v>
          </cell>
          <cell r="M2290">
            <v>0</v>
          </cell>
          <cell r="P2290">
            <v>0</v>
          </cell>
        </row>
        <row r="2291">
          <cell r="K2291">
            <v>0</v>
          </cell>
          <cell r="M2291">
            <v>0</v>
          </cell>
          <cell r="P2291">
            <v>0</v>
          </cell>
        </row>
        <row r="2292">
          <cell r="K2292">
            <v>0</v>
          </cell>
          <cell r="M2292">
            <v>0</v>
          </cell>
          <cell r="P2292">
            <v>0</v>
          </cell>
        </row>
        <row r="2293">
          <cell r="K2293">
            <v>0</v>
          </cell>
          <cell r="M2293">
            <v>0</v>
          </cell>
          <cell r="P2293">
            <v>0</v>
          </cell>
        </row>
        <row r="2294">
          <cell r="K2294">
            <v>0</v>
          </cell>
          <cell r="M2294">
            <v>0</v>
          </cell>
          <cell r="P2294">
            <v>0</v>
          </cell>
        </row>
        <row r="2295">
          <cell r="K2295">
            <v>0</v>
          </cell>
          <cell r="M2295">
            <v>0</v>
          </cell>
          <cell r="P2295">
            <v>0</v>
          </cell>
        </row>
        <row r="2296">
          <cell r="K2296">
            <v>0</v>
          </cell>
          <cell r="M2296">
            <v>0</v>
          </cell>
          <cell r="P2296">
            <v>0</v>
          </cell>
        </row>
        <row r="2297">
          <cell r="K2297">
            <v>0</v>
          </cell>
          <cell r="M2297">
            <v>0</v>
          </cell>
          <cell r="P2297">
            <v>0</v>
          </cell>
        </row>
        <row r="2298">
          <cell r="K2298">
            <v>0</v>
          </cell>
          <cell r="M2298">
            <v>0</v>
          </cell>
          <cell r="P2298">
            <v>0</v>
          </cell>
        </row>
        <row r="2299">
          <cell r="K2299">
            <v>0</v>
          </cell>
          <cell r="M2299">
            <v>0</v>
          </cell>
          <cell r="P2299">
            <v>0</v>
          </cell>
        </row>
        <row r="2300">
          <cell r="K2300">
            <v>0</v>
          </cell>
          <cell r="M2300">
            <v>0</v>
          </cell>
          <cell r="P2300">
            <v>0</v>
          </cell>
        </row>
        <row r="2301">
          <cell r="K2301">
            <v>0</v>
          </cell>
          <cell r="M2301">
            <v>0</v>
          </cell>
          <cell r="P2301">
            <v>0</v>
          </cell>
        </row>
        <row r="2302">
          <cell r="K2302">
            <v>0</v>
          </cell>
          <cell r="M2302">
            <v>0</v>
          </cell>
          <cell r="P2302">
            <v>0</v>
          </cell>
        </row>
        <row r="2303">
          <cell r="K2303">
            <v>0</v>
          </cell>
          <cell r="M2303">
            <v>0</v>
          </cell>
          <cell r="P2303">
            <v>0</v>
          </cell>
        </row>
        <row r="2304">
          <cell r="K2304">
            <v>0</v>
          </cell>
          <cell r="M2304">
            <v>0</v>
          </cell>
          <cell r="P2304">
            <v>0</v>
          </cell>
        </row>
        <row r="2305">
          <cell r="K2305">
            <v>0</v>
          </cell>
          <cell r="M2305">
            <v>0</v>
          </cell>
          <cell r="P2305">
            <v>0</v>
          </cell>
        </row>
        <row r="2306">
          <cell r="K2306">
            <v>0</v>
          </cell>
          <cell r="M2306">
            <v>0</v>
          </cell>
          <cell r="P2306">
            <v>0</v>
          </cell>
        </row>
        <row r="2307">
          <cell r="K2307">
            <v>0</v>
          </cell>
          <cell r="M2307">
            <v>0</v>
          </cell>
          <cell r="P2307">
            <v>0</v>
          </cell>
        </row>
        <row r="2308">
          <cell r="K2308">
            <v>0</v>
          </cell>
          <cell r="M2308">
            <v>0</v>
          </cell>
          <cell r="P2308">
            <v>0</v>
          </cell>
        </row>
        <row r="2309">
          <cell r="K2309">
            <v>0</v>
          </cell>
          <cell r="M2309">
            <v>0</v>
          </cell>
          <cell r="P2309">
            <v>0</v>
          </cell>
        </row>
        <row r="2310">
          <cell r="K2310">
            <v>0</v>
          </cell>
          <cell r="M2310">
            <v>0</v>
          </cell>
          <cell r="P2310">
            <v>0</v>
          </cell>
        </row>
        <row r="2311">
          <cell r="K2311">
            <v>0</v>
          </cell>
          <cell r="M2311">
            <v>0</v>
          </cell>
          <cell r="P2311">
            <v>0</v>
          </cell>
        </row>
        <row r="2312">
          <cell r="K2312">
            <v>0</v>
          </cell>
          <cell r="M2312">
            <v>0</v>
          </cell>
          <cell r="P2312">
            <v>0</v>
          </cell>
        </row>
        <row r="2313">
          <cell r="K2313">
            <v>0</v>
          </cell>
          <cell r="M2313">
            <v>0</v>
          </cell>
          <cell r="P2313">
            <v>0</v>
          </cell>
        </row>
        <row r="2314">
          <cell r="K2314">
            <v>0</v>
          </cell>
          <cell r="M2314">
            <v>0</v>
          </cell>
          <cell r="P2314">
            <v>0</v>
          </cell>
        </row>
        <row r="2315">
          <cell r="K2315">
            <v>0</v>
          </cell>
          <cell r="M2315">
            <v>0</v>
          </cell>
          <cell r="P2315">
            <v>0</v>
          </cell>
        </row>
        <row r="2316">
          <cell r="K2316">
            <v>0</v>
          </cell>
          <cell r="M2316">
            <v>0</v>
          </cell>
          <cell r="P2316">
            <v>0</v>
          </cell>
        </row>
        <row r="2317">
          <cell r="K2317">
            <v>0</v>
          </cell>
          <cell r="M2317">
            <v>0</v>
          </cell>
          <cell r="P2317">
            <v>0</v>
          </cell>
        </row>
        <row r="2318">
          <cell r="K2318">
            <v>0</v>
          </cell>
          <cell r="M2318">
            <v>0</v>
          </cell>
          <cell r="P2318">
            <v>0</v>
          </cell>
        </row>
        <row r="2319">
          <cell r="K2319">
            <v>0</v>
          </cell>
          <cell r="M2319">
            <v>0</v>
          </cell>
          <cell r="P2319">
            <v>0</v>
          </cell>
        </row>
        <row r="2320">
          <cell r="K2320">
            <v>0</v>
          </cell>
          <cell r="M2320">
            <v>0</v>
          </cell>
          <cell r="P2320">
            <v>0</v>
          </cell>
        </row>
        <row r="2321">
          <cell r="K2321">
            <v>0</v>
          </cell>
          <cell r="M2321">
            <v>0</v>
          </cell>
          <cell r="P2321">
            <v>0</v>
          </cell>
        </row>
        <row r="2322">
          <cell r="K2322">
            <v>0</v>
          </cell>
          <cell r="M2322">
            <v>0</v>
          </cell>
          <cell r="P2322">
            <v>0</v>
          </cell>
        </row>
        <row r="2323">
          <cell r="K2323">
            <v>0</v>
          </cell>
          <cell r="M2323">
            <v>0</v>
          </cell>
          <cell r="P2323">
            <v>0</v>
          </cell>
        </row>
        <row r="2324">
          <cell r="K2324">
            <v>0</v>
          </cell>
          <cell r="M2324">
            <v>0</v>
          </cell>
          <cell r="P2324">
            <v>0</v>
          </cell>
        </row>
        <row r="2325">
          <cell r="K2325">
            <v>0</v>
          </cell>
          <cell r="M2325">
            <v>0</v>
          </cell>
          <cell r="P2325">
            <v>0</v>
          </cell>
        </row>
        <row r="2326">
          <cell r="K2326">
            <v>0</v>
          </cell>
          <cell r="M2326">
            <v>0</v>
          </cell>
          <cell r="P2326">
            <v>0</v>
          </cell>
        </row>
        <row r="2327">
          <cell r="K2327">
            <v>0</v>
          </cell>
          <cell r="M2327">
            <v>0</v>
          </cell>
          <cell r="P2327">
            <v>0</v>
          </cell>
        </row>
        <row r="2328">
          <cell r="K2328">
            <v>0</v>
          </cell>
          <cell r="M2328">
            <v>0</v>
          </cell>
          <cell r="P2328">
            <v>0</v>
          </cell>
        </row>
        <row r="2329">
          <cell r="K2329">
            <v>0</v>
          </cell>
          <cell r="M2329">
            <v>0</v>
          </cell>
          <cell r="P2329">
            <v>0</v>
          </cell>
        </row>
        <row r="2330">
          <cell r="K2330">
            <v>0</v>
          </cell>
          <cell r="M2330">
            <v>0</v>
          </cell>
          <cell r="P2330">
            <v>0</v>
          </cell>
        </row>
        <row r="2331">
          <cell r="K2331">
            <v>0</v>
          </cell>
          <cell r="M2331">
            <v>0</v>
          </cell>
          <cell r="P2331">
            <v>0</v>
          </cell>
        </row>
        <row r="2332">
          <cell r="K2332">
            <v>0</v>
          </cell>
          <cell r="M2332">
            <v>0</v>
          </cell>
          <cell r="P2332">
            <v>0</v>
          </cell>
        </row>
        <row r="2333">
          <cell r="K2333">
            <v>0</v>
          </cell>
          <cell r="M2333">
            <v>0</v>
          </cell>
          <cell r="P2333">
            <v>0</v>
          </cell>
        </row>
        <row r="2334">
          <cell r="K2334">
            <v>0</v>
          </cell>
          <cell r="M2334">
            <v>0</v>
          </cell>
          <cell r="P2334">
            <v>0</v>
          </cell>
        </row>
        <row r="2335">
          <cell r="K2335">
            <v>0</v>
          </cell>
          <cell r="M2335">
            <v>0</v>
          </cell>
          <cell r="P2335">
            <v>0</v>
          </cell>
        </row>
        <row r="2336">
          <cell r="K2336">
            <v>0</v>
          </cell>
          <cell r="M2336">
            <v>0</v>
          </cell>
          <cell r="P2336">
            <v>0</v>
          </cell>
        </row>
        <row r="2337">
          <cell r="K2337">
            <v>0</v>
          </cell>
          <cell r="M2337">
            <v>0</v>
          </cell>
          <cell r="P2337">
            <v>0</v>
          </cell>
        </row>
        <row r="2338">
          <cell r="K2338">
            <v>0</v>
          </cell>
          <cell r="M2338">
            <v>0</v>
          </cell>
          <cell r="P2338">
            <v>0</v>
          </cell>
        </row>
        <row r="2339">
          <cell r="K2339">
            <v>0</v>
          </cell>
          <cell r="M2339">
            <v>0</v>
          </cell>
          <cell r="P2339">
            <v>0</v>
          </cell>
        </row>
        <row r="2340">
          <cell r="K2340">
            <v>0</v>
          </cell>
          <cell r="M2340">
            <v>0</v>
          </cell>
          <cell r="P2340">
            <v>0</v>
          </cell>
        </row>
        <row r="2341">
          <cell r="K2341">
            <v>0</v>
          </cell>
          <cell r="M2341">
            <v>0</v>
          </cell>
          <cell r="P2341">
            <v>0</v>
          </cell>
        </row>
        <row r="2342">
          <cell r="K2342">
            <v>0</v>
          </cell>
          <cell r="M2342">
            <v>0</v>
          </cell>
          <cell r="P2342">
            <v>0</v>
          </cell>
        </row>
        <row r="2343">
          <cell r="K2343">
            <v>0</v>
          </cell>
          <cell r="M2343">
            <v>0</v>
          </cell>
          <cell r="P2343">
            <v>0</v>
          </cell>
        </row>
        <row r="2344">
          <cell r="K2344">
            <v>0</v>
          </cell>
          <cell r="M2344">
            <v>0</v>
          </cell>
          <cell r="P2344">
            <v>0</v>
          </cell>
        </row>
        <row r="2345">
          <cell r="K2345">
            <v>0</v>
          </cell>
          <cell r="M2345">
            <v>0</v>
          </cell>
          <cell r="P2345">
            <v>0</v>
          </cell>
        </row>
        <row r="2346">
          <cell r="K2346">
            <v>0</v>
          </cell>
          <cell r="M2346">
            <v>0</v>
          </cell>
          <cell r="P2346">
            <v>0</v>
          </cell>
        </row>
        <row r="2347">
          <cell r="K2347">
            <v>0</v>
          </cell>
          <cell r="M2347">
            <v>0</v>
          </cell>
          <cell r="P2347">
            <v>0</v>
          </cell>
        </row>
        <row r="2348">
          <cell r="K2348">
            <v>0</v>
          </cell>
          <cell r="M2348">
            <v>0</v>
          </cell>
          <cell r="P2348">
            <v>0</v>
          </cell>
        </row>
        <row r="2349">
          <cell r="K2349">
            <v>0</v>
          </cell>
          <cell r="M2349">
            <v>0</v>
          </cell>
          <cell r="P2349">
            <v>0</v>
          </cell>
        </row>
        <row r="2350">
          <cell r="K2350">
            <v>0</v>
          </cell>
          <cell r="M2350">
            <v>0</v>
          </cell>
          <cell r="P2350">
            <v>0</v>
          </cell>
        </row>
        <row r="2351">
          <cell r="K2351">
            <v>0</v>
          </cell>
          <cell r="M2351">
            <v>0</v>
          </cell>
          <cell r="P2351">
            <v>0</v>
          </cell>
        </row>
        <row r="2352">
          <cell r="K2352">
            <v>0</v>
          </cell>
          <cell r="M2352">
            <v>0</v>
          </cell>
          <cell r="P2352">
            <v>0</v>
          </cell>
        </row>
        <row r="2353">
          <cell r="K2353">
            <v>0</v>
          </cell>
          <cell r="M2353">
            <v>0</v>
          </cell>
          <cell r="P2353">
            <v>0</v>
          </cell>
        </row>
        <row r="2354">
          <cell r="K2354">
            <v>0</v>
          </cell>
          <cell r="M2354">
            <v>0</v>
          </cell>
          <cell r="P2354">
            <v>0</v>
          </cell>
        </row>
        <row r="2355">
          <cell r="K2355">
            <v>0</v>
          </cell>
          <cell r="M2355">
            <v>0</v>
          </cell>
          <cell r="P2355">
            <v>0</v>
          </cell>
        </row>
        <row r="2356">
          <cell r="K2356">
            <v>0</v>
          </cell>
          <cell r="M2356">
            <v>0</v>
          </cell>
          <cell r="P2356">
            <v>0</v>
          </cell>
        </row>
        <row r="2357">
          <cell r="K2357">
            <v>0</v>
          </cell>
          <cell r="M2357">
            <v>0</v>
          </cell>
          <cell r="P2357">
            <v>0</v>
          </cell>
        </row>
        <row r="2358">
          <cell r="K2358">
            <v>0</v>
          </cell>
          <cell r="M2358">
            <v>0</v>
          </cell>
          <cell r="P2358">
            <v>0</v>
          </cell>
        </row>
        <row r="2359">
          <cell r="K2359">
            <v>0</v>
          </cell>
          <cell r="M2359">
            <v>0</v>
          </cell>
          <cell r="P2359">
            <v>0</v>
          </cell>
        </row>
        <row r="2360">
          <cell r="K2360">
            <v>0</v>
          </cell>
          <cell r="M2360">
            <v>0</v>
          </cell>
          <cell r="P2360">
            <v>0</v>
          </cell>
        </row>
        <row r="2361">
          <cell r="K2361">
            <v>0</v>
          </cell>
          <cell r="M2361">
            <v>0</v>
          </cell>
          <cell r="P2361">
            <v>0</v>
          </cell>
        </row>
        <row r="2362">
          <cell r="K2362">
            <v>0</v>
          </cell>
          <cell r="M2362">
            <v>0</v>
          </cell>
          <cell r="P2362">
            <v>0</v>
          </cell>
        </row>
        <row r="2363">
          <cell r="K2363">
            <v>0</v>
          </cell>
          <cell r="M2363">
            <v>0</v>
          </cell>
          <cell r="P2363">
            <v>0</v>
          </cell>
        </row>
        <row r="2364">
          <cell r="K2364">
            <v>0</v>
          </cell>
          <cell r="M2364">
            <v>0</v>
          </cell>
          <cell r="P2364">
            <v>0</v>
          </cell>
        </row>
        <row r="2365">
          <cell r="K2365">
            <v>0</v>
          </cell>
          <cell r="M2365">
            <v>0</v>
          </cell>
          <cell r="P2365">
            <v>0</v>
          </cell>
        </row>
        <row r="2366">
          <cell r="K2366">
            <v>0</v>
          </cell>
          <cell r="M2366">
            <v>0</v>
          </cell>
          <cell r="P2366">
            <v>0</v>
          </cell>
        </row>
        <row r="2367">
          <cell r="K2367">
            <v>0</v>
          </cell>
          <cell r="M2367">
            <v>0</v>
          </cell>
          <cell r="P2367">
            <v>0</v>
          </cell>
        </row>
        <row r="2368">
          <cell r="K2368">
            <v>0</v>
          </cell>
          <cell r="M2368">
            <v>0</v>
          </cell>
          <cell r="P2368">
            <v>0</v>
          </cell>
        </row>
        <row r="2369">
          <cell r="K2369">
            <v>0</v>
          </cell>
          <cell r="M2369">
            <v>0</v>
          </cell>
          <cell r="P2369">
            <v>0</v>
          </cell>
        </row>
        <row r="2370">
          <cell r="K2370">
            <v>0</v>
          </cell>
          <cell r="M2370">
            <v>0</v>
          </cell>
          <cell r="P2370">
            <v>0</v>
          </cell>
        </row>
        <row r="2371">
          <cell r="K2371">
            <v>0</v>
          </cell>
          <cell r="M2371">
            <v>0</v>
          </cell>
          <cell r="P2371">
            <v>0</v>
          </cell>
        </row>
        <row r="2372">
          <cell r="K2372">
            <v>0</v>
          </cell>
          <cell r="M2372">
            <v>0</v>
          </cell>
          <cell r="P2372">
            <v>0</v>
          </cell>
        </row>
        <row r="2373">
          <cell r="K2373">
            <v>0</v>
          </cell>
          <cell r="M2373">
            <v>0</v>
          </cell>
          <cell r="P2373">
            <v>0</v>
          </cell>
        </row>
        <row r="2374">
          <cell r="K2374">
            <v>0</v>
          </cell>
          <cell r="M2374">
            <v>0</v>
          </cell>
          <cell r="P2374">
            <v>0</v>
          </cell>
        </row>
        <row r="2375">
          <cell r="K2375">
            <v>0</v>
          </cell>
          <cell r="M2375">
            <v>0</v>
          </cell>
          <cell r="P2375">
            <v>0</v>
          </cell>
        </row>
        <row r="2376">
          <cell r="K2376">
            <v>0</v>
          </cell>
          <cell r="M2376">
            <v>0</v>
          </cell>
          <cell r="P2376">
            <v>0</v>
          </cell>
        </row>
        <row r="2377">
          <cell r="K2377">
            <v>0</v>
          </cell>
          <cell r="M2377">
            <v>0</v>
          </cell>
          <cell r="P2377">
            <v>0</v>
          </cell>
        </row>
        <row r="2378">
          <cell r="K2378">
            <v>0</v>
          </cell>
          <cell r="M2378">
            <v>0</v>
          </cell>
          <cell r="P2378">
            <v>0</v>
          </cell>
        </row>
        <row r="2379">
          <cell r="K2379">
            <v>0</v>
          </cell>
          <cell r="M2379">
            <v>0</v>
          </cell>
          <cell r="P2379">
            <v>0</v>
          </cell>
        </row>
        <row r="2380">
          <cell r="K2380">
            <v>0</v>
          </cell>
          <cell r="M2380">
            <v>0</v>
          </cell>
          <cell r="P2380">
            <v>0</v>
          </cell>
        </row>
        <row r="2381">
          <cell r="K2381">
            <v>0</v>
          </cell>
          <cell r="M2381">
            <v>0</v>
          </cell>
          <cell r="P2381">
            <v>0</v>
          </cell>
        </row>
        <row r="2382">
          <cell r="K2382">
            <v>0</v>
          </cell>
          <cell r="M2382">
            <v>0</v>
          </cell>
          <cell r="P2382">
            <v>0</v>
          </cell>
        </row>
        <row r="2383">
          <cell r="K2383">
            <v>0</v>
          </cell>
          <cell r="M2383">
            <v>0</v>
          </cell>
          <cell r="P2383">
            <v>0</v>
          </cell>
        </row>
        <row r="2384">
          <cell r="K2384">
            <v>0</v>
          </cell>
          <cell r="M2384">
            <v>0</v>
          </cell>
          <cell r="P2384">
            <v>0</v>
          </cell>
        </row>
        <row r="2385">
          <cell r="K2385">
            <v>0</v>
          </cell>
          <cell r="M2385">
            <v>0</v>
          </cell>
          <cell r="P2385">
            <v>0</v>
          </cell>
        </row>
        <row r="2386">
          <cell r="K2386">
            <v>0</v>
          </cell>
          <cell r="M2386">
            <v>0</v>
          </cell>
          <cell r="P2386">
            <v>0</v>
          </cell>
        </row>
        <row r="2387">
          <cell r="K2387">
            <v>0</v>
          </cell>
          <cell r="M2387">
            <v>0</v>
          </cell>
          <cell r="P2387">
            <v>0</v>
          </cell>
        </row>
        <row r="2388">
          <cell r="K2388">
            <v>0</v>
          </cell>
          <cell r="M2388">
            <v>0</v>
          </cell>
          <cell r="P2388">
            <v>0</v>
          </cell>
        </row>
        <row r="2389">
          <cell r="K2389">
            <v>0</v>
          </cell>
          <cell r="M2389">
            <v>0</v>
          </cell>
          <cell r="P2389">
            <v>0</v>
          </cell>
        </row>
        <row r="2390">
          <cell r="K2390">
            <v>0</v>
          </cell>
          <cell r="M2390">
            <v>0</v>
          </cell>
          <cell r="P2390">
            <v>0</v>
          </cell>
        </row>
        <row r="2391">
          <cell r="K2391">
            <v>0</v>
          </cell>
          <cell r="M2391">
            <v>0</v>
          </cell>
          <cell r="P2391">
            <v>0</v>
          </cell>
        </row>
        <row r="2392">
          <cell r="K2392">
            <v>0</v>
          </cell>
          <cell r="M2392">
            <v>0</v>
          </cell>
          <cell r="P2392">
            <v>0</v>
          </cell>
        </row>
        <row r="2393">
          <cell r="K2393">
            <v>0</v>
          </cell>
          <cell r="M2393">
            <v>0</v>
          </cell>
          <cell r="P2393">
            <v>0</v>
          </cell>
        </row>
        <row r="2394">
          <cell r="K2394">
            <v>0</v>
          </cell>
          <cell r="M2394">
            <v>0</v>
          </cell>
          <cell r="P2394">
            <v>0</v>
          </cell>
        </row>
        <row r="2395">
          <cell r="K2395">
            <v>0</v>
          </cell>
          <cell r="M2395">
            <v>0</v>
          </cell>
          <cell r="P2395">
            <v>0</v>
          </cell>
        </row>
        <row r="2396">
          <cell r="K2396">
            <v>0</v>
          </cell>
          <cell r="M2396">
            <v>0</v>
          </cell>
          <cell r="P2396">
            <v>0</v>
          </cell>
        </row>
        <row r="2397">
          <cell r="K2397">
            <v>0</v>
          </cell>
          <cell r="M2397">
            <v>0</v>
          </cell>
          <cell r="P2397">
            <v>0</v>
          </cell>
        </row>
        <row r="2398">
          <cell r="K2398">
            <v>0</v>
          </cell>
          <cell r="M2398">
            <v>0</v>
          </cell>
          <cell r="P2398">
            <v>0</v>
          </cell>
        </row>
        <row r="2399">
          <cell r="K2399">
            <v>0</v>
          </cell>
          <cell r="M2399">
            <v>0</v>
          </cell>
          <cell r="P2399">
            <v>0</v>
          </cell>
        </row>
        <row r="2400">
          <cell r="K2400">
            <v>0</v>
          </cell>
          <cell r="M2400">
            <v>0</v>
          </cell>
          <cell r="P2400">
            <v>0</v>
          </cell>
        </row>
        <row r="2401">
          <cell r="K2401">
            <v>0</v>
          </cell>
          <cell r="M2401">
            <v>0</v>
          </cell>
          <cell r="P2401">
            <v>0</v>
          </cell>
        </row>
        <row r="2402">
          <cell r="K2402">
            <v>0</v>
          </cell>
          <cell r="M2402">
            <v>0</v>
          </cell>
          <cell r="P2402">
            <v>0</v>
          </cell>
        </row>
        <row r="2403">
          <cell r="K2403">
            <v>0</v>
          </cell>
          <cell r="M2403">
            <v>0</v>
          </cell>
          <cell r="P2403">
            <v>0</v>
          </cell>
        </row>
        <row r="2404">
          <cell r="K2404">
            <v>0</v>
          </cell>
          <cell r="M2404">
            <v>0</v>
          </cell>
          <cell r="P2404">
            <v>0</v>
          </cell>
        </row>
        <row r="2405">
          <cell r="K2405">
            <v>0</v>
          </cell>
          <cell r="M2405">
            <v>0</v>
          </cell>
          <cell r="P2405">
            <v>0</v>
          </cell>
        </row>
        <row r="2406">
          <cell r="K2406">
            <v>0</v>
          </cell>
          <cell r="M2406">
            <v>0</v>
          </cell>
          <cell r="P2406">
            <v>0</v>
          </cell>
        </row>
        <row r="2407">
          <cell r="K2407">
            <v>0</v>
          </cell>
          <cell r="M2407">
            <v>0</v>
          </cell>
          <cell r="P2407">
            <v>0</v>
          </cell>
        </row>
        <row r="2408">
          <cell r="K2408">
            <v>0</v>
          </cell>
          <cell r="M2408">
            <v>0</v>
          </cell>
          <cell r="P2408">
            <v>0</v>
          </cell>
        </row>
        <row r="2409">
          <cell r="K2409">
            <v>0</v>
          </cell>
          <cell r="M2409">
            <v>0</v>
          </cell>
          <cell r="P2409">
            <v>0</v>
          </cell>
        </row>
        <row r="2410">
          <cell r="K2410">
            <v>0</v>
          </cell>
          <cell r="M2410">
            <v>0</v>
          </cell>
          <cell r="P2410">
            <v>0</v>
          </cell>
        </row>
        <row r="2411">
          <cell r="K2411">
            <v>0</v>
          </cell>
          <cell r="M2411">
            <v>0</v>
          </cell>
          <cell r="P2411">
            <v>0</v>
          </cell>
        </row>
        <row r="2412">
          <cell r="K2412">
            <v>0</v>
          </cell>
          <cell r="M2412">
            <v>0</v>
          </cell>
          <cell r="P2412">
            <v>0</v>
          </cell>
        </row>
        <row r="2413">
          <cell r="K2413">
            <v>0</v>
          </cell>
          <cell r="M2413">
            <v>0</v>
          </cell>
          <cell r="P2413">
            <v>0</v>
          </cell>
        </row>
        <row r="2414">
          <cell r="K2414">
            <v>0</v>
          </cell>
          <cell r="M2414">
            <v>0</v>
          </cell>
          <cell r="P2414">
            <v>0</v>
          </cell>
        </row>
        <row r="2415">
          <cell r="K2415">
            <v>0</v>
          </cell>
          <cell r="M2415">
            <v>0</v>
          </cell>
          <cell r="P2415">
            <v>0</v>
          </cell>
        </row>
        <row r="2416">
          <cell r="K2416">
            <v>0</v>
          </cell>
          <cell r="M2416">
            <v>0</v>
          </cell>
          <cell r="P2416">
            <v>0</v>
          </cell>
        </row>
        <row r="2417">
          <cell r="K2417">
            <v>0</v>
          </cell>
          <cell r="M2417">
            <v>0</v>
          </cell>
          <cell r="P2417">
            <v>0</v>
          </cell>
        </row>
        <row r="2418">
          <cell r="K2418">
            <v>0</v>
          </cell>
          <cell r="M2418">
            <v>0</v>
          </cell>
          <cell r="P2418">
            <v>0</v>
          </cell>
        </row>
        <row r="2419">
          <cell r="K2419">
            <v>0</v>
          </cell>
          <cell r="M2419">
            <v>0</v>
          </cell>
          <cell r="P2419">
            <v>0</v>
          </cell>
        </row>
        <row r="2420">
          <cell r="K2420">
            <v>0</v>
          </cell>
          <cell r="M2420">
            <v>0</v>
          </cell>
          <cell r="P2420">
            <v>0</v>
          </cell>
        </row>
        <row r="2421">
          <cell r="K2421">
            <v>0</v>
          </cell>
          <cell r="M2421">
            <v>0</v>
          </cell>
          <cell r="P2421">
            <v>0</v>
          </cell>
        </row>
        <row r="2422">
          <cell r="K2422">
            <v>0</v>
          </cell>
          <cell r="M2422">
            <v>0</v>
          </cell>
          <cell r="P2422">
            <v>0</v>
          </cell>
        </row>
        <row r="2423">
          <cell r="K2423">
            <v>0</v>
          </cell>
          <cell r="M2423">
            <v>0</v>
          </cell>
          <cell r="P2423">
            <v>0</v>
          </cell>
        </row>
        <row r="2424">
          <cell r="K2424">
            <v>0</v>
          </cell>
          <cell r="M2424">
            <v>0</v>
          </cell>
          <cell r="P2424">
            <v>0</v>
          </cell>
        </row>
        <row r="2425">
          <cell r="K2425">
            <v>0</v>
          </cell>
          <cell r="M2425">
            <v>0</v>
          </cell>
          <cell r="P2425">
            <v>0</v>
          </cell>
        </row>
        <row r="2426">
          <cell r="K2426">
            <v>0</v>
          </cell>
          <cell r="M2426">
            <v>0</v>
          </cell>
          <cell r="P2426">
            <v>0</v>
          </cell>
        </row>
        <row r="2427">
          <cell r="K2427">
            <v>0</v>
          </cell>
          <cell r="M2427">
            <v>0</v>
          </cell>
          <cell r="P2427">
            <v>0</v>
          </cell>
        </row>
        <row r="2428">
          <cell r="K2428">
            <v>0</v>
          </cell>
          <cell r="M2428">
            <v>0</v>
          </cell>
          <cell r="P2428">
            <v>0</v>
          </cell>
        </row>
        <row r="2429">
          <cell r="K2429">
            <v>0</v>
          </cell>
          <cell r="M2429">
            <v>0</v>
          </cell>
          <cell r="P2429">
            <v>0</v>
          </cell>
        </row>
        <row r="2430">
          <cell r="K2430">
            <v>0</v>
          </cell>
          <cell r="M2430">
            <v>0</v>
          </cell>
          <cell r="P2430">
            <v>0</v>
          </cell>
        </row>
        <row r="2431">
          <cell r="K2431">
            <v>0</v>
          </cell>
          <cell r="M2431">
            <v>0</v>
          </cell>
          <cell r="P2431">
            <v>0</v>
          </cell>
        </row>
        <row r="2432">
          <cell r="K2432">
            <v>0</v>
          </cell>
          <cell r="M2432">
            <v>0</v>
          </cell>
          <cell r="P2432">
            <v>0</v>
          </cell>
        </row>
        <row r="2433">
          <cell r="K2433">
            <v>0</v>
          </cell>
          <cell r="M2433">
            <v>0</v>
          </cell>
          <cell r="P2433">
            <v>0</v>
          </cell>
        </row>
        <row r="2434">
          <cell r="K2434">
            <v>0</v>
          </cell>
          <cell r="M2434">
            <v>0</v>
          </cell>
          <cell r="P2434">
            <v>0</v>
          </cell>
        </row>
        <row r="2435">
          <cell r="K2435">
            <v>0</v>
          </cell>
          <cell r="M2435">
            <v>0</v>
          </cell>
          <cell r="P2435">
            <v>0</v>
          </cell>
        </row>
        <row r="2436">
          <cell r="K2436">
            <v>0</v>
          </cell>
          <cell r="M2436">
            <v>0</v>
          </cell>
          <cell r="P2436">
            <v>0</v>
          </cell>
        </row>
        <row r="2437">
          <cell r="K2437">
            <v>0</v>
          </cell>
          <cell r="M2437">
            <v>0</v>
          </cell>
          <cell r="P2437">
            <v>0</v>
          </cell>
        </row>
        <row r="2438">
          <cell r="K2438">
            <v>0</v>
          </cell>
          <cell r="M2438">
            <v>0</v>
          </cell>
          <cell r="P2438">
            <v>0</v>
          </cell>
        </row>
        <row r="2439">
          <cell r="K2439">
            <v>0</v>
          </cell>
          <cell r="M2439">
            <v>0</v>
          </cell>
          <cell r="P2439">
            <v>0</v>
          </cell>
        </row>
        <row r="2440">
          <cell r="K2440">
            <v>0</v>
          </cell>
          <cell r="M2440">
            <v>0</v>
          </cell>
          <cell r="P2440">
            <v>0</v>
          </cell>
        </row>
        <row r="2441">
          <cell r="K2441">
            <v>0</v>
          </cell>
          <cell r="M2441">
            <v>0</v>
          </cell>
          <cell r="P2441">
            <v>0</v>
          </cell>
        </row>
        <row r="2442">
          <cell r="K2442">
            <v>0</v>
          </cell>
          <cell r="M2442">
            <v>0</v>
          </cell>
          <cell r="P2442">
            <v>0</v>
          </cell>
        </row>
        <row r="2443">
          <cell r="K2443">
            <v>0</v>
          </cell>
          <cell r="M2443">
            <v>0</v>
          </cell>
          <cell r="P2443">
            <v>0</v>
          </cell>
        </row>
        <row r="2444">
          <cell r="K2444">
            <v>0</v>
          </cell>
          <cell r="M2444">
            <v>0</v>
          </cell>
          <cell r="P2444">
            <v>0</v>
          </cell>
        </row>
        <row r="2445">
          <cell r="K2445">
            <v>0</v>
          </cell>
          <cell r="M2445">
            <v>0</v>
          </cell>
          <cell r="P2445">
            <v>0</v>
          </cell>
        </row>
        <row r="2446">
          <cell r="K2446">
            <v>0</v>
          </cell>
          <cell r="M2446">
            <v>0</v>
          </cell>
          <cell r="P2446">
            <v>0</v>
          </cell>
        </row>
        <row r="2447">
          <cell r="K2447">
            <v>0</v>
          </cell>
          <cell r="M2447">
            <v>0</v>
          </cell>
          <cell r="P2447">
            <v>0</v>
          </cell>
        </row>
        <row r="2448">
          <cell r="K2448">
            <v>0</v>
          </cell>
          <cell r="M2448">
            <v>0</v>
          </cell>
          <cell r="P2448">
            <v>0</v>
          </cell>
        </row>
        <row r="2449">
          <cell r="K2449">
            <v>0</v>
          </cell>
          <cell r="M2449">
            <v>0</v>
          </cell>
          <cell r="P2449">
            <v>0</v>
          </cell>
        </row>
        <row r="2450">
          <cell r="K2450">
            <v>0</v>
          </cell>
          <cell r="M2450">
            <v>0</v>
          </cell>
          <cell r="P2450">
            <v>0</v>
          </cell>
        </row>
        <row r="2451">
          <cell r="K2451">
            <v>0</v>
          </cell>
          <cell r="M2451">
            <v>0</v>
          </cell>
          <cell r="P2451">
            <v>0</v>
          </cell>
        </row>
        <row r="2452">
          <cell r="K2452">
            <v>0</v>
          </cell>
          <cell r="M2452">
            <v>0</v>
          </cell>
          <cell r="P2452">
            <v>0</v>
          </cell>
        </row>
        <row r="2453">
          <cell r="K2453">
            <v>0</v>
          </cell>
          <cell r="M2453">
            <v>0</v>
          </cell>
          <cell r="P2453">
            <v>0</v>
          </cell>
        </row>
        <row r="2454">
          <cell r="K2454">
            <v>0</v>
          </cell>
          <cell r="M2454">
            <v>0</v>
          </cell>
          <cell r="P2454">
            <v>0</v>
          </cell>
        </row>
        <row r="2455">
          <cell r="K2455">
            <v>0</v>
          </cell>
          <cell r="M2455">
            <v>0</v>
          </cell>
          <cell r="P2455">
            <v>0</v>
          </cell>
        </row>
        <row r="2456">
          <cell r="K2456">
            <v>0</v>
          </cell>
          <cell r="M2456">
            <v>0</v>
          </cell>
          <cell r="P2456">
            <v>0</v>
          </cell>
        </row>
        <row r="2457">
          <cell r="K2457">
            <v>0</v>
          </cell>
          <cell r="M2457">
            <v>0</v>
          </cell>
          <cell r="P2457">
            <v>0</v>
          </cell>
        </row>
        <row r="2458">
          <cell r="K2458">
            <v>0</v>
          </cell>
          <cell r="M2458">
            <v>0</v>
          </cell>
          <cell r="P2458">
            <v>0</v>
          </cell>
        </row>
        <row r="2459">
          <cell r="K2459">
            <v>0</v>
          </cell>
          <cell r="M2459">
            <v>0</v>
          </cell>
          <cell r="P2459">
            <v>0</v>
          </cell>
        </row>
        <row r="2460">
          <cell r="K2460">
            <v>0</v>
          </cell>
          <cell r="M2460">
            <v>0</v>
          </cell>
          <cell r="P2460">
            <v>0</v>
          </cell>
        </row>
        <row r="2461">
          <cell r="K2461">
            <v>0</v>
          </cell>
          <cell r="M2461">
            <v>0</v>
          </cell>
          <cell r="P2461">
            <v>0</v>
          </cell>
        </row>
        <row r="2462">
          <cell r="K2462">
            <v>0</v>
          </cell>
          <cell r="M2462">
            <v>0</v>
          </cell>
          <cell r="P2462">
            <v>0</v>
          </cell>
        </row>
        <row r="2463">
          <cell r="K2463">
            <v>0</v>
          </cell>
          <cell r="M2463">
            <v>0</v>
          </cell>
          <cell r="P2463">
            <v>0</v>
          </cell>
        </row>
        <row r="2464">
          <cell r="K2464">
            <v>0</v>
          </cell>
          <cell r="M2464">
            <v>0</v>
          </cell>
          <cell r="P2464">
            <v>0</v>
          </cell>
        </row>
        <row r="2465">
          <cell r="K2465">
            <v>0</v>
          </cell>
          <cell r="M2465">
            <v>0</v>
          </cell>
          <cell r="P2465">
            <v>0</v>
          </cell>
        </row>
        <row r="2466">
          <cell r="K2466">
            <v>0</v>
          </cell>
          <cell r="M2466">
            <v>0</v>
          </cell>
          <cell r="P2466">
            <v>0</v>
          </cell>
        </row>
        <row r="2467">
          <cell r="K2467">
            <v>0</v>
          </cell>
          <cell r="M2467">
            <v>0</v>
          </cell>
          <cell r="P2467">
            <v>0</v>
          </cell>
        </row>
        <row r="2468">
          <cell r="K2468">
            <v>0</v>
          </cell>
          <cell r="M2468">
            <v>0</v>
          </cell>
          <cell r="P2468">
            <v>0</v>
          </cell>
        </row>
        <row r="2469">
          <cell r="K2469">
            <v>0</v>
          </cell>
          <cell r="M2469">
            <v>0</v>
          </cell>
          <cell r="P2469">
            <v>0</v>
          </cell>
        </row>
        <row r="2470">
          <cell r="K2470">
            <v>0</v>
          </cell>
          <cell r="M2470">
            <v>0</v>
          </cell>
          <cell r="P2470">
            <v>0</v>
          </cell>
        </row>
        <row r="2471">
          <cell r="K2471">
            <v>0</v>
          </cell>
          <cell r="M2471">
            <v>0</v>
          </cell>
          <cell r="P2471">
            <v>0</v>
          </cell>
        </row>
        <row r="2472">
          <cell r="K2472">
            <v>0</v>
          </cell>
          <cell r="M2472">
            <v>0</v>
          </cell>
          <cell r="P2472">
            <v>0</v>
          </cell>
        </row>
        <row r="2473">
          <cell r="K2473">
            <v>0</v>
          </cell>
          <cell r="M2473">
            <v>0</v>
          </cell>
          <cell r="P2473">
            <v>0</v>
          </cell>
        </row>
        <row r="2474">
          <cell r="K2474">
            <v>0</v>
          </cell>
          <cell r="M2474">
            <v>0</v>
          </cell>
          <cell r="P2474">
            <v>0</v>
          </cell>
        </row>
        <row r="2475">
          <cell r="K2475">
            <v>0</v>
          </cell>
          <cell r="M2475">
            <v>0</v>
          </cell>
          <cell r="P2475">
            <v>0</v>
          </cell>
        </row>
        <row r="2476">
          <cell r="K2476">
            <v>0</v>
          </cell>
          <cell r="M2476">
            <v>0</v>
          </cell>
          <cell r="P2476">
            <v>0</v>
          </cell>
        </row>
        <row r="2477">
          <cell r="K2477">
            <v>0</v>
          </cell>
          <cell r="M2477">
            <v>0</v>
          </cell>
          <cell r="P2477">
            <v>0</v>
          </cell>
        </row>
        <row r="2478">
          <cell r="K2478">
            <v>0</v>
          </cell>
          <cell r="M2478">
            <v>0</v>
          </cell>
          <cell r="P2478">
            <v>0</v>
          </cell>
        </row>
        <row r="2479">
          <cell r="K2479">
            <v>0</v>
          </cell>
          <cell r="M2479">
            <v>0</v>
          </cell>
          <cell r="P2479">
            <v>0</v>
          </cell>
        </row>
        <row r="2480">
          <cell r="K2480">
            <v>0</v>
          </cell>
          <cell r="M2480">
            <v>0</v>
          </cell>
          <cell r="P2480">
            <v>0</v>
          </cell>
        </row>
        <row r="2481">
          <cell r="K2481">
            <v>0</v>
          </cell>
          <cell r="M2481">
            <v>0</v>
          </cell>
          <cell r="P2481">
            <v>0</v>
          </cell>
        </row>
        <row r="2482">
          <cell r="K2482">
            <v>0</v>
          </cell>
          <cell r="M2482">
            <v>0</v>
          </cell>
          <cell r="P2482">
            <v>0</v>
          </cell>
        </row>
        <row r="2483">
          <cell r="K2483">
            <v>0</v>
          </cell>
          <cell r="M2483">
            <v>0</v>
          </cell>
          <cell r="P2483">
            <v>0</v>
          </cell>
        </row>
        <row r="2484">
          <cell r="K2484">
            <v>0</v>
          </cell>
          <cell r="M2484">
            <v>0</v>
          </cell>
          <cell r="P2484">
            <v>0</v>
          </cell>
        </row>
        <row r="2485">
          <cell r="K2485">
            <v>0</v>
          </cell>
          <cell r="M2485">
            <v>0</v>
          </cell>
          <cell r="P2485">
            <v>0</v>
          </cell>
        </row>
        <row r="2486">
          <cell r="K2486">
            <v>0</v>
          </cell>
          <cell r="M2486">
            <v>0</v>
          </cell>
          <cell r="P2486">
            <v>0</v>
          </cell>
        </row>
        <row r="2487">
          <cell r="K2487">
            <v>0</v>
          </cell>
          <cell r="M2487">
            <v>0</v>
          </cell>
          <cell r="P2487">
            <v>0</v>
          </cell>
        </row>
        <row r="2488">
          <cell r="K2488">
            <v>0</v>
          </cell>
          <cell r="M2488">
            <v>0</v>
          </cell>
          <cell r="P2488">
            <v>0</v>
          </cell>
        </row>
        <row r="2489">
          <cell r="K2489">
            <v>0</v>
          </cell>
          <cell r="M2489">
            <v>0</v>
          </cell>
          <cell r="P2489">
            <v>0</v>
          </cell>
        </row>
        <row r="2490">
          <cell r="K2490">
            <v>0</v>
          </cell>
          <cell r="M2490">
            <v>0</v>
          </cell>
          <cell r="P2490">
            <v>0</v>
          </cell>
        </row>
        <row r="2491">
          <cell r="K2491">
            <v>0</v>
          </cell>
          <cell r="M2491">
            <v>0</v>
          </cell>
          <cell r="P2491">
            <v>0</v>
          </cell>
        </row>
        <row r="2492">
          <cell r="K2492">
            <v>0</v>
          </cell>
          <cell r="M2492">
            <v>0</v>
          </cell>
          <cell r="P2492">
            <v>0</v>
          </cell>
        </row>
        <row r="2493">
          <cell r="K2493">
            <v>0</v>
          </cell>
          <cell r="M2493">
            <v>0</v>
          </cell>
          <cell r="P2493">
            <v>0</v>
          </cell>
        </row>
        <row r="2494">
          <cell r="K2494">
            <v>0</v>
          </cell>
          <cell r="M2494">
            <v>0</v>
          </cell>
          <cell r="P2494">
            <v>0</v>
          </cell>
        </row>
        <row r="2495">
          <cell r="K2495">
            <v>0</v>
          </cell>
          <cell r="M2495">
            <v>0</v>
          </cell>
          <cell r="P2495">
            <v>0</v>
          </cell>
        </row>
        <row r="2496">
          <cell r="K2496">
            <v>0</v>
          </cell>
          <cell r="M2496">
            <v>0</v>
          </cell>
          <cell r="P2496">
            <v>0</v>
          </cell>
        </row>
        <row r="2497">
          <cell r="K2497">
            <v>0</v>
          </cell>
          <cell r="M2497">
            <v>0</v>
          </cell>
          <cell r="P2497">
            <v>0</v>
          </cell>
        </row>
        <row r="2498">
          <cell r="K2498">
            <v>0</v>
          </cell>
          <cell r="M2498">
            <v>0</v>
          </cell>
          <cell r="P2498">
            <v>0</v>
          </cell>
        </row>
        <row r="2499">
          <cell r="K2499">
            <v>0</v>
          </cell>
          <cell r="M2499">
            <v>0</v>
          </cell>
          <cell r="P2499">
            <v>0</v>
          </cell>
        </row>
        <row r="2500">
          <cell r="K2500">
            <v>0</v>
          </cell>
          <cell r="M2500">
            <v>0</v>
          </cell>
          <cell r="P2500">
            <v>0</v>
          </cell>
        </row>
        <row r="2501">
          <cell r="K2501">
            <v>0</v>
          </cell>
          <cell r="M2501">
            <v>0</v>
          </cell>
          <cell r="P2501">
            <v>0</v>
          </cell>
        </row>
        <row r="2502">
          <cell r="K2502">
            <v>0</v>
          </cell>
          <cell r="M2502">
            <v>0</v>
          </cell>
          <cell r="P2502">
            <v>0</v>
          </cell>
        </row>
        <row r="2503">
          <cell r="K2503">
            <v>0</v>
          </cell>
          <cell r="M2503">
            <v>0</v>
          </cell>
          <cell r="P2503">
            <v>0</v>
          </cell>
        </row>
        <row r="2504">
          <cell r="K2504">
            <v>0</v>
          </cell>
          <cell r="M2504">
            <v>0</v>
          </cell>
          <cell r="P2504">
            <v>0</v>
          </cell>
        </row>
        <row r="2505">
          <cell r="K2505">
            <v>0</v>
          </cell>
          <cell r="M2505">
            <v>0</v>
          </cell>
          <cell r="P2505">
            <v>0</v>
          </cell>
        </row>
        <row r="2506">
          <cell r="K2506">
            <v>0</v>
          </cell>
          <cell r="M2506">
            <v>0</v>
          </cell>
          <cell r="P2506">
            <v>0</v>
          </cell>
        </row>
        <row r="2507">
          <cell r="K2507">
            <v>0</v>
          </cell>
          <cell r="M2507">
            <v>0</v>
          </cell>
          <cell r="P2507">
            <v>0</v>
          </cell>
        </row>
        <row r="2508">
          <cell r="K2508">
            <v>0</v>
          </cell>
          <cell r="M2508">
            <v>0</v>
          </cell>
          <cell r="P2508">
            <v>0</v>
          </cell>
        </row>
        <row r="2509">
          <cell r="K2509">
            <v>0</v>
          </cell>
          <cell r="M2509">
            <v>0</v>
          </cell>
          <cell r="P2509">
            <v>0</v>
          </cell>
        </row>
        <row r="2510">
          <cell r="K2510">
            <v>0</v>
          </cell>
          <cell r="M2510">
            <v>0</v>
          </cell>
          <cell r="P2510">
            <v>0</v>
          </cell>
        </row>
        <row r="2511">
          <cell r="K2511">
            <v>0</v>
          </cell>
          <cell r="M2511">
            <v>0</v>
          </cell>
          <cell r="P2511">
            <v>0</v>
          </cell>
        </row>
        <row r="2512">
          <cell r="K2512">
            <v>0</v>
          </cell>
          <cell r="M2512">
            <v>0</v>
          </cell>
          <cell r="P2512">
            <v>0</v>
          </cell>
        </row>
        <row r="2513">
          <cell r="K2513">
            <v>0</v>
          </cell>
          <cell r="M2513">
            <v>0</v>
          </cell>
          <cell r="P2513">
            <v>0</v>
          </cell>
        </row>
        <row r="2514">
          <cell r="K2514">
            <v>0</v>
          </cell>
          <cell r="M2514">
            <v>0</v>
          </cell>
          <cell r="P2514">
            <v>0</v>
          </cell>
        </row>
        <row r="2515">
          <cell r="K2515">
            <v>0</v>
          </cell>
          <cell r="M2515">
            <v>0</v>
          </cell>
          <cell r="P2515">
            <v>0</v>
          </cell>
        </row>
        <row r="2516">
          <cell r="K2516">
            <v>0</v>
          </cell>
          <cell r="M2516">
            <v>0</v>
          </cell>
          <cell r="P2516">
            <v>0</v>
          </cell>
        </row>
        <row r="2517">
          <cell r="K2517">
            <v>0</v>
          </cell>
          <cell r="M2517">
            <v>0</v>
          </cell>
          <cell r="P2517">
            <v>0</v>
          </cell>
        </row>
        <row r="2518">
          <cell r="K2518">
            <v>0</v>
          </cell>
          <cell r="M2518">
            <v>0</v>
          </cell>
          <cell r="P2518">
            <v>0</v>
          </cell>
        </row>
        <row r="2519">
          <cell r="K2519">
            <v>0</v>
          </cell>
          <cell r="M2519">
            <v>0</v>
          </cell>
          <cell r="P2519">
            <v>0</v>
          </cell>
        </row>
        <row r="2520">
          <cell r="K2520">
            <v>0</v>
          </cell>
          <cell r="M2520">
            <v>0</v>
          </cell>
          <cell r="P2520">
            <v>0</v>
          </cell>
        </row>
        <row r="2521">
          <cell r="K2521">
            <v>0</v>
          </cell>
          <cell r="M2521">
            <v>0</v>
          </cell>
          <cell r="P2521">
            <v>0</v>
          </cell>
        </row>
        <row r="2522">
          <cell r="K2522">
            <v>0</v>
          </cell>
          <cell r="M2522">
            <v>0</v>
          </cell>
          <cell r="P2522">
            <v>0</v>
          </cell>
        </row>
        <row r="2523">
          <cell r="K2523">
            <v>0</v>
          </cell>
          <cell r="M2523">
            <v>0</v>
          </cell>
          <cell r="P2523">
            <v>0</v>
          </cell>
        </row>
        <row r="2524">
          <cell r="K2524">
            <v>0</v>
          </cell>
          <cell r="M2524">
            <v>0</v>
          </cell>
          <cell r="P2524">
            <v>0</v>
          </cell>
        </row>
        <row r="2525">
          <cell r="K2525">
            <v>0</v>
          </cell>
          <cell r="M2525">
            <v>0</v>
          </cell>
          <cell r="P2525">
            <v>0</v>
          </cell>
        </row>
        <row r="2526">
          <cell r="K2526">
            <v>0</v>
          </cell>
          <cell r="M2526">
            <v>0</v>
          </cell>
          <cell r="P2526">
            <v>0</v>
          </cell>
        </row>
        <row r="2527">
          <cell r="K2527">
            <v>0</v>
          </cell>
          <cell r="M2527">
            <v>0</v>
          </cell>
          <cell r="P2527">
            <v>0</v>
          </cell>
        </row>
        <row r="2528">
          <cell r="K2528">
            <v>0</v>
          </cell>
          <cell r="M2528">
            <v>0</v>
          </cell>
          <cell r="P2528">
            <v>0</v>
          </cell>
        </row>
        <row r="2529">
          <cell r="K2529">
            <v>0</v>
          </cell>
          <cell r="M2529">
            <v>0</v>
          </cell>
          <cell r="P2529">
            <v>0</v>
          </cell>
        </row>
        <row r="2530">
          <cell r="K2530">
            <v>0</v>
          </cell>
          <cell r="M2530">
            <v>0</v>
          </cell>
          <cell r="P2530">
            <v>0</v>
          </cell>
        </row>
        <row r="2531">
          <cell r="K2531">
            <v>0</v>
          </cell>
          <cell r="M2531">
            <v>0</v>
          </cell>
          <cell r="P2531">
            <v>0</v>
          </cell>
        </row>
        <row r="2532">
          <cell r="K2532">
            <v>0</v>
          </cell>
          <cell r="M2532">
            <v>0</v>
          </cell>
          <cell r="P2532">
            <v>0</v>
          </cell>
        </row>
        <row r="2533">
          <cell r="K2533">
            <v>0</v>
          </cell>
          <cell r="M2533">
            <v>0</v>
          </cell>
          <cell r="P2533">
            <v>0</v>
          </cell>
        </row>
        <row r="2534">
          <cell r="K2534">
            <v>0</v>
          </cell>
          <cell r="M2534">
            <v>0</v>
          </cell>
          <cell r="P2534">
            <v>0</v>
          </cell>
        </row>
        <row r="2535">
          <cell r="K2535">
            <v>0</v>
          </cell>
          <cell r="M2535">
            <v>0</v>
          </cell>
          <cell r="P2535">
            <v>0</v>
          </cell>
        </row>
        <row r="2536">
          <cell r="K2536">
            <v>0</v>
          </cell>
          <cell r="M2536">
            <v>0</v>
          </cell>
          <cell r="P2536">
            <v>0</v>
          </cell>
        </row>
        <row r="2537">
          <cell r="K2537">
            <v>0</v>
          </cell>
          <cell r="M2537">
            <v>0</v>
          </cell>
          <cell r="P2537">
            <v>0</v>
          </cell>
        </row>
        <row r="2538">
          <cell r="K2538">
            <v>0</v>
          </cell>
          <cell r="M2538">
            <v>0</v>
          </cell>
          <cell r="P2538">
            <v>0</v>
          </cell>
        </row>
        <row r="2539">
          <cell r="K2539">
            <v>0</v>
          </cell>
          <cell r="M2539">
            <v>0</v>
          </cell>
          <cell r="P2539">
            <v>0</v>
          </cell>
        </row>
        <row r="2540">
          <cell r="K2540">
            <v>0</v>
          </cell>
          <cell r="M2540">
            <v>0</v>
          </cell>
          <cell r="P2540">
            <v>0</v>
          </cell>
        </row>
        <row r="2541">
          <cell r="K2541">
            <v>0</v>
          </cell>
          <cell r="M2541">
            <v>0</v>
          </cell>
          <cell r="P2541">
            <v>0</v>
          </cell>
        </row>
        <row r="2542">
          <cell r="K2542">
            <v>0</v>
          </cell>
          <cell r="M2542">
            <v>0</v>
          </cell>
          <cell r="P2542">
            <v>0</v>
          </cell>
        </row>
        <row r="2543">
          <cell r="K2543">
            <v>0</v>
          </cell>
          <cell r="M2543">
            <v>0</v>
          </cell>
          <cell r="P2543">
            <v>0</v>
          </cell>
        </row>
        <row r="2544">
          <cell r="K2544">
            <v>0</v>
          </cell>
          <cell r="M2544">
            <v>0</v>
          </cell>
          <cell r="P2544">
            <v>0</v>
          </cell>
        </row>
        <row r="2545">
          <cell r="K2545">
            <v>0</v>
          </cell>
          <cell r="M2545">
            <v>0</v>
          </cell>
          <cell r="P2545">
            <v>0</v>
          </cell>
        </row>
        <row r="2546">
          <cell r="K2546">
            <v>0</v>
          </cell>
          <cell r="M2546">
            <v>0</v>
          </cell>
          <cell r="P2546">
            <v>0</v>
          </cell>
        </row>
        <row r="2547">
          <cell r="K2547">
            <v>0</v>
          </cell>
          <cell r="M2547">
            <v>0</v>
          </cell>
          <cell r="P2547">
            <v>0</v>
          </cell>
        </row>
        <row r="2548">
          <cell r="K2548">
            <v>0</v>
          </cell>
          <cell r="M2548">
            <v>0</v>
          </cell>
          <cell r="P2548">
            <v>0</v>
          </cell>
        </row>
        <row r="2549">
          <cell r="K2549">
            <v>0</v>
          </cell>
          <cell r="M2549">
            <v>0</v>
          </cell>
          <cell r="P2549">
            <v>0</v>
          </cell>
        </row>
        <row r="2550">
          <cell r="K2550">
            <v>0</v>
          </cell>
          <cell r="M2550">
            <v>0</v>
          </cell>
          <cell r="P2550">
            <v>0</v>
          </cell>
        </row>
        <row r="2551">
          <cell r="K2551">
            <v>0</v>
          </cell>
          <cell r="M2551">
            <v>0</v>
          </cell>
          <cell r="P2551">
            <v>0</v>
          </cell>
        </row>
        <row r="2552">
          <cell r="K2552">
            <v>0</v>
          </cell>
          <cell r="M2552">
            <v>0</v>
          </cell>
          <cell r="P2552">
            <v>0</v>
          </cell>
        </row>
        <row r="2553">
          <cell r="K2553">
            <v>0</v>
          </cell>
          <cell r="M2553">
            <v>0</v>
          </cell>
          <cell r="P2553">
            <v>0</v>
          </cell>
        </row>
        <row r="2554">
          <cell r="K2554">
            <v>0</v>
          </cell>
          <cell r="M2554">
            <v>0</v>
          </cell>
          <cell r="P2554">
            <v>0</v>
          </cell>
        </row>
        <row r="2555">
          <cell r="K2555">
            <v>0</v>
          </cell>
          <cell r="M2555">
            <v>0</v>
          </cell>
          <cell r="P2555">
            <v>0</v>
          </cell>
        </row>
        <row r="2556">
          <cell r="K2556">
            <v>0</v>
          </cell>
          <cell r="M2556">
            <v>0</v>
          </cell>
          <cell r="P2556">
            <v>0</v>
          </cell>
        </row>
        <row r="2557">
          <cell r="K2557">
            <v>0</v>
          </cell>
          <cell r="M2557">
            <v>0</v>
          </cell>
          <cell r="P2557">
            <v>0</v>
          </cell>
        </row>
        <row r="2558">
          <cell r="K2558">
            <v>0</v>
          </cell>
          <cell r="M2558">
            <v>0</v>
          </cell>
          <cell r="P2558">
            <v>0</v>
          </cell>
        </row>
        <row r="2559">
          <cell r="K2559">
            <v>0</v>
          </cell>
          <cell r="M2559">
            <v>0</v>
          </cell>
          <cell r="P2559">
            <v>0</v>
          </cell>
        </row>
        <row r="2560">
          <cell r="K2560">
            <v>0</v>
          </cell>
          <cell r="M2560">
            <v>0</v>
          </cell>
          <cell r="P2560">
            <v>0</v>
          </cell>
        </row>
        <row r="2561">
          <cell r="K2561">
            <v>0</v>
          </cell>
          <cell r="M2561">
            <v>0</v>
          </cell>
          <cell r="P2561">
            <v>0</v>
          </cell>
        </row>
        <row r="2562">
          <cell r="K2562">
            <v>0</v>
          </cell>
          <cell r="M2562">
            <v>0</v>
          </cell>
          <cell r="P2562">
            <v>0</v>
          </cell>
        </row>
        <row r="2563">
          <cell r="K2563">
            <v>0</v>
          </cell>
          <cell r="M2563">
            <v>0</v>
          </cell>
          <cell r="P2563">
            <v>0</v>
          </cell>
        </row>
        <row r="2564">
          <cell r="K2564">
            <v>0</v>
          </cell>
          <cell r="M2564">
            <v>0</v>
          </cell>
          <cell r="P2564">
            <v>0</v>
          </cell>
        </row>
        <row r="2565">
          <cell r="K2565">
            <v>0</v>
          </cell>
          <cell r="M2565">
            <v>0</v>
          </cell>
          <cell r="P2565">
            <v>0</v>
          </cell>
        </row>
        <row r="2566">
          <cell r="K2566">
            <v>0</v>
          </cell>
          <cell r="M2566">
            <v>0</v>
          </cell>
          <cell r="P2566">
            <v>0</v>
          </cell>
        </row>
        <row r="2567">
          <cell r="K2567">
            <v>0</v>
          </cell>
          <cell r="M2567">
            <v>0</v>
          </cell>
          <cell r="P2567">
            <v>0</v>
          </cell>
        </row>
        <row r="2568">
          <cell r="K2568">
            <v>0</v>
          </cell>
          <cell r="M2568">
            <v>0</v>
          </cell>
          <cell r="P2568">
            <v>0</v>
          </cell>
        </row>
        <row r="2569">
          <cell r="K2569">
            <v>0</v>
          </cell>
          <cell r="M2569">
            <v>0</v>
          </cell>
          <cell r="P2569">
            <v>0</v>
          </cell>
        </row>
        <row r="2570">
          <cell r="K2570">
            <v>0</v>
          </cell>
          <cell r="M2570">
            <v>0</v>
          </cell>
          <cell r="P2570">
            <v>0</v>
          </cell>
        </row>
        <row r="2571">
          <cell r="K2571">
            <v>0</v>
          </cell>
          <cell r="M2571">
            <v>0</v>
          </cell>
          <cell r="P2571">
            <v>0</v>
          </cell>
        </row>
        <row r="2572">
          <cell r="K2572">
            <v>0</v>
          </cell>
          <cell r="M2572">
            <v>0</v>
          </cell>
          <cell r="P2572">
            <v>0</v>
          </cell>
        </row>
        <row r="2573">
          <cell r="K2573">
            <v>0</v>
          </cell>
          <cell r="M2573">
            <v>0</v>
          </cell>
          <cell r="P2573">
            <v>0</v>
          </cell>
        </row>
        <row r="2574">
          <cell r="K2574">
            <v>0</v>
          </cell>
          <cell r="M2574">
            <v>0</v>
          </cell>
          <cell r="P2574">
            <v>0</v>
          </cell>
        </row>
        <row r="2575">
          <cell r="K2575">
            <v>0</v>
          </cell>
          <cell r="M2575">
            <v>0</v>
          </cell>
          <cell r="P2575">
            <v>0</v>
          </cell>
        </row>
        <row r="2576">
          <cell r="K2576">
            <v>0</v>
          </cell>
          <cell r="M2576">
            <v>0</v>
          </cell>
          <cell r="P2576">
            <v>0</v>
          </cell>
        </row>
        <row r="2577">
          <cell r="K2577">
            <v>0</v>
          </cell>
          <cell r="M2577">
            <v>0</v>
          </cell>
          <cell r="P2577">
            <v>0</v>
          </cell>
        </row>
        <row r="2578">
          <cell r="K2578">
            <v>0</v>
          </cell>
          <cell r="M2578">
            <v>0</v>
          </cell>
          <cell r="P2578">
            <v>0</v>
          </cell>
        </row>
        <row r="2579">
          <cell r="K2579">
            <v>0</v>
          </cell>
          <cell r="M2579">
            <v>0</v>
          </cell>
          <cell r="P2579">
            <v>0</v>
          </cell>
        </row>
        <row r="2580">
          <cell r="K2580">
            <v>0</v>
          </cell>
          <cell r="M2580">
            <v>0</v>
          </cell>
          <cell r="P2580">
            <v>0</v>
          </cell>
        </row>
        <row r="2581">
          <cell r="K2581">
            <v>0</v>
          </cell>
          <cell r="M2581">
            <v>0</v>
          </cell>
          <cell r="P2581">
            <v>0</v>
          </cell>
        </row>
        <row r="2582">
          <cell r="K2582">
            <v>0</v>
          </cell>
          <cell r="M2582">
            <v>0</v>
          </cell>
          <cell r="P2582">
            <v>0</v>
          </cell>
        </row>
        <row r="2583">
          <cell r="K2583">
            <v>0</v>
          </cell>
          <cell r="M2583">
            <v>0</v>
          </cell>
          <cell r="P2583">
            <v>0</v>
          </cell>
        </row>
        <row r="2584">
          <cell r="K2584">
            <v>0</v>
          </cell>
          <cell r="M2584">
            <v>0</v>
          </cell>
          <cell r="P2584">
            <v>0</v>
          </cell>
        </row>
        <row r="2585">
          <cell r="K2585">
            <v>0</v>
          </cell>
          <cell r="M2585">
            <v>0</v>
          </cell>
          <cell r="P2585">
            <v>0</v>
          </cell>
        </row>
        <row r="2586">
          <cell r="K2586">
            <v>0</v>
          </cell>
          <cell r="M2586">
            <v>0</v>
          </cell>
          <cell r="P2586">
            <v>0</v>
          </cell>
        </row>
        <row r="2587">
          <cell r="K2587">
            <v>0</v>
          </cell>
          <cell r="M2587">
            <v>0</v>
          </cell>
          <cell r="P2587">
            <v>0</v>
          </cell>
        </row>
        <row r="2588">
          <cell r="K2588">
            <v>0</v>
          </cell>
          <cell r="M2588">
            <v>0</v>
          </cell>
          <cell r="P2588">
            <v>0</v>
          </cell>
        </row>
        <row r="2589">
          <cell r="K2589">
            <v>0</v>
          </cell>
          <cell r="M2589">
            <v>0</v>
          </cell>
          <cell r="P2589">
            <v>0</v>
          </cell>
        </row>
        <row r="2590">
          <cell r="K2590">
            <v>0</v>
          </cell>
          <cell r="M2590">
            <v>0</v>
          </cell>
          <cell r="P2590">
            <v>0</v>
          </cell>
        </row>
        <row r="2591">
          <cell r="K2591">
            <v>0</v>
          </cell>
          <cell r="M2591">
            <v>0</v>
          </cell>
          <cell r="P2591">
            <v>0</v>
          </cell>
        </row>
        <row r="2592">
          <cell r="K2592">
            <v>0</v>
          </cell>
          <cell r="M2592">
            <v>0</v>
          </cell>
          <cell r="P2592">
            <v>0</v>
          </cell>
        </row>
        <row r="2593">
          <cell r="K2593">
            <v>0</v>
          </cell>
          <cell r="M2593">
            <v>0</v>
          </cell>
          <cell r="P2593">
            <v>0</v>
          </cell>
        </row>
        <row r="2594">
          <cell r="K2594">
            <v>0</v>
          </cell>
          <cell r="M2594">
            <v>0</v>
          </cell>
          <cell r="P2594">
            <v>0</v>
          </cell>
        </row>
        <row r="2595">
          <cell r="K2595">
            <v>0</v>
          </cell>
          <cell r="M2595">
            <v>0</v>
          </cell>
          <cell r="P2595">
            <v>0</v>
          </cell>
        </row>
        <row r="2596">
          <cell r="K2596">
            <v>0</v>
          </cell>
          <cell r="M2596">
            <v>0</v>
          </cell>
          <cell r="P2596">
            <v>0</v>
          </cell>
        </row>
        <row r="2597">
          <cell r="K2597">
            <v>0</v>
          </cell>
          <cell r="M2597">
            <v>0</v>
          </cell>
          <cell r="P2597">
            <v>0</v>
          </cell>
        </row>
        <row r="2598">
          <cell r="K2598">
            <v>0</v>
          </cell>
          <cell r="M2598">
            <v>0</v>
          </cell>
          <cell r="P2598">
            <v>0</v>
          </cell>
        </row>
        <row r="2599">
          <cell r="K2599">
            <v>0</v>
          </cell>
          <cell r="M2599">
            <v>0</v>
          </cell>
          <cell r="P2599">
            <v>0</v>
          </cell>
        </row>
        <row r="2600">
          <cell r="K2600">
            <v>0</v>
          </cell>
          <cell r="M2600">
            <v>0</v>
          </cell>
          <cell r="P2600">
            <v>0</v>
          </cell>
        </row>
        <row r="2601">
          <cell r="K2601">
            <v>0</v>
          </cell>
          <cell r="M2601">
            <v>0</v>
          </cell>
          <cell r="P2601">
            <v>0</v>
          </cell>
        </row>
        <row r="2602">
          <cell r="K2602">
            <v>0</v>
          </cell>
          <cell r="M2602">
            <v>0</v>
          </cell>
          <cell r="P2602">
            <v>0</v>
          </cell>
        </row>
        <row r="2603">
          <cell r="K2603">
            <v>0</v>
          </cell>
          <cell r="M2603">
            <v>0</v>
          </cell>
          <cell r="P2603">
            <v>0</v>
          </cell>
        </row>
        <row r="2604">
          <cell r="K2604">
            <v>0</v>
          </cell>
          <cell r="M2604">
            <v>0</v>
          </cell>
          <cell r="P2604">
            <v>0</v>
          </cell>
        </row>
        <row r="2605">
          <cell r="K2605">
            <v>0</v>
          </cell>
          <cell r="M2605">
            <v>0</v>
          </cell>
          <cell r="P2605">
            <v>0</v>
          </cell>
        </row>
        <row r="2606">
          <cell r="K2606">
            <v>0</v>
          </cell>
          <cell r="M2606">
            <v>0</v>
          </cell>
          <cell r="P2606">
            <v>0</v>
          </cell>
        </row>
        <row r="2607">
          <cell r="K2607">
            <v>0</v>
          </cell>
          <cell r="M2607">
            <v>0</v>
          </cell>
          <cell r="P2607">
            <v>0</v>
          </cell>
        </row>
        <row r="2608">
          <cell r="K2608">
            <v>0</v>
          </cell>
          <cell r="M2608">
            <v>0</v>
          </cell>
          <cell r="P2608">
            <v>0</v>
          </cell>
        </row>
        <row r="2609">
          <cell r="K2609">
            <v>0</v>
          </cell>
          <cell r="M2609">
            <v>0</v>
          </cell>
          <cell r="P2609">
            <v>0</v>
          </cell>
        </row>
        <row r="2610">
          <cell r="K2610">
            <v>0</v>
          </cell>
          <cell r="M2610">
            <v>0</v>
          </cell>
          <cell r="P2610">
            <v>0</v>
          </cell>
        </row>
        <row r="2611">
          <cell r="K2611">
            <v>0</v>
          </cell>
          <cell r="M2611">
            <v>0</v>
          </cell>
          <cell r="P2611">
            <v>0</v>
          </cell>
        </row>
        <row r="2612">
          <cell r="K2612">
            <v>0</v>
          </cell>
          <cell r="M2612">
            <v>0</v>
          </cell>
          <cell r="P2612">
            <v>0</v>
          </cell>
        </row>
        <row r="2613">
          <cell r="K2613">
            <v>0</v>
          </cell>
          <cell r="M2613">
            <v>0</v>
          </cell>
          <cell r="P2613">
            <v>0</v>
          </cell>
        </row>
        <row r="2614">
          <cell r="K2614">
            <v>0</v>
          </cell>
          <cell r="M2614">
            <v>0</v>
          </cell>
          <cell r="P2614">
            <v>0</v>
          </cell>
        </row>
        <row r="2615">
          <cell r="K2615">
            <v>0</v>
          </cell>
          <cell r="M2615">
            <v>0</v>
          </cell>
          <cell r="P2615">
            <v>0</v>
          </cell>
        </row>
        <row r="2616">
          <cell r="K2616">
            <v>0</v>
          </cell>
          <cell r="M2616">
            <v>0</v>
          </cell>
          <cell r="P2616">
            <v>0</v>
          </cell>
        </row>
        <row r="2617">
          <cell r="K2617">
            <v>0</v>
          </cell>
          <cell r="M2617">
            <v>0</v>
          </cell>
          <cell r="P2617">
            <v>0</v>
          </cell>
        </row>
        <row r="2618">
          <cell r="K2618">
            <v>0</v>
          </cell>
          <cell r="M2618">
            <v>0</v>
          </cell>
          <cell r="P2618">
            <v>0</v>
          </cell>
        </row>
        <row r="2619">
          <cell r="K2619">
            <v>0</v>
          </cell>
          <cell r="M2619">
            <v>0</v>
          </cell>
          <cell r="P2619">
            <v>0</v>
          </cell>
        </row>
        <row r="2620">
          <cell r="K2620">
            <v>0</v>
          </cell>
          <cell r="M2620">
            <v>0</v>
          </cell>
          <cell r="P2620">
            <v>0</v>
          </cell>
        </row>
        <row r="2621">
          <cell r="K2621">
            <v>0</v>
          </cell>
          <cell r="M2621">
            <v>0</v>
          </cell>
          <cell r="P2621">
            <v>0</v>
          </cell>
        </row>
        <row r="2622">
          <cell r="K2622">
            <v>0</v>
          </cell>
          <cell r="M2622">
            <v>0</v>
          </cell>
          <cell r="P2622">
            <v>0</v>
          </cell>
        </row>
        <row r="2623">
          <cell r="K2623">
            <v>0</v>
          </cell>
          <cell r="M2623">
            <v>0</v>
          </cell>
          <cell r="P2623">
            <v>0</v>
          </cell>
        </row>
        <row r="2624">
          <cell r="K2624">
            <v>0</v>
          </cell>
          <cell r="M2624">
            <v>0</v>
          </cell>
          <cell r="P2624">
            <v>0</v>
          </cell>
        </row>
        <row r="2625">
          <cell r="K2625">
            <v>0</v>
          </cell>
          <cell r="M2625">
            <v>0</v>
          </cell>
          <cell r="P2625">
            <v>0</v>
          </cell>
        </row>
        <row r="2626">
          <cell r="K2626">
            <v>0</v>
          </cell>
          <cell r="M2626">
            <v>0</v>
          </cell>
          <cell r="P2626">
            <v>0</v>
          </cell>
        </row>
        <row r="2627">
          <cell r="K2627">
            <v>0</v>
          </cell>
          <cell r="M2627">
            <v>0</v>
          </cell>
          <cell r="P2627">
            <v>0</v>
          </cell>
        </row>
        <row r="2628">
          <cell r="K2628">
            <v>0</v>
          </cell>
          <cell r="M2628">
            <v>0</v>
          </cell>
          <cell r="P2628">
            <v>0</v>
          </cell>
        </row>
        <row r="2629">
          <cell r="K2629">
            <v>0</v>
          </cell>
          <cell r="M2629">
            <v>0</v>
          </cell>
          <cell r="P2629">
            <v>0</v>
          </cell>
        </row>
        <row r="2630">
          <cell r="K2630">
            <v>0</v>
          </cell>
          <cell r="M2630">
            <v>0</v>
          </cell>
          <cell r="P2630">
            <v>0</v>
          </cell>
        </row>
        <row r="2631">
          <cell r="K2631">
            <v>0</v>
          </cell>
          <cell r="M2631">
            <v>0</v>
          </cell>
          <cell r="P2631">
            <v>0</v>
          </cell>
        </row>
        <row r="2632">
          <cell r="K2632">
            <v>0</v>
          </cell>
          <cell r="M2632">
            <v>0</v>
          </cell>
          <cell r="P2632">
            <v>0</v>
          </cell>
        </row>
        <row r="2633">
          <cell r="K2633">
            <v>0</v>
          </cell>
          <cell r="M2633">
            <v>0</v>
          </cell>
          <cell r="P2633">
            <v>0</v>
          </cell>
        </row>
        <row r="2634">
          <cell r="K2634">
            <v>0</v>
          </cell>
          <cell r="M2634">
            <v>0</v>
          </cell>
          <cell r="P2634">
            <v>0</v>
          </cell>
        </row>
        <row r="2635">
          <cell r="K2635">
            <v>0</v>
          </cell>
          <cell r="M2635">
            <v>0</v>
          </cell>
          <cell r="P2635">
            <v>0</v>
          </cell>
        </row>
        <row r="2636">
          <cell r="K2636">
            <v>0</v>
          </cell>
          <cell r="M2636">
            <v>0</v>
          </cell>
          <cell r="P2636">
            <v>0</v>
          </cell>
        </row>
        <row r="2637">
          <cell r="K2637">
            <v>0</v>
          </cell>
          <cell r="M2637">
            <v>0</v>
          </cell>
          <cell r="P2637">
            <v>0</v>
          </cell>
        </row>
        <row r="2638">
          <cell r="K2638">
            <v>0</v>
          </cell>
          <cell r="M2638">
            <v>0</v>
          </cell>
          <cell r="P2638">
            <v>0</v>
          </cell>
        </row>
        <row r="2639">
          <cell r="K2639">
            <v>0</v>
          </cell>
          <cell r="M2639">
            <v>0</v>
          </cell>
          <cell r="P2639">
            <v>0</v>
          </cell>
        </row>
        <row r="2640">
          <cell r="K2640">
            <v>0</v>
          </cell>
          <cell r="M2640">
            <v>0</v>
          </cell>
          <cell r="P2640">
            <v>0</v>
          </cell>
        </row>
        <row r="2641">
          <cell r="K2641">
            <v>0</v>
          </cell>
          <cell r="M2641">
            <v>0</v>
          </cell>
          <cell r="P2641">
            <v>0</v>
          </cell>
        </row>
        <row r="2642">
          <cell r="K2642">
            <v>0</v>
          </cell>
          <cell r="M2642">
            <v>0</v>
          </cell>
          <cell r="P2642">
            <v>0</v>
          </cell>
        </row>
        <row r="2643">
          <cell r="K2643">
            <v>0</v>
          </cell>
          <cell r="M2643">
            <v>0</v>
          </cell>
          <cell r="P2643">
            <v>0</v>
          </cell>
        </row>
        <row r="2644">
          <cell r="K2644">
            <v>0</v>
          </cell>
          <cell r="M2644">
            <v>0</v>
          </cell>
          <cell r="P2644">
            <v>0</v>
          </cell>
        </row>
        <row r="2645">
          <cell r="K2645">
            <v>0</v>
          </cell>
          <cell r="M2645">
            <v>0</v>
          </cell>
          <cell r="P2645">
            <v>0</v>
          </cell>
        </row>
        <row r="2646">
          <cell r="K2646">
            <v>0</v>
          </cell>
          <cell r="M2646">
            <v>0</v>
          </cell>
          <cell r="P2646">
            <v>0</v>
          </cell>
        </row>
        <row r="2647">
          <cell r="K2647">
            <v>0</v>
          </cell>
          <cell r="M2647">
            <v>0</v>
          </cell>
          <cell r="P2647">
            <v>0</v>
          </cell>
        </row>
        <row r="2648">
          <cell r="K2648">
            <v>0</v>
          </cell>
          <cell r="M2648">
            <v>0</v>
          </cell>
          <cell r="P2648">
            <v>0</v>
          </cell>
        </row>
        <row r="2649">
          <cell r="K2649">
            <v>0</v>
          </cell>
          <cell r="M2649">
            <v>0</v>
          </cell>
          <cell r="P2649">
            <v>0</v>
          </cell>
        </row>
        <row r="2650">
          <cell r="K2650">
            <v>0</v>
          </cell>
          <cell r="M2650">
            <v>0</v>
          </cell>
          <cell r="P2650">
            <v>0</v>
          </cell>
        </row>
        <row r="2651">
          <cell r="K2651">
            <v>0</v>
          </cell>
          <cell r="M2651">
            <v>0</v>
          </cell>
          <cell r="P2651">
            <v>0</v>
          </cell>
        </row>
        <row r="2652">
          <cell r="K2652">
            <v>0</v>
          </cell>
          <cell r="M2652">
            <v>0</v>
          </cell>
          <cell r="P2652">
            <v>0</v>
          </cell>
        </row>
        <row r="2653">
          <cell r="K2653">
            <v>0</v>
          </cell>
          <cell r="M2653">
            <v>0</v>
          </cell>
          <cell r="P2653">
            <v>0</v>
          </cell>
        </row>
        <row r="2654">
          <cell r="K2654">
            <v>0</v>
          </cell>
          <cell r="M2654">
            <v>0</v>
          </cell>
          <cell r="P2654">
            <v>0</v>
          </cell>
        </row>
        <row r="2655">
          <cell r="K2655">
            <v>0</v>
          </cell>
          <cell r="M2655">
            <v>0</v>
          </cell>
          <cell r="P2655">
            <v>0</v>
          </cell>
        </row>
        <row r="2656">
          <cell r="K2656">
            <v>0</v>
          </cell>
          <cell r="M2656">
            <v>0</v>
          </cell>
          <cell r="P2656">
            <v>0</v>
          </cell>
        </row>
        <row r="2657">
          <cell r="K2657">
            <v>0</v>
          </cell>
          <cell r="M2657">
            <v>0</v>
          </cell>
          <cell r="P2657">
            <v>0</v>
          </cell>
        </row>
        <row r="2658">
          <cell r="K2658">
            <v>0</v>
          </cell>
          <cell r="M2658">
            <v>0</v>
          </cell>
          <cell r="P2658">
            <v>0</v>
          </cell>
        </row>
        <row r="2659">
          <cell r="K2659">
            <v>0</v>
          </cell>
          <cell r="M2659">
            <v>0</v>
          </cell>
          <cell r="P2659">
            <v>0</v>
          </cell>
        </row>
        <row r="2660">
          <cell r="K2660">
            <v>0</v>
          </cell>
          <cell r="M2660">
            <v>0</v>
          </cell>
          <cell r="P2660">
            <v>0</v>
          </cell>
        </row>
        <row r="2661">
          <cell r="K2661">
            <v>0</v>
          </cell>
          <cell r="M2661">
            <v>0</v>
          </cell>
          <cell r="P2661">
            <v>0</v>
          </cell>
        </row>
        <row r="2662">
          <cell r="K2662">
            <v>0</v>
          </cell>
          <cell r="M2662">
            <v>0</v>
          </cell>
          <cell r="P2662">
            <v>0</v>
          </cell>
        </row>
        <row r="2663">
          <cell r="K2663">
            <v>0</v>
          </cell>
          <cell r="M2663">
            <v>0</v>
          </cell>
          <cell r="P2663">
            <v>0</v>
          </cell>
        </row>
        <row r="2664">
          <cell r="K2664">
            <v>0</v>
          </cell>
          <cell r="M2664">
            <v>0</v>
          </cell>
          <cell r="P2664">
            <v>0</v>
          </cell>
        </row>
        <row r="2665">
          <cell r="K2665">
            <v>0</v>
          </cell>
          <cell r="M2665">
            <v>0</v>
          </cell>
          <cell r="P2665">
            <v>0</v>
          </cell>
        </row>
        <row r="2666">
          <cell r="K2666">
            <v>0</v>
          </cell>
          <cell r="M2666">
            <v>0</v>
          </cell>
          <cell r="P2666">
            <v>0</v>
          </cell>
        </row>
        <row r="2667">
          <cell r="K2667">
            <v>0</v>
          </cell>
          <cell r="M2667">
            <v>0</v>
          </cell>
          <cell r="P2667">
            <v>0</v>
          </cell>
        </row>
        <row r="2668">
          <cell r="K2668">
            <v>0</v>
          </cell>
          <cell r="M2668">
            <v>0</v>
          </cell>
          <cell r="P2668">
            <v>0</v>
          </cell>
        </row>
        <row r="2669">
          <cell r="K2669">
            <v>0</v>
          </cell>
          <cell r="M2669">
            <v>0</v>
          </cell>
          <cell r="P2669">
            <v>0</v>
          </cell>
        </row>
        <row r="2670">
          <cell r="K2670">
            <v>0</v>
          </cell>
          <cell r="M2670">
            <v>0</v>
          </cell>
          <cell r="P2670">
            <v>0</v>
          </cell>
        </row>
        <row r="2671">
          <cell r="K2671">
            <v>0</v>
          </cell>
          <cell r="M2671">
            <v>0</v>
          </cell>
          <cell r="P2671">
            <v>0</v>
          </cell>
        </row>
        <row r="2672">
          <cell r="K2672">
            <v>0</v>
          </cell>
          <cell r="M2672">
            <v>0</v>
          </cell>
          <cell r="P2672">
            <v>0</v>
          </cell>
        </row>
        <row r="2673">
          <cell r="K2673">
            <v>0</v>
          </cell>
          <cell r="M2673">
            <v>0</v>
          </cell>
          <cell r="P2673">
            <v>0</v>
          </cell>
        </row>
        <row r="2674">
          <cell r="K2674">
            <v>0</v>
          </cell>
          <cell r="M2674">
            <v>0</v>
          </cell>
          <cell r="P2674">
            <v>0</v>
          </cell>
        </row>
        <row r="2675">
          <cell r="K2675">
            <v>0</v>
          </cell>
          <cell r="M2675">
            <v>0</v>
          </cell>
          <cell r="P2675">
            <v>0</v>
          </cell>
        </row>
        <row r="2676">
          <cell r="K2676">
            <v>0</v>
          </cell>
          <cell r="M2676">
            <v>0</v>
          </cell>
          <cell r="P2676">
            <v>0</v>
          </cell>
        </row>
        <row r="2677">
          <cell r="K2677">
            <v>0</v>
          </cell>
          <cell r="M2677">
            <v>0</v>
          </cell>
          <cell r="P2677">
            <v>0</v>
          </cell>
        </row>
        <row r="2678">
          <cell r="K2678">
            <v>0</v>
          </cell>
          <cell r="M2678">
            <v>0</v>
          </cell>
          <cell r="P2678">
            <v>0</v>
          </cell>
        </row>
        <row r="2679">
          <cell r="K2679">
            <v>0</v>
          </cell>
          <cell r="M2679">
            <v>0</v>
          </cell>
          <cell r="P2679">
            <v>0</v>
          </cell>
        </row>
        <row r="2680">
          <cell r="K2680">
            <v>0</v>
          </cell>
          <cell r="M2680">
            <v>0</v>
          </cell>
          <cell r="P2680">
            <v>0</v>
          </cell>
        </row>
        <row r="2681">
          <cell r="K2681">
            <v>0</v>
          </cell>
          <cell r="M2681">
            <v>0</v>
          </cell>
          <cell r="P2681">
            <v>0</v>
          </cell>
        </row>
        <row r="2682">
          <cell r="K2682">
            <v>0</v>
          </cell>
          <cell r="M2682">
            <v>0</v>
          </cell>
          <cell r="P2682">
            <v>0</v>
          </cell>
        </row>
        <row r="2683">
          <cell r="K2683">
            <v>0</v>
          </cell>
          <cell r="M2683">
            <v>0</v>
          </cell>
          <cell r="P2683">
            <v>0</v>
          </cell>
        </row>
        <row r="2684">
          <cell r="K2684">
            <v>0</v>
          </cell>
          <cell r="M2684">
            <v>0</v>
          </cell>
          <cell r="P2684">
            <v>0</v>
          </cell>
        </row>
        <row r="2685">
          <cell r="K2685">
            <v>0</v>
          </cell>
          <cell r="M2685">
            <v>0</v>
          </cell>
          <cell r="P2685">
            <v>0</v>
          </cell>
        </row>
        <row r="2686">
          <cell r="K2686">
            <v>0</v>
          </cell>
          <cell r="M2686">
            <v>0</v>
          </cell>
          <cell r="P2686">
            <v>0</v>
          </cell>
        </row>
        <row r="2687">
          <cell r="K2687">
            <v>0</v>
          </cell>
          <cell r="M2687">
            <v>0</v>
          </cell>
          <cell r="P2687">
            <v>0</v>
          </cell>
        </row>
        <row r="2688">
          <cell r="K2688">
            <v>0</v>
          </cell>
          <cell r="M2688">
            <v>0</v>
          </cell>
          <cell r="P2688">
            <v>0</v>
          </cell>
        </row>
        <row r="2689">
          <cell r="K2689">
            <v>0</v>
          </cell>
          <cell r="M2689">
            <v>0</v>
          </cell>
          <cell r="P2689">
            <v>0</v>
          </cell>
        </row>
        <row r="2690">
          <cell r="K2690">
            <v>0</v>
          </cell>
          <cell r="M2690">
            <v>0</v>
          </cell>
          <cell r="P2690">
            <v>0</v>
          </cell>
        </row>
        <row r="2691">
          <cell r="K2691">
            <v>0</v>
          </cell>
          <cell r="M2691">
            <v>0</v>
          </cell>
          <cell r="P2691">
            <v>0</v>
          </cell>
        </row>
        <row r="2692">
          <cell r="K2692">
            <v>0</v>
          </cell>
          <cell r="M2692">
            <v>0</v>
          </cell>
          <cell r="P2692">
            <v>0</v>
          </cell>
        </row>
        <row r="2693">
          <cell r="K2693">
            <v>0</v>
          </cell>
          <cell r="M2693">
            <v>0</v>
          </cell>
          <cell r="P2693">
            <v>0</v>
          </cell>
        </row>
        <row r="2694">
          <cell r="K2694">
            <v>0</v>
          </cell>
          <cell r="M2694">
            <v>0</v>
          </cell>
          <cell r="P2694">
            <v>0</v>
          </cell>
        </row>
        <row r="2695">
          <cell r="K2695">
            <v>0</v>
          </cell>
          <cell r="M2695">
            <v>0</v>
          </cell>
          <cell r="P2695">
            <v>0</v>
          </cell>
        </row>
        <row r="2696">
          <cell r="K2696">
            <v>0</v>
          </cell>
          <cell r="M2696">
            <v>0</v>
          </cell>
          <cell r="P2696">
            <v>0</v>
          </cell>
        </row>
        <row r="2697">
          <cell r="K2697">
            <v>0</v>
          </cell>
          <cell r="M2697">
            <v>0</v>
          </cell>
          <cell r="P2697">
            <v>0</v>
          </cell>
        </row>
        <row r="2698">
          <cell r="K2698">
            <v>0</v>
          </cell>
          <cell r="M2698">
            <v>0</v>
          </cell>
          <cell r="P2698">
            <v>0</v>
          </cell>
        </row>
        <row r="2699">
          <cell r="K2699">
            <v>0</v>
          </cell>
          <cell r="M2699">
            <v>0</v>
          </cell>
          <cell r="P2699">
            <v>0</v>
          </cell>
        </row>
        <row r="2700">
          <cell r="K2700">
            <v>0</v>
          </cell>
          <cell r="M2700">
            <v>0</v>
          </cell>
          <cell r="P2700">
            <v>0</v>
          </cell>
        </row>
        <row r="2701">
          <cell r="K2701">
            <v>0</v>
          </cell>
          <cell r="M2701">
            <v>0</v>
          </cell>
          <cell r="P2701">
            <v>0</v>
          </cell>
        </row>
        <row r="2702">
          <cell r="K2702">
            <v>0</v>
          </cell>
          <cell r="M2702">
            <v>0</v>
          </cell>
          <cell r="P2702">
            <v>0</v>
          </cell>
        </row>
        <row r="2703">
          <cell r="K2703">
            <v>0</v>
          </cell>
          <cell r="M2703">
            <v>0</v>
          </cell>
          <cell r="P2703">
            <v>0</v>
          </cell>
        </row>
        <row r="2704">
          <cell r="K2704">
            <v>0</v>
          </cell>
          <cell r="M2704">
            <v>0</v>
          </cell>
          <cell r="P2704">
            <v>0</v>
          </cell>
        </row>
        <row r="2705">
          <cell r="K2705">
            <v>0</v>
          </cell>
          <cell r="M2705">
            <v>0</v>
          </cell>
          <cell r="P2705">
            <v>0</v>
          </cell>
        </row>
        <row r="2706">
          <cell r="K2706">
            <v>0</v>
          </cell>
          <cell r="M2706">
            <v>0</v>
          </cell>
          <cell r="P2706">
            <v>0</v>
          </cell>
        </row>
        <row r="2707">
          <cell r="K2707">
            <v>0</v>
          </cell>
          <cell r="M2707">
            <v>0</v>
          </cell>
          <cell r="P2707">
            <v>0</v>
          </cell>
        </row>
        <row r="2708">
          <cell r="K2708">
            <v>0</v>
          </cell>
          <cell r="M2708">
            <v>0</v>
          </cell>
          <cell r="P2708">
            <v>0</v>
          </cell>
        </row>
        <row r="2709">
          <cell r="K2709">
            <v>0</v>
          </cell>
          <cell r="M2709">
            <v>0</v>
          </cell>
          <cell r="P2709">
            <v>0</v>
          </cell>
        </row>
        <row r="2710">
          <cell r="K2710">
            <v>0</v>
          </cell>
          <cell r="M2710">
            <v>0</v>
          </cell>
          <cell r="P2710">
            <v>0</v>
          </cell>
        </row>
        <row r="2711">
          <cell r="K2711">
            <v>0</v>
          </cell>
          <cell r="M2711">
            <v>0</v>
          </cell>
          <cell r="P2711">
            <v>0</v>
          </cell>
        </row>
        <row r="2712">
          <cell r="K2712">
            <v>0</v>
          </cell>
          <cell r="M2712">
            <v>0</v>
          </cell>
          <cell r="P2712">
            <v>0</v>
          </cell>
        </row>
        <row r="2713">
          <cell r="K2713">
            <v>0</v>
          </cell>
          <cell r="M2713">
            <v>0</v>
          </cell>
          <cell r="P2713">
            <v>0</v>
          </cell>
        </row>
        <row r="2714">
          <cell r="K2714">
            <v>0</v>
          </cell>
          <cell r="M2714">
            <v>0</v>
          </cell>
          <cell r="P2714">
            <v>0</v>
          </cell>
        </row>
        <row r="2715">
          <cell r="K2715">
            <v>0</v>
          </cell>
          <cell r="M2715">
            <v>0</v>
          </cell>
          <cell r="P2715">
            <v>0</v>
          </cell>
        </row>
        <row r="2716">
          <cell r="K2716">
            <v>0</v>
          </cell>
          <cell r="M2716">
            <v>0</v>
          </cell>
          <cell r="P2716">
            <v>0</v>
          </cell>
        </row>
        <row r="2717">
          <cell r="K2717">
            <v>0</v>
          </cell>
          <cell r="M2717">
            <v>0</v>
          </cell>
          <cell r="P2717">
            <v>0</v>
          </cell>
        </row>
        <row r="2718">
          <cell r="K2718">
            <v>0</v>
          </cell>
          <cell r="M2718">
            <v>0</v>
          </cell>
          <cell r="P2718">
            <v>0</v>
          </cell>
        </row>
        <row r="2719">
          <cell r="K2719">
            <v>0</v>
          </cell>
          <cell r="M2719">
            <v>0</v>
          </cell>
          <cell r="P2719">
            <v>0</v>
          </cell>
        </row>
        <row r="2720">
          <cell r="K2720">
            <v>0</v>
          </cell>
          <cell r="M2720">
            <v>0</v>
          </cell>
          <cell r="P2720">
            <v>0</v>
          </cell>
        </row>
        <row r="2721">
          <cell r="K2721">
            <v>0</v>
          </cell>
          <cell r="M2721">
            <v>0</v>
          </cell>
          <cell r="P2721">
            <v>0</v>
          </cell>
        </row>
        <row r="2722">
          <cell r="K2722">
            <v>0</v>
          </cell>
          <cell r="M2722">
            <v>0</v>
          </cell>
          <cell r="P2722">
            <v>0</v>
          </cell>
        </row>
        <row r="2723">
          <cell r="K2723">
            <v>0</v>
          </cell>
          <cell r="M2723">
            <v>0</v>
          </cell>
          <cell r="P2723">
            <v>0</v>
          </cell>
        </row>
        <row r="2724">
          <cell r="K2724">
            <v>0</v>
          </cell>
          <cell r="M2724">
            <v>0</v>
          </cell>
          <cell r="P2724">
            <v>0</v>
          </cell>
        </row>
        <row r="2725">
          <cell r="K2725">
            <v>0</v>
          </cell>
          <cell r="M2725">
            <v>0</v>
          </cell>
          <cell r="P2725">
            <v>0</v>
          </cell>
        </row>
        <row r="2726">
          <cell r="K2726">
            <v>0</v>
          </cell>
          <cell r="M2726">
            <v>0</v>
          </cell>
          <cell r="P2726">
            <v>0</v>
          </cell>
        </row>
        <row r="2727">
          <cell r="K2727">
            <v>0</v>
          </cell>
          <cell r="M2727">
            <v>0</v>
          </cell>
          <cell r="P2727">
            <v>0</v>
          </cell>
        </row>
        <row r="2728">
          <cell r="K2728">
            <v>0</v>
          </cell>
          <cell r="M2728">
            <v>0</v>
          </cell>
          <cell r="P2728">
            <v>0</v>
          </cell>
        </row>
        <row r="2729">
          <cell r="K2729">
            <v>0</v>
          </cell>
          <cell r="M2729">
            <v>0</v>
          </cell>
          <cell r="P2729">
            <v>0</v>
          </cell>
        </row>
        <row r="2730">
          <cell r="K2730">
            <v>0</v>
          </cell>
          <cell r="M2730">
            <v>0</v>
          </cell>
          <cell r="P2730">
            <v>0</v>
          </cell>
        </row>
        <row r="2731">
          <cell r="K2731">
            <v>0</v>
          </cell>
          <cell r="M2731">
            <v>0</v>
          </cell>
          <cell r="P2731">
            <v>0</v>
          </cell>
        </row>
        <row r="2732">
          <cell r="K2732">
            <v>0</v>
          </cell>
          <cell r="M2732">
            <v>0</v>
          </cell>
          <cell r="P2732">
            <v>0</v>
          </cell>
        </row>
        <row r="2733">
          <cell r="K2733">
            <v>0</v>
          </cell>
          <cell r="M2733">
            <v>0</v>
          </cell>
          <cell r="P2733">
            <v>0</v>
          </cell>
        </row>
        <row r="2734">
          <cell r="K2734">
            <v>0</v>
          </cell>
          <cell r="M2734">
            <v>0</v>
          </cell>
          <cell r="P2734">
            <v>0</v>
          </cell>
        </row>
        <row r="2735">
          <cell r="K2735">
            <v>0</v>
          </cell>
          <cell r="M2735">
            <v>0</v>
          </cell>
          <cell r="P2735">
            <v>0</v>
          </cell>
        </row>
        <row r="2736">
          <cell r="K2736">
            <v>0</v>
          </cell>
          <cell r="M2736">
            <v>0</v>
          </cell>
          <cell r="P2736">
            <v>0</v>
          </cell>
        </row>
        <row r="2737">
          <cell r="K2737">
            <v>0</v>
          </cell>
          <cell r="M2737">
            <v>0</v>
          </cell>
          <cell r="P2737">
            <v>0</v>
          </cell>
        </row>
        <row r="2738">
          <cell r="K2738">
            <v>0</v>
          </cell>
          <cell r="M2738">
            <v>0</v>
          </cell>
          <cell r="P2738">
            <v>0</v>
          </cell>
        </row>
        <row r="2739">
          <cell r="K2739">
            <v>0</v>
          </cell>
          <cell r="M2739">
            <v>0</v>
          </cell>
          <cell r="P2739">
            <v>0</v>
          </cell>
        </row>
        <row r="2740">
          <cell r="K2740">
            <v>0</v>
          </cell>
          <cell r="M2740">
            <v>0</v>
          </cell>
          <cell r="P2740">
            <v>0</v>
          </cell>
        </row>
        <row r="2741">
          <cell r="K2741">
            <v>0</v>
          </cell>
          <cell r="M2741">
            <v>0</v>
          </cell>
          <cell r="P2741">
            <v>0</v>
          </cell>
        </row>
        <row r="2742">
          <cell r="K2742">
            <v>0</v>
          </cell>
          <cell r="M2742">
            <v>0</v>
          </cell>
          <cell r="P2742">
            <v>0</v>
          </cell>
        </row>
        <row r="2743">
          <cell r="K2743">
            <v>0</v>
          </cell>
          <cell r="M2743">
            <v>0</v>
          </cell>
          <cell r="P2743">
            <v>0</v>
          </cell>
        </row>
        <row r="2744">
          <cell r="K2744">
            <v>0</v>
          </cell>
          <cell r="M2744">
            <v>0</v>
          </cell>
          <cell r="P2744">
            <v>0</v>
          </cell>
        </row>
        <row r="2745">
          <cell r="K2745">
            <v>0</v>
          </cell>
          <cell r="M2745">
            <v>0</v>
          </cell>
          <cell r="P2745">
            <v>0</v>
          </cell>
        </row>
        <row r="2746">
          <cell r="K2746">
            <v>0</v>
          </cell>
          <cell r="M2746">
            <v>0</v>
          </cell>
          <cell r="P2746">
            <v>0</v>
          </cell>
        </row>
        <row r="2747">
          <cell r="K2747">
            <v>0</v>
          </cell>
          <cell r="M2747">
            <v>0</v>
          </cell>
          <cell r="P2747">
            <v>0</v>
          </cell>
        </row>
        <row r="2748">
          <cell r="K2748">
            <v>0</v>
          </cell>
          <cell r="M2748">
            <v>0</v>
          </cell>
          <cell r="P2748">
            <v>0</v>
          </cell>
        </row>
        <row r="2749">
          <cell r="K2749">
            <v>0</v>
          </cell>
          <cell r="M2749">
            <v>0</v>
          </cell>
          <cell r="P2749">
            <v>0</v>
          </cell>
        </row>
        <row r="2750">
          <cell r="K2750">
            <v>0</v>
          </cell>
          <cell r="M2750">
            <v>0</v>
          </cell>
          <cell r="P2750">
            <v>0</v>
          </cell>
        </row>
        <row r="2751">
          <cell r="K2751">
            <v>0</v>
          </cell>
          <cell r="M2751">
            <v>0</v>
          </cell>
          <cell r="P2751">
            <v>0</v>
          </cell>
        </row>
        <row r="2752">
          <cell r="K2752">
            <v>0</v>
          </cell>
          <cell r="M2752">
            <v>0</v>
          </cell>
          <cell r="P2752">
            <v>0</v>
          </cell>
        </row>
        <row r="2753">
          <cell r="K2753">
            <v>0</v>
          </cell>
          <cell r="M2753">
            <v>0</v>
          </cell>
          <cell r="P2753">
            <v>0</v>
          </cell>
        </row>
        <row r="2754">
          <cell r="K2754">
            <v>0</v>
          </cell>
          <cell r="M2754">
            <v>0</v>
          </cell>
          <cell r="P2754">
            <v>0</v>
          </cell>
        </row>
        <row r="2755">
          <cell r="K2755">
            <v>0</v>
          </cell>
          <cell r="M2755">
            <v>0</v>
          </cell>
          <cell r="P2755">
            <v>0</v>
          </cell>
        </row>
        <row r="2756">
          <cell r="K2756">
            <v>0</v>
          </cell>
          <cell r="M2756">
            <v>0</v>
          </cell>
          <cell r="P2756">
            <v>0</v>
          </cell>
        </row>
        <row r="2757">
          <cell r="K2757">
            <v>0</v>
          </cell>
          <cell r="M2757">
            <v>0</v>
          </cell>
          <cell r="P2757">
            <v>0</v>
          </cell>
        </row>
        <row r="2758">
          <cell r="K2758">
            <v>0</v>
          </cell>
          <cell r="M2758">
            <v>0</v>
          </cell>
          <cell r="P2758">
            <v>0</v>
          </cell>
        </row>
        <row r="2759">
          <cell r="K2759">
            <v>0</v>
          </cell>
          <cell r="M2759">
            <v>0</v>
          </cell>
          <cell r="P2759">
            <v>0</v>
          </cell>
        </row>
        <row r="2760">
          <cell r="K2760">
            <v>0</v>
          </cell>
          <cell r="M2760">
            <v>0</v>
          </cell>
          <cell r="P2760">
            <v>0</v>
          </cell>
        </row>
        <row r="2761">
          <cell r="K2761">
            <v>0</v>
          </cell>
          <cell r="M2761">
            <v>0</v>
          </cell>
          <cell r="P2761">
            <v>0</v>
          </cell>
        </row>
        <row r="2762">
          <cell r="K2762">
            <v>0</v>
          </cell>
          <cell r="M2762">
            <v>0</v>
          </cell>
          <cell r="P2762">
            <v>0</v>
          </cell>
        </row>
        <row r="2763">
          <cell r="K2763">
            <v>0</v>
          </cell>
          <cell r="M2763">
            <v>0</v>
          </cell>
          <cell r="P2763">
            <v>0</v>
          </cell>
        </row>
        <row r="2764">
          <cell r="K2764">
            <v>0</v>
          </cell>
          <cell r="M2764">
            <v>0</v>
          </cell>
          <cell r="P2764">
            <v>0</v>
          </cell>
        </row>
        <row r="2765">
          <cell r="K2765">
            <v>0</v>
          </cell>
          <cell r="M2765">
            <v>0</v>
          </cell>
          <cell r="P2765">
            <v>0</v>
          </cell>
        </row>
        <row r="2766">
          <cell r="K2766">
            <v>0</v>
          </cell>
          <cell r="M2766">
            <v>0</v>
          </cell>
          <cell r="P2766">
            <v>0</v>
          </cell>
        </row>
        <row r="2767">
          <cell r="K2767">
            <v>0</v>
          </cell>
          <cell r="M2767">
            <v>0</v>
          </cell>
          <cell r="P2767">
            <v>0</v>
          </cell>
        </row>
        <row r="2768">
          <cell r="K2768">
            <v>0</v>
          </cell>
          <cell r="M2768">
            <v>0</v>
          </cell>
          <cell r="P2768">
            <v>0</v>
          </cell>
        </row>
        <row r="2769">
          <cell r="K2769">
            <v>0</v>
          </cell>
          <cell r="M2769">
            <v>0</v>
          </cell>
          <cell r="P2769">
            <v>0</v>
          </cell>
        </row>
        <row r="2770">
          <cell r="K2770">
            <v>0</v>
          </cell>
          <cell r="M2770">
            <v>0</v>
          </cell>
          <cell r="P2770">
            <v>0</v>
          </cell>
        </row>
        <row r="2771">
          <cell r="K2771">
            <v>0</v>
          </cell>
          <cell r="M2771">
            <v>0</v>
          </cell>
          <cell r="P2771">
            <v>0</v>
          </cell>
        </row>
        <row r="2772">
          <cell r="K2772">
            <v>0</v>
          </cell>
          <cell r="M2772">
            <v>0</v>
          </cell>
          <cell r="P2772">
            <v>0</v>
          </cell>
        </row>
        <row r="2773">
          <cell r="K2773">
            <v>0</v>
          </cell>
          <cell r="M2773">
            <v>0</v>
          </cell>
          <cell r="P2773">
            <v>0</v>
          </cell>
        </row>
        <row r="2774">
          <cell r="K2774">
            <v>0</v>
          </cell>
          <cell r="M2774">
            <v>0</v>
          </cell>
          <cell r="P2774">
            <v>0</v>
          </cell>
        </row>
        <row r="2775">
          <cell r="K2775">
            <v>0</v>
          </cell>
          <cell r="M2775">
            <v>0</v>
          </cell>
          <cell r="P2775">
            <v>0</v>
          </cell>
        </row>
        <row r="2776">
          <cell r="K2776">
            <v>0</v>
          </cell>
          <cell r="M2776">
            <v>0</v>
          </cell>
          <cell r="P2776">
            <v>0</v>
          </cell>
        </row>
        <row r="2777">
          <cell r="K2777">
            <v>0</v>
          </cell>
          <cell r="M2777">
            <v>0</v>
          </cell>
          <cell r="P2777">
            <v>0</v>
          </cell>
        </row>
        <row r="2778">
          <cell r="K2778">
            <v>0</v>
          </cell>
          <cell r="M2778">
            <v>0</v>
          </cell>
          <cell r="P2778">
            <v>0</v>
          </cell>
        </row>
        <row r="2779">
          <cell r="K2779">
            <v>0</v>
          </cell>
          <cell r="M2779">
            <v>0</v>
          </cell>
          <cell r="P2779">
            <v>0</v>
          </cell>
        </row>
        <row r="2780">
          <cell r="K2780">
            <v>0</v>
          </cell>
          <cell r="M2780">
            <v>0</v>
          </cell>
          <cell r="P2780">
            <v>0</v>
          </cell>
        </row>
        <row r="2781">
          <cell r="K2781">
            <v>0</v>
          </cell>
          <cell r="M2781">
            <v>0</v>
          </cell>
          <cell r="P2781">
            <v>0</v>
          </cell>
        </row>
        <row r="2782">
          <cell r="K2782">
            <v>0</v>
          </cell>
          <cell r="M2782">
            <v>0</v>
          </cell>
          <cell r="P2782">
            <v>0</v>
          </cell>
        </row>
        <row r="2783">
          <cell r="K2783">
            <v>0</v>
          </cell>
          <cell r="M2783">
            <v>0</v>
          </cell>
          <cell r="P2783">
            <v>0</v>
          </cell>
        </row>
        <row r="2784">
          <cell r="K2784">
            <v>0</v>
          </cell>
          <cell r="M2784">
            <v>0</v>
          </cell>
          <cell r="P2784">
            <v>0</v>
          </cell>
        </row>
        <row r="2785">
          <cell r="K2785">
            <v>0</v>
          </cell>
          <cell r="M2785">
            <v>0</v>
          </cell>
          <cell r="P2785">
            <v>0</v>
          </cell>
        </row>
        <row r="2786">
          <cell r="K2786">
            <v>0</v>
          </cell>
          <cell r="M2786">
            <v>0</v>
          </cell>
          <cell r="P2786">
            <v>0</v>
          </cell>
        </row>
        <row r="2787">
          <cell r="K2787">
            <v>0</v>
          </cell>
          <cell r="M2787">
            <v>0</v>
          </cell>
          <cell r="P2787">
            <v>0</v>
          </cell>
        </row>
        <row r="2788">
          <cell r="K2788">
            <v>0</v>
          </cell>
          <cell r="M2788">
            <v>0</v>
          </cell>
          <cell r="P2788">
            <v>0</v>
          </cell>
        </row>
        <row r="2789">
          <cell r="K2789">
            <v>0</v>
          </cell>
          <cell r="M2789">
            <v>0</v>
          </cell>
          <cell r="P2789">
            <v>0</v>
          </cell>
        </row>
        <row r="2790">
          <cell r="K2790">
            <v>0</v>
          </cell>
          <cell r="M2790">
            <v>0</v>
          </cell>
          <cell r="P2790">
            <v>0</v>
          </cell>
        </row>
        <row r="2791">
          <cell r="K2791">
            <v>0</v>
          </cell>
          <cell r="M2791">
            <v>0</v>
          </cell>
          <cell r="P2791">
            <v>0</v>
          </cell>
        </row>
        <row r="2792">
          <cell r="K2792">
            <v>0</v>
          </cell>
          <cell r="M2792">
            <v>0</v>
          </cell>
          <cell r="P2792">
            <v>0</v>
          </cell>
        </row>
        <row r="2793">
          <cell r="K2793">
            <v>0</v>
          </cell>
          <cell r="M2793">
            <v>0</v>
          </cell>
          <cell r="P2793">
            <v>0</v>
          </cell>
        </row>
        <row r="2794">
          <cell r="K2794">
            <v>0</v>
          </cell>
          <cell r="M2794">
            <v>0</v>
          </cell>
          <cell r="P2794">
            <v>0</v>
          </cell>
        </row>
        <row r="2795">
          <cell r="K2795">
            <v>0</v>
          </cell>
          <cell r="M2795">
            <v>0</v>
          </cell>
          <cell r="P2795">
            <v>0</v>
          </cell>
        </row>
        <row r="2796">
          <cell r="K2796">
            <v>0</v>
          </cell>
          <cell r="M2796">
            <v>0</v>
          </cell>
          <cell r="P2796">
            <v>0</v>
          </cell>
        </row>
        <row r="2797">
          <cell r="K2797">
            <v>0</v>
          </cell>
          <cell r="M2797">
            <v>0</v>
          </cell>
          <cell r="P2797">
            <v>0</v>
          </cell>
        </row>
        <row r="2798">
          <cell r="K2798">
            <v>0</v>
          </cell>
          <cell r="M2798">
            <v>0</v>
          </cell>
          <cell r="P2798">
            <v>0</v>
          </cell>
        </row>
        <row r="2799">
          <cell r="K2799">
            <v>0</v>
          </cell>
          <cell r="M2799">
            <v>0</v>
          </cell>
          <cell r="P2799">
            <v>0</v>
          </cell>
        </row>
        <row r="2800">
          <cell r="K2800">
            <v>0</v>
          </cell>
          <cell r="M2800">
            <v>0</v>
          </cell>
          <cell r="P2800">
            <v>0</v>
          </cell>
        </row>
        <row r="2801">
          <cell r="K2801">
            <v>0</v>
          </cell>
          <cell r="M2801">
            <v>0</v>
          </cell>
          <cell r="P2801">
            <v>0</v>
          </cell>
        </row>
        <row r="2802">
          <cell r="K2802">
            <v>0</v>
          </cell>
          <cell r="M2802">
            <v>0</v>
          </cell>
          <cell r="P2802">
            <v>0</v>
          </cell>
        </row>
        <row r="2803">
          <cell r="K2803">
            <v>0</v>
          </cell>
          <cell r="M2803">
            <v>0</v>
          </cell>
          <cell r="P2803">
            <v>0</v>
          </cell>
        </row>
        <row r="2804">
          <cell r="K2804">
            <v>0</v>
          </cell>
          <cell r="M2804">
            <v>0</v>
          </cell>
          <cell r="P2804">
            <v>0</v>
          </cell>
        </row>
        <row r="2805">
          <cell r="K2805">
            <v>0</v>
          </cell>
          <cell r="M2805">
            <v>0</v>
          </cell>
          <cell r="P2805">
            <v>0</v>
          </cell>
        </row>
        <row r="2806">
          <cell r="K2806">
            <v>0</v>
          </cell>
          <cell r="M2806">
            <v>0</v>
          </cell>
          <cell r="P2806">
            <v>0</v>
          </cell>
        </row>
        <row r="2807">
          <cell r="K2807">
            <v>0</v>
          </cell>
          <cell r="M2807">
            <v>0</v>
          </cell>
          <cell r="P2807">
            <v>0</v>
          </cell>
        </row>
        <row r="2808">
          <cell r="K2808">
            <v>0</v>
          </cell>
          <cell r="M2808">
            <v>0</v>
          </cell>
          <cell r="P2808">
            <v>0</v>
          </cell>
        </row>
        <row r="2809">
          <cell r="K2809">
            <v>0</v>
          </cell>
          <cell r="M2809">
            <v>0</v>
          </cell>
          <cell r="P2809">
            <v>0</v>
          </cell>
        </row>
        <row r="2810">
          <cell r="K2810">
            <v>0</v>
          </cell>
          <cell r="M2810">
            <v>0</v>
          </cell>
          <cell r="P2810">
            <v>0</v>
          </cell>
        </row>
        <row r="2811">
          <cell r="K2811">
            <v>0</v>
          </cell>
          <cell r="M2811">
            <v>0</v>
          </cell>
          <cell r="P2811">
            <v>0</v>
          </cell>
        </row>
        <row r="2812">
          <cell r="K2812">
            <v>0</v>
          </cell>
          <cell r="M2812">
            <v>0</v>
          </cell>
          <cell r="P2812">
            <v>0</v>
          </cell>
        </row>
        <row r="2813">
          <cell r="K2813">
            <v>0</v>
          </cell>
          <cell r="M2813">
            <v>0</v>
          </cell>
          <cell r="P2813">
            <v>0</v>
          </cell>
        </row>
        <row r="2814">
          <cell r="K2814">
            <v>0</v>
          </cell>
          <cell r="M2814">
            <v>0</v>
          </cell>
          <cell r="P2814">
            <v>0</v>
          </cell>
        </row>
        <row r="2815">
          <cell r="K2815">
            <v>0</v>
          </cell>
          <cell r="M2815">
            <v>0</v>
          </cell>
          <cell r="P2815">
            <v>0</v>
          </cell>
        </row>
        <row r="2816">
          <cell r="K2816">
            <v>0</v>
          </cell>
          <cell r="M2816">
            <v>0</v>
          </cell>
          <cell r="P2816">
            <v>0</v>
          </cell>
        </row>
        <row r="2817">
          <cell r="K2817">
            <v>0</v>
          </cell>
          <cell r="M2817">
            <v>0</v>
          </cell>
          <cell r="P2817">
            <v>0</v>
          </cell>
        </row>
        <row r="2818">
          <cell r="K2818">
            <v>0</v>
          </cell>
          <cell r="M2818">
            <v>0</v>
          </cell>
          <cell r="P2818">
            <v>0</v>
          </cell>
        </row>
        <row r="2819">
          <cell r="K2819">
            <v>0</v>
          </cell>
          <cell r="M2819">
            <v>0</v>
          </cell>
          <cell r="P2819">
            <v>0</v>
          </cell>
        </row>
        <row r="2820">
          <cell r="K2820">
            <v>0</v>
          </cell>
          <cell r="M2820">
            <v>0</v>
          </cell>
          <cell r="P2820">
            <v>0</v>
          </cell>
        </row>
        <row r="2821">
          <cell r="K2821">
            <v>0</v>
          </cell>
          <cell r="M2821">
            <v>0</v>
          </cell>
          <cell r="P2821">
            <v>0</v>
          </cell>
        </row>
        <row r="2822">
          <cell r="K2822">
            <v>0</v>
          </cell>
          <cell r="M2822">
            <v>0</v>
          </cell>
          <cell r="P2822">
            <v>0</v>
          </cell>
        </row>
        <row r="2823">
          <cell r="K2823">
            <v>0</v>
          </cell>
          <cell r="M2823">
            <v>0</v>
          </cell>
          <cell r="P2823">
            <v>0</v>
          </cell>
        </row>
        <row r="2824">
          <cell r="K2824">
            <v>0</v>
          </cell>
          <cell r="M2824">
            <v>0</v>
          </cell>
          <cell r="P2824">
            <v>0</v>
          </cell>
        </row>
        <row r="2825">
          <cell r="K2825">
            <v>0</v>
          </cell>
          <cell r="M2825">
            <v>0</v>
          </cell>
          <cell r="P2825">
            <v>0</v>
          </cell>
        </row>
        <row r="2826">
          <cell r="K2826">
            <v>0</v>
          </cell>
          <cell r="M2826">
            <v>0</v>
          </cell>
          <cell r="P2826">
            <v>0</v>
          </cell>
        </row>
        <row r="2827">
          <cell r="K2827">
            <v>0</v>
          </cell>
          <cell r="M2827">
            <v>0</v>
          </cell>
          <cell r="P2827">
            <v>0</v>
          </cell>
        </row>
        <row r="2828">
          <cell r="K2828">
            <v>0</v>
          </cell>
          <cell r="M2828">
            <v>0</v>
          </cell>
          <cell r="P2828">
            <v>0</v>
          </cell>
        </row>
        <row r="2829">
          <cell r="K2829">
            <v>0</v>
          </cell>
          <cell r="M2829">
            <v>0</v>
          </cell>
          <cell r="P2829">
            <v>0</v>
          </cell>
        </row>
        <row r="2830">
          <cell r="K2830">
            <v>0</v>
          </cell>
          <cell r="M2830">
            <v>0</v>
          </cell>
          <cell r="P2830">
            <v>0</v>
          </cell>
        </row>
        <row r="2831">
          <cell r="K2831">
            <v>0</v>
          </cell>
          <cell r="M2831">
            <v>0</v>
          </cell>
          <cell r="P2831">
            <v>0</v>
          </cell>
        </row>
        <row r="2832">
          <cell r="K2832">
            <v>0</v>
          </cell>
          <cell r="M2832">
            <v>0</v>
          </cell>
          <cell r="P2832">
            <v>0</v>
          </cell>
        </row>
        <row r="2833">
          <cell r="K2833">
            <v>0</v>
          </cell>
          <cell r="M2833">
            <v>0</v>
          </cell>
          <cell r="P2833">
            <v>0</v>
          </cell>
        </row>
        <row r="2834">
          <cell r="K2834">
            <v>0</v>
          </cell>
          <cell r="M2834">
            <v>0</v>
          </cell>
          <cell r="P2834">
            <v>0</v>
          </cell>
        </row>
        <row r="2835">
          <cell r="K2835">
            <v>0</v>
          </cell>
          <cell r="M2835">
            <v>0</v>
          </cell>
          <cell r="P2835">
            <v>0</v>
          </cell>
        </row>
        <row r="2836">
          <cell r="K2836">
            <v>0</v>
          </cell>
          <cell r="M2836">
            <v>0</v>
          </cell>
          <cell r="P2836">
            <v>0</v>
          </cell>
        </row>
        <row r="2837">
          <cell r="K2837">
            <v>0</v>
          </cell>
          <cell r="M2837">
            <v>0</v>
          </cell>
          <cell r="P2837">
            <v>0</v>
          </cell>
        </row>
        <row r="2838">
          <cell r="K2838">
            <v>0</v>
          </cell>
          <cell r="M2838">
            <v>0</v>
          </cell>
          <cell r="P2838">
            <v>0</v>
          </cell>
        </row>
        <row r="2839">
          <cell r="K2839">
            <v>0</v>
          </cell>
          <cell r="M2839">
            <v>0</v>
          </cell>
          <cell r="P2839">
            <v>0</v>
          </cell>
        </row>
        <row r="2840">
          <cell r="K2840">
            <v>0</v>
          </cell>
          <cell r="M2840">
            <v>0</v>
          </cell>
          <cell r="P2840">
            <v>0</v>
          </cell>
        </row>
        <row r="2841">
          <cell r="K2841">
            <v>0</v>
          </cell>
          <cell r="M2841">
            <v>0</v>
          </cell>
          <cell r="P2841">
            <v>0</v>
          </cell>
        </row>
        <row r="2842">
          <cell r="K2842">
            <v>0</v>
          </cell>
          <cell r="M2842">
            <v>0</v>
          </cell>
          <cell r="P2842">
            <v>0</v>
          </cell>
        </row>
        <row r="2843">
          <cell r="K2843">
            <v>0</v>
          </cell>
          <cell r="M2843">
            <v>0</v>
          </cell>
          <cell r="P2843">
            <v>0</v>
          </cell>
        </row>
        <row r="2844">
          <cell r="K2844">
            <v>0</v>
          </cell>
          <cell r="M2844">
            <v>0</v>
          </cell>
          <cell r="P2844">
            <v>0</v>
          </cell>
        </row>
        <row r="2845">
          <cell r="K2845">
            <v>0</v>
          </cell>
          <cell r="M2845">
            <v>0</v>
          </cell>
          <cell r="P2845">
            <v>0</v>
          </cell>
        </row>
        <row r="2846">
          <cell r="K2846">
            <v>0</v>
          </cell>
          <cell r="M2846">
            <v>0</v>
          </cell>
          <cell r="P2846">
            <v>0</v>
          </cell>
        </row>
        <row r="2847">
          <cell r="K2847">
            <v>0</v>
          </cell>
          <cell r="M2847">
            <v>0</v>
          </cell>
          <cell r="P2847">
            <v>0</v>
          </cell>
        </row>
        <row r="2848">
          <cell r="K2848">
            <v>0</v>
          </cell>
          <cell r="M2848">
            <v>0</v>
          </cell>
          <cell r="P2848">
            <v>0</v>
          </cell>
        </row>
        <row r="2849">
          <cell r="K2849">
            <v>0</v>
          </cell>
          <cell r="M2849">
            <v>0</v>
          </cell>
          <cell r="P2849">
            <v>0</v>
          </cell>
        </row>
        <row r="2850">
          <cell r="K2850">
            <v>0</v>
          </cell>
          <cell r="M2850">
            <v>0</v>
          </cell>
          <cell r="P2850">
            <v>0</v>
          </cell>
        </row>
        <row r="2851">
          <cell r="K2851">
            <v>0</v>
          </cell>
          <cell r="M2851">
            <v>0</v>
          </cell>
          <cell r="P2851">
            <v>0</v>
          </cell>
        </row>
        <row r="2852">
          <cell r="K2852">
            <v>0</v>
          </cell>
          <cell r="M2852">
            <v>0</v>
          </cell>
          <cell r="P2852">
            <v>0</v>
          </cell>
        </row>
        <row r="2853">
          <cell r="K2853">
            <v>0</v>
          </cell>
          <cell r="M2853">
            <v>0</v>
          </cell>
          <cell r="P2853">
            <v>0</v>
          </cell>
        </row>
        <row r="2854">
          <cell r="K2854">
            <v>0</v>
          </cell>
          <cell r="M2854">
            <v>0</v>
          </cell>
          <cell r="P2854">
            <v>0</v>
          </cell>
        </row>
        <row r="2855">
          <cell r="K2855">
            <v>0</v>
          </cell>
          <cell r="M2855">
            <v>0</v>
          </cell>
          <cell r="P2855">
            <v>0</v>
          </cell>
        </row>
        <row r="2856">
          <cell r="K2856">
            <v>0</v>
          </cell>
          <cell r="M2856">
            <v>0</v>
          </cell>
          <cell r="P2856">
            <v>0</v>
          </cell>
        </row>
        <row r="2857">
          <cell r="K2857">
            <v>0</v>
          </cell>
          <cell r="M2857">
            <v>0</v>
          </cell>
          <cell r="P2857">
            <v>0</v>
          </cell>
        </row>
        <row r="2858">
          <cell r="K2858">
            <v>0</v>
          </cell>
          <cell r="M2858">
            <v>0</v>
          </cell>
          <cell r="P2858">
            <v>0</v>
          </cell>
        </row>
        <row r="2859">
          <cell r="K2859">
            <v>0</v>
          </cell>
          <cell r="M2859">
            <v>0</v>
          </cell>
          <cell r="P2859">
            <v>0</v>
          </cell>
        </row>
        <row r="2860">
          <cell r="K2860">
            <v>0</v>
          </cell>
          <cell r="M2860">
            <v>0</v>
          </cell>
          <cell r="P2860">
            <v>0</v>
          </cell>
        </row>
        <row r="2861">
          <cell r="K2861">
            <v>0</v>
          </cell>
          <cell r="M2861">
            <v>0</v>
          </cell>
          <cell r="P2861">
            <v>0</v>
          </cell>
        </row>
        <row r="2862">
          <cell r="K2862">
            <v>0</v>
          </cell>
          <cell r="M2862">
            <v>0</v>
          </cell>
          <cell r="P2862">
            <v>0</v>
          </cell>
        </row>
        <row r="2863">
          <cell r="K2863">
            <v>0</v>
          </cell>
          <cell r="M2863">
            <v>0</v>
          </cell>
          <cell r="P2863">
            <v>0</v>
          </cell>
        </row>
        <row r="2864">
          <cell r="K2864">
            <v>0</v>
          </cell>
          <cell r="M2864">
            <v>0</v>
          </cell>
          <cell r="P2864">
            <v>0</v>
          </cell>
        </row>
        <row r="2865">
          <cell r="K2865">
            <v>0</v>
          </cell>
          <cell r="M2865">
            <v>0</v>
          </cell>
          <cell r="P2865">
            <v>0</v>
          </cell>
        </row>
        <row r="2866">
          <cell r="K2866">
            <v>0</v>
          </cell>
          <cell r="M2866">
            <v>0</v>
          </cell>
          <cell r="P2866">
            <v>0</v>
          </cell>
        </row>
        <row r="2867">
          <cell r="K2867">
            <v>0</v>
          </cell>
          <cell r="M2867">
            <v>0</v>
          </cell>
          <cell r="P2867">
            <v>0</v>
          </cell>
        </row>
        <row r="2868">
          <cell r="K2868">
            <v>0</v>
          </cell>
          <cell r="M2868">
            <v>0</v>
          </cell>
          <cell r="P2868">
            <v>0</v>
          </cell>
        </row>
        <row r="2869">
          <cell r="K2869">
            <v>0</v>
          </cell>
          <cell r="M2869">
            <v>0</v>
          </cell>
          <cell r="P2869">
            <v>0</v>
          </cell>
        </row>
        <row r="2870">
          <cell r="K2870">
            <v>0</v>
          </cell>
          <cell r="M2870">
            <v>0</v>
          </cell>
          <cell r="P2870">
            <v>0</v>
          </cell>
        </row>
        <row r="2871">
          <cell r="K2871">
            <v>0</v>
          </cell>
          <cell r="M2871">
            <v>0</v>
          </cell>
          <cell r="P2871">
            <v>0</v>
          </cell>
        </row>
        <row r="2872">
          <cell r="K2872">
            <v>0</v>
          </cell>
          <cell r="M2872">
            <v>0</v>
          </cell>
          <cell r="P2872">
            <v>0</v>
          </cell>
        </row>
        <row r="2873">
          <cell r="K2873">
            <v>0</v>
          </cell>
          <cell r="M2873">
            <v>0</v>
          </cell>
          <cell r="P2873">
            <v>0</v>
          </cell>
        </row>
        <row r="2874">
          <cell r="K2874">
            <v>0</v>
          </cell>
          <cell r="M2874">
            <v>0</v>
          </cell>
          <cell r="P2874">
            <v>0</v>
          </cell>
        </row>
        <row r="2875">
          <cell r="K2875">
            <v>0</v>
          </cell>
          <cell r="M2875">
            <v>0</v>
          </cell>
          <cell r="P2875">
            <v>0</v>
          </cell>
        </row>
        <row r="2876">
          <cell r="K2876">
            <v>0</v>
          </cell>
          <cell r="M2876">
            <v>0</v>
          </cell>
          <cell r="P2876">
            <v>0</v>
          </cell>
        </row>
        <row r="2877">
          <cell r="K2877">
            <v>0</v>
          </cell>
          <cell r="M2877">
            <v>0</v>
          </cell>
          <cell r="P2877">
            <v>0</v>
          </cell>
        </row>
        <row r="2878">
          <cell r="K2878">
            <v>0</v>
          </cell>
          <cell r="M2878">
            <v>0</v>
          </cell>
          <cell r="P2878">
            <v>0</v>
          </cell>
        </row>
        <row r="2879">
          <cell r="K2879">
            <v>0</v>
          </cell>
          <cell r="M2879">
            <v>0</v>
          </cell>
          <cell r="P2879">
            <v>0</v>
          </cell>
        </row>
        <row r="2880">
          <cell r="K2880">
            <v>0</v>
          </cell>
          <cell r="M2880">
            <v>0</v>
          </cell>
          <cell r="P2880">
            <v>0</v>
          </cell>
        </row>
        <row r="2881">
          <cell r="K2881">
            <v>0</v>
          </cell>
          <cell r="M2881">
            <v>0</v>
          </cell>
          <cell r="P2881">
            <v>0</v>
          </cell>
        </row>
        <row r="2882">
          <cell r="K2882">
            <v>0</v>
          </cell>
          <cell r="M2882">
            <v>0</v>
          </cell>
          <cell r="P2882">
            <v>0</v>
          </cell>
        </row>
        <row r="2883">
          <cell r="K2883">
            <v>0</v>
          </cell>
          <cell r="M2883">
            <v>0</v>
          </cell>
          <cell r="P2883">
            <v>0</v>
          </cell>
        </row>
        <row r="2884">
          <cell r="K2884">
            <v>0</v>
          </cell>
          <cell r="M2884">
            <v>0</v>
          </cell>
          <cell r="P2884">
            <v>0</v>
          </cell>
        </row>
        <row r="2885">
          <cell r="K2885">
            <v>0</v>
          </cell>
          <cell r="M2885">
            <v>0</v>
          </cell>
          <cell r="P2885">
            <v>0</v>
          </cell>
        </row>
        <row r="2886">
          <cell r="K2886">
            <v>0</v>
          </cell>
          <cell r="M2886">
            <v>0</v>
          </cell>
          <cell r="P2886">
            <v>0</v>
          </cell>
        </row>
        <row r="2887">
          <cell r="K2887">
            <v>0</v>
          </cell>
          <cell r="M2887">
            <v>0</v>
          </cell>
          <cell r="P2887">
            <v>0</v>
          </cell>
        </row>
        <row r="2888">
          <cell r="K2888">
            <v>0</v>
          </cell>
          <cell r="M2888">
            <v>0</v>
          </cell>
          <cell r="P2888">
            <v>0</v>
          </cell>
        </row>
        <row r="2889">
          <cell r="K2889">
            <v>0</v>
          </cell>
          <cell r="M2889">
            <v>0</v>
          </cell>
          <cell r="P2889">
            <v>0</v>
          </cell>
        </row>
        <row r="2890">
          <cell r="K2890">
            <v>0</v>
          </cell>
          <cell r="M2890">
            <v>0</v>
          </cell>
          <cell r="P2890">
            <v>0</v>
          </cell>
        </row>
        <row r="2891">
          <cell r="K2891">
            <v>0</v>
          </cell>
          <cell r="M2891">
            <v>0</v>
          </cell>
          <cell r="P2891">
            <v>0</v>
          </cell>
        </row>
        <row r="2892">
          <cell r="K2892">
            <v>0</v>
          </cell>
          <cell r="M2892">
            <v>0</v>
          </cell>
          <cell r="P2892">
            <v>0</v>
          </cell>
        </row>
        <row r="2893">
          <cell r="K2893">
            <v>0</v>
          </cell>
          <cell r="M2893">
            <v>0</v>
          </cell>
          <cell r="P2893">
            <v>0</v>
          </cell>
        </row>
        <row r="2894">
          <cell r="K2894">
            <v>0</v>
          </cell>
          <cell r="M2894">
            <v>0</v>
          </cell>
          <cell r="P2894">
            <v>0</v>
          </cell>
        </row>
        <row r="2895">
          <cell r="K2895">
            <v>0</v>
          </cell>
          <cell r="M2895">
            <v>0</v>
          </cell>
          <cell r="P2895">
            <v>0</v>
          </cell>
        </row>
        <row r="2896">
          <cell r="K2896">
            <v>0</v>
          </cell>
          <cell r="M2896">
            <v>0</v>
          </cell>
          <cell r="P2896">
            <v>0</v>
          </cell>
        </row>
        <row r="2897">
          <cell r="K2897">
            <v>0</v>
          </cell>
          <cell r="M2897">
            <v>0</v>
          </cell>
          <cell r="P2897">
            <v>0</v>
          </cell>
        </row>
        <row r="2898">
          <cell r="K2898">
            <v>0</v>
          </cell>
          <cell r="M2898">
            <v>0</v>
          </cell>
          <cell r="P2898">
            <v>0</v>
          </cell>
        </row>
        <row r="2899">
          <cell r="K2899">
            <v>0</v>
          </cell>
          <cell r="M2899">
            <v>0</v>
          </cell>
          <cell r="P2899">
            <v>0</v>
          </cell>
        </row>
        <row r="2900">
          <cell r="K2900">
            <v>0</v>
          </cell>
          <cell r="M2900">
            <v>0</v>
          </cell>
          <cell r="P2900">
            <v>0</v>
          </cell>
        </row>
        <row r="2901">
          <cell r="K2901">
            <v>0</v>
          </cell>
          <cell r="M2901">
            <v>0</v>
          </cell>
          <cell r="P2901">
            <v>0</v>
          </cell>
        </row>
        <row r="2902">
          <cell r="K2902">
            <v>0</v>
          </cell>
          <cell r="M2902">
            <v>0</v>
          </cell>
          <cell r="P2902">
            <v>0</v>
          </cell>
        </row>
        <row r="2903">
          <cell r="K2903">
            <v>0</v>
          </cell>
          <cell r="M2903">
            <v>0</v>
          </cell>
          <cell r="P2903">
            <v>0</v>
          </cell>
        </row>
        <row r="2904">
          <cell r="K2904">
            <v>0</v>
          </cell>
          <cell r="M2904">
            <v>0</v>
          </cell>
          <cell r="P2904">
            <v>0</v>
          </cell>
        </row>
        <row r="2905">
          <cell r="K2905">
            <v>0</v>
          </cell>
          <cell r="M2905">
            <v>0</v>
          </cell>
          <cell r="P2905">
            <v>0</v>
          </cell>
        </row>
        <row r="2906">
          <cell r="K2906">
            <v>0</v>
          </cell>
          <cell r="M2906">
            <v>0</v>
          </cell>
          <cell r="P2906">
            <v>0</v>
          </cell>
        </row>
        <row r="2907">
          <cell r="K2907">
            <v>0</v>
          </cell>
          <cell r="M2907">
            <v>0</v>
          </cell>
          <cell r="P2907">
            <v>0</v>
          </cell>
        </row>
        <row r="2908">
          <cell r="K2908">
            <v>0</v>
          </cell>
          <cell r="M2908">
            <v>0</v>
          </cell>
          <cell r="P2908">
            <v>0</v>
          </cell>
        </row>
        <row r="2909">
          <cell r="K2909">
            <v>0</v>
          </cell>
          <cell r="M2909">
            <v>0</v>
          </cell>
          <cell r="P2909">
            <v>0</v>
          </cell>
        </row>
        <row r="2910">
          <cell r="K2910">
            <v>0</v>
          </cell>
          <cell r="M2910">
            <v>0</v>
          </cell>
          <cell r="P2910">
            <v>0</v>
          </cell>
        </row>
        <row r="2911">
          <cell r="K2911">
            <v>0</v>
          </cell>
          <cell r="M2911">
            <v>0</v>
          </cell>
          <cell r="P2911">
            <v>0</v>
          </cell>
        </row>
        <row r="2912">
          <cell r="K2912">
            <v>0</v>
          </cell>
          <cell r="M2912">
            <v>0</v>
          </cell>
          <cell r="P2912">
            <v>0</v>
          </cell>
        </row>
        <row r="2913">
          <cell r="K2913">
            <v>0</v>
          </cell>
          <cell r="M2913">
            <v>0</v>
          </cell>
          <cell r="P2913">
            <v>0</v>
          </cell>
        </row>
        <row r="2914">
          <cell r="K2914">
            <v>0</v>
          </cell>
          <cell r="M2914">
            <v>0</v>
          </cell>
          <cell r="P2914">
            <v>0</v>
          </cell>
        </row>
        <row r="2915">
          <cell r="K2915">
            <v>0</v>
          </cell>
          <cell r="M2915">
            <v>0</v>
          </cell>
          <cell r="P2915">
            <v>0</v>
          </cell>
        </row>
        <row r="2916">
          <cell r="K2916">
            <v>0</v>
          </cell>
          <cell r="M2916">
            <v>0</v>
          </cell>
          <cell r="P2916">
            <v>0</v>
          </cell>
        </row>
        <row r="2917">
          <cell r="K2917">
            <v>0</v>
          </cell>
          <cell r="M2917">
            <v>0</v>
          </cell>
          <cell r="P2917">
            <v>0</v>
          </cell>
        </row>
        <row r="2918">
          <cell r="K2918">
            <v>0</v>
          </cell>
          <cell r="M2918">
            <v>0</v>
          </cell>
          <cell r="P2918">
            <v>0</v>
          </cell>
        </row>
        <row r="2919">
          <cell r="K2919">
            <v>0</v>
          </cell>
          <cell r="M2919">
            <v>0</v>
          </cell>
          <cell r="P2919">
            <v>0</v>
          </cell>
        </row>
        <row r="2920">
          <cell r="K2920">
            <v>0</v>
          </cell>
          <cell r="M2920">
            <v>0</v>
          </cell>
          <cell r="P2920">
            <v>0</v>
          </cell>
        </row>
        <row r="2921">
          <cell r="K2921">
            <v>0</v>
          </cell>
          <cell r="M2921">
            <v>0</v>
          </cell>
          <cell r="P2921">
            <v>0</v>
          </cell>
        </row>
        <row r="2922">
          <cell r="K2922">
            <v>0</v>
          </cell>
          <cell r="M2922">
            <v>0</v>
          </cell>
          <cell r="P2922">
            <v>0</v>
          </cell>
        </row>
        <row r="2923">
          <cell r="K2923">
            <v>0</v>
          </cell>
          <cell r="M2923">
            <v>0</v>
          </cell>
          <cell r="P2923">
            <v>0</v>
          </cell>
        </row>
        <row r="2924">
          <cell r="K2924">
            <v>0</v>
          </cell>
          <cell r="M2924">
            <v>0</v>
          </cell>
          <cell r="P2924">
            <v>0</v>
          </cell>
        </row>
        <row r="2925">
          <cell r="K2925">
            <v>0</v>
          </cell>
          <cell r="M2925">
            <v>0</v>
          </cell>
          <cell r="P2925">
            <v>0</v>
          </cell>
        </row>
        <row r="2926">
          <cell r="K2926">
            <v>0</v>
          </cell>
          <cell r="M2926">
            <v>0</v>
          </cell>
          <cell r="P2926">
            <v>0</v>
          </cell>
        </row>
        <row r="2927">
          <cell r="K2927">
            <v>0</v>
          </cell>
          <cell r="M2927">
            <v>0</v>
          </cell>
          <cell r="P2927">
            <v>0</v>
          </cell>
        </row>
        <row r="2928">
          <cell r="K2928">
            <v>0</v>
          </cell>
          <cell r="M2928">
            <v>0</v>
          </cell>
          <cell r="P2928">
            <v>0</v>
          </cell>
        </row>
        <row r="2929">
          <cell r="K2929">
            <v>0</v>
          </cell>
          <cell r="M2929">
            <v>0</v>
          </cell>
          <cell r="P2929">
            <v>0</v>
          </cell>
        </row>
        <row r="2930">
          <cell r="K2930">
            <v>0</v>
          </cell>
          <cell r="M2930">
            <v>0</v>
          </cell>
          <cell r="P2930">
            <v>0</v>
          </cell>
        </row>
        <row r="2931">
          <cell r="K2931">
            <v>0</v>
          </cell>
          <cell r="M2931">
            <v>0</v>
          </cell>
          <cell r="P2931">
            <v>0</v>
          </cell>
        </row>
        <row r="2932">
          <cell r="K2932">
            <v>0</v>
          </cell>
          <cell r="M2932">
            <v>0</v>
          </cell>
          <cell r="P2932">
            <v>0</v>
          </cell>
        </row>
        <row r="2933">
          <cell r="K2933">
            <v>0</v>
          </cell>
          <cell r="M2933">
            <v>0</v>
          </cell>
          <cell r="P2933">
            <v>0</v>
          </cell>
        </row>
        <row r="2934">
          <cell r="K2934">
            <v>0</v>
          </cell>
          <cell r="M2934">
            <v>0</v>
          </cell>
          <cell r="P2934">
            <v>0</v>
          </cell>
        </row>
        <row r="2935">
          <cell r="K2935">
            <v>0</v>
          </cell>
          <cell r="M2935">
            <v>0</v>
          </cell>
          <cell r="P2935">
            <v>0</v>
          </cell>
        </row>
        <row r="2936">
          <cell r="K2936">
            <v>0</v>
          </cell>
          <cell r="M2936">
            <v>0</v>
          </cell>
          <cell r="P2936">
            <v>0</v>
          </cell>
        </row>
        <row r="2937">
          <cell r="K2937">
            <v>0</v>
          </cell>
          <cell r="M2937">
            <v>0</v>
          </cell>
          <cell r="P2937">
            <v>0</v>
          </cell>
        </row>
        <row r="2938">
          <cell r="K2938">
            <v>0</v>
          </cell>
          <cell r="M2938">
            <v>0</v>
          </cell>
          <cell r="P2938">
            <v>0</v>
          </cell>
        </row>
        <row r="2939">
          <cell r="K2939">
            <v>0</v>
          </cell>
          <cell r="M2939">
            <v>0</v>
          </cell>
          <cell r="P2939">
            <v>0</v>
          </cell>
        </row>
        <row r="2940">
          <cell r="K2940">
            <v>0</v>
          </cell>
          <cell r="M2940">
            <v>0</v>
          </cell>
          <cell r="P2940">
            <v>0</v>
          </cell>
        </row>
        <row r="2941">
          <cell r="K2941">
            <v>0</v>
          </cell>
          <cell r="M2941">
            <v>0</v>
          </cell>
          <cell r="P2941">
            <v>0</v>
          </cell>
        </row>
        <row r="2942">
          <cell r="K2942">
            <v>0</v>
          </cell>
          <cell r="M2942">
            <v>0</v>
          </cell>
          <cell r="P2942">
            <v>0</v>
          </cell>
        </row>
        <row r="2943">
          <cell r="K2943">
            <v>0</v>
          </cell>
          <cell r="M2943">
            <v>0</v>
          </cell>
          <cell r="P2943">
            <v>0</v>
          </cell>
        </row>
        <row r="2944">
          <cell r="K2944">
            <v>0</v>
          </cell>
          <cell r="M2944">
            <v>0</v>
          </cell>
          <cell r="P2944">
            <v>0</v>
          </cell>
        </row>
        <row r="2945">
          <cell r="K2945">
            <v>0</v>
          </cell>
          <cell r="M2945">
            <v>0</v>
          </cell>
          <cell r="P2945">
            <v>0</v>
          </cell>
        </row>
        <row r="2946">
          <cell r="K2946">
            <v>0</v>
          </cell>
          <cell r="M2946">
            <v>0</v>
          </cell>
          <cell r="P2946">
            <v>0</v>
          </cell>
        </row>
        <row r="2947">
          <cell r="K2947">
            <v>0</v>
          </cell>
          <cell r="M2947">
            <v>0</v>
          </cell>
          <cell r="P2947">
            <v>0</v>
          </cell>
        </row>
        <row r="2948">
          <cell r="K2948">
            <v>0</v>
          </cell>
          <cell r="M2948">
            <v>0</v>
          </cell>
          <cell r="P2948">
            <v>0</v>
          </cell>
        </row>
        <row r="2949">
          <cell r="K2949">
            <v>0</v>
          </cell>
          <cell r="M2949">
            <v>0</v>
          </cell>
          <cell r="P2949">
            <v>0</v>
          </cell>
        </row>
        <row r="2950">
          <cell r="K2950">
            <v>0</v>
          </cell>
          <cell r="M2950">
            <v>0</v>
          </cell>
          <cell r="P2950">
            <v>0</v>
          </cell>
        </row>
        <row r="2951">
          <cell r="K2951">
            <v>0</v>
          </cell>
          <cell r="M2951">
            <v>0</v>
          </cell>
          <cell r="P2951">
            <v>0</v>
          </cell>
        </row>
        <row r="2952">
          <cell r="K2952">
            <v>0</v>
          </cell>
          <cell r="M2952">
            <v>0</v>
          </cell>
          <cell r="P2952">
            <v>0</v>
          </cell>
        </row>
        <row r="2953">
          <cell r="K2953">
            <v>0</v>
          </cell>
          <cell r="M2953">
            <v>0</v>
          </cell>
          <cell r="P2953">
            <v>0</v>
          </cell>
        </row>
        <row r="2954">
          <cell r="K2954">
            <v>0</v>
          </cell>
          <cell r="M2954">
            <v>0</v>
          </cell>
          <cell r="P2954">
            <v>0</v>
          </cell>
        </row>
        <row r="2955">
          <cell r="K2955">
            <v>0</v>
          </cell>
          <cell r="M2955">
            <v>0</v>
          </cell>
          <cell r="P2955">
            <v>0</v>
          </cell>
        </row>
        <row r="2956">
          <cell r="K2956">
            <v>0</v>
          </cell>
          <cell r="M2956">
            <v>0</v>
          </cell>
          <cell r="P2956">
            <v>0</v>
          </cell>
        </row>
        <row r="2957">
          <cell r="K2957">
            <v>0</v>
          </cell>
          <cell r="M2957">
            <v>0</v>
          </cell>
          <cell r="P2957">
            <v>0</v>
          </cell>
        </row>
        <row r="2958">
          <cell r="K2958">
            <v>0</v>
          </cell>
          <cell r="M2958">
            <v>0</v>
          </cell>
          <cell r="P2958">
            <v>0</v>
          </cell>
        </row>
        <row r="2959">
          <cell r="K2959">
            <v>0</v>
          </cell>
          <cell r="M2959">
            <v>0</v>
          </cell>
          <cell r="P2959">
            <v>0</v>
          </cell>
        </row>
        <row r="2960">
          <cell r="K2960">
            <v>0</v>
          </cell>
          <cell r="M2960">
            <v>0</v>
          </cell>
          <cell r="P2960">
            <v>0</v>
          </cell>
        </row>
        <row r="2961">
          <cell r="K2961">
            <v>0</v>
          </cell>
          <cell r="M2961">
            <v>0</v>
          </cell>
          <cell r="P2961">
            <v>0</v>
          </cell>
        </row>
        <row r="2962">
          <cell r="K2962">
            <v>0</v>
          </cell>
          <cell r="M2962">
            <v>0</v>
          </cell>
          <cell r="P2962">
            <v>0</v>
          </cell>
        </row>
        <row r="2963">
          <cell r="K2963">
            <v>0</v>
          </cell>
          <cell r="M2963">
            <v>0</v>
          </cell>
          <cell r="P2963">
            <v>0</v>
          </cell>
        </row>
        <row r="2964">
          <cell r="K2964">
            <v>0</v>
          </cell>
          <cell r="M2964">
            <v>0</v>
          </cell>
          <cell r="P2964">
            <v>0</v>
          </cell>
        </row>
        <row r="2965">
          <cell r="K2965">
            <v>0</v>
          </cell>
          <cell r="M2965">
            <v>0</v>
          </cell>
          <cell r="P2965">
            <v>0</v>
          </cell>
        </row>
        <row r="2966">
          <cell r="K2966">
            <v>0</v>
          </cell>
          <cell r="M2966">
            <v>0</v>
          </cell>
          <cell r="P2966">
            <v>0</v>
          </cell>
        </row>
        <row r="2967">
          <cell r="K2967">
            <v>0</v>
          </cell>
          <cell r="M2967">
            <v>0</v>
          </cell>
          <cell r="P2967">
            <v>0</v>
          </cell>
        </row>
        <row r="2968">
          <cell r="K2968">
            <v>0</v>
          </cell>
          <cell r="M2968">
            <v>0</v>
          </cell>
          <cell r="P2968">
            <v>0</v>
          </cell>
        </row>
        <row r="2969">
          <cell r="K2969">
            <v>0</v>
          </cell>
          <cell r="M2969">
            <v>0</v>
          </cell>
          <cell r="P2969">
            <v>0</v>
          </cell>
        </row>
        <row r="2970">
          <cell r="K2970">
            <v>0</v>
          </cell>
          <cell r="M2970">
            <v>0</v>
          </cell>
          <cell r="P2970">
            <v>0</v>
          </cell>
        </row>
        <row r="2971">
          <cell r="K2971">
            <v>0</v>
          </cell>
          <cell r="M2971">
            <v>0</v>
          </cell>
          <cell r="P2971">
            <v>0</v>
          </cell>
        </row>
        <row r="2972">
          <cell r="K2972">
            <v>0</v>
          </cell>
          <cell r="M2972">
            <v>0</v>
          </cell>
          <cell r="P2972">
            <v>0</v>
          </cell>
        </row>
        <row r="2973">
          <cell r="K2973">
            <v>0</v>
          </cell>
          <cell r="M2973">
            <v>0</v>
          </cell>
          <cell r="P2973">
            <v>0</v>
          </cell>
        </row>
        <row r="2974">
          <cell r="K2974">
            <v>0</v>
          </cell>
          <cell r="M2974">
            <v>0</v>
          </cell>
          <cell r="P2974">
            <v>0</v>
          </cell>
        </row>
        <row r="2975">
          <cell r="K2975">
            <v>0</v>
          </cell>
          <cell r="M2975">
            <v>0</v>
          </cell>
          <cell r="P2975">
            <v>0</v>
          </cell>
        </row>
        <row r="2976">
          <cell r="K2976">
            <v>0</v>
          </cell>
          <cell r="M2976">
            <v>0</v>
          </cell>
          <cell r="P2976">
            <v>0</v>
          </cell>
        </row>
        <row r="2977">
          <cell r="K2977">
            <v>0</v>
          </cell>
          <cell r="M2977">
            <v>0</v>
          </cell>
          <cell r="P2977">
            <v>0</v>
          </cell>
        </row>
        <row r="2978">
          <cell r="K2978">
            <v>0</v>
          </cell>
          <cell r="M2978">
            <v>0</v>
          </cell>
          <cell r="P2978">
            <v>0</v>
          </cell>
        </row>
        <row r="2979">
          <cell r="K2979">
            <v>0</v>
          </cell>
          <cell r="M2979">
            <v>0</v>
          </cell>
          <cell r="P2979">
            <v>0</v>
          </cell>
        </row>
        <row r="2980">
          <cell r="K2980">
            <v>0</v>
          </cell>
          <cell r="M2980">
            <v>0</v>
          </cell>
          <cell r="P2980">
            <v>0</v>
          </cell>
        </row>
        <row r="2981">
          <cell r="K2981">
            <v>0</v>
          </cell>
          <cell r="M2981">
            <v>0</v>
          </cell>
          <cell r="P2981">
            <v>0</v>
          </cell>
        </row>
        <row r="2982">
          <cell r="K2982">
            <v>0</v>
          </cell>
          <cell r="M2982">
            <v>0</v>
          </cell>
          <cell r="P2982">
            <v>0</v>
          </cell>
        </row>
        <row r="2983">
          <cell r="K2983">
            <v>0</v>
          </cell>
          <cell r="M2983">
            <v>0</v>
          </cell>
          <cell r="P2983">
            <v>0</v>
          </cell>
        </row>
        <row r="2984">
          <cell r="K2984">
            <v>0</v>
          </cell>
          <cell r="M2984">
            <v>0</v>
          </cell>
          <cell r="P2984">
            <v>0</v>
          </cell>
        </row>
        <row r="2985">
          <cell r="K2985">
            <v>0</v>
          </cell>
          <cell r="M2985">
            <v>0</v>
          </cell>
          <cell r="P2985">
            <v>0</v>
          </cell>
        </row>
        <row r="2986">
          <cell r="K2986">
            <v>0</v>
          </cell>
          <cell r="M2986">
            <v>0</v>
          </cell>
          <cell r="P2986">
            <v>0</v>
          </cell>
        </row>
        <row r="2987">
          <cell r="K2987">
            <v>0</v>
          </cell>
          <cell r="M2987">
            <v>0</v>
          </cell>
          <cell r="P2987">
            <v>0</v>
          </cell>
        </row>
        <row r="2988">
          <cell r="K2988">
            <v>0</v>
          </cell>
          <cell r="M2988">
            <v>0</v>
          </cell>
          <cell r="P2988">
            <v>0</v>
          </cell>
        </row>
        <row r="2989">
          <cell r="K2989">
            <v>0</v>
          </cell>
          <cell r="M2989">
            <v>0</v>
          </cell>
          <cell r="P2989">
            <v>0</v>
          </cell>
        </row>
        <row r="2990">
          <cell r="K2990">
            <v>0</v>
          </cell>
          <cell r="M2990">
            <v>0</v>
          </cell>
          <cell r="P2990">
            <v>0</v>
          </cell>
        </row>
        <row r="2991">
          <cell r="K2991">
            <v>0</v>
          </cell>
          <cell r="M2991">
            <v>0</v>
          </cell>
          <cell r="P2991">
            <v>0</v>
          </cell>
        </row>
        <row r="2992">
          <cell r="K2992">
            <v>0</v>
          </cell>
          <cell r="M2992">
            <v>0</v>
          </cell>
          <cell r="P2992">
            <v>0</v>
          </cell>
        </row>
        <row r="2993">
          <cell r="K2993">
            <v>0</v>
          </cell>
          <cell r="M2993">
            <v>0</v>
          </cell>
          <cell r="P2993">
            <v>0</v>
          </cell>
        </row>
        <row r="2994">
          <cell r="K2994">
            <v>0</v>
          </cell>
          <cell r="M2994">
            <v>0</v>
          </cell>
          <cell r="P2994">
            <v>0</v>
          </cell>
        </row>
        <row r="2995">
          <cell r="K2995">
            <v>0</v>
          </cell>
          <cell r="M2995">
            <v>0</v>
          </cell>
          <cell r="P2995">
            <v>0</v>
          </cell>
        </row>
        <row r="2996">
          <cell r="K2996">
            <v>0</v>
          </cell>
          <cell r="M2996">
            <v>0</v>
          </cell>
          <cell r="P2996">
            <v>0</v>
          </cell>
        </row>
        <row r="2997">
          <cell r="K2997">
            <v>0</v>
          </cell>
          <cell r="M2997">
            <v>0</v>
          </cell>
          <cell r="P2997">
            <v>0</v>
          </cell>
        </row>
        <row r="2998">
          <cell r="K2998">
            <v>0</v>
          </cell>
          <cell r="M2998">
            <v>0</v>
          </cell>
          <cell r="P2998">
            <v>0</v>
          </cell>
        </row>
        <row r="2999">
          <cell r="K2999">
            <v>0</v>
          </cell>
          <cell r="M2999">
            <v>0</v>
          </cell>
          <cell r="P2999">
            <v>0</v>
          </cell>
        </row>
        <row r="3000">
          <cell r="K3000">
            <v>0</v>
          </cell>
          <cell r="M3000">
            <v>0</v>
          </cell>
          <cell r="P3000">
            <v>0</v>
          </cell>
        </row>
        <row r="3001">
          <cell r="K3001">
            <v>0</v>
          </cell>
          <cell r="M3001">
            <v>0</v>
          </cell>
          <cell r="P3001">
            <v>0</v>
          </cell>
        </row>
        <row r="3002">
          <cell r="K3002">
            <v>0</v>
          </cell>
          <cell r="M3002">
            <v>0</v>
          </cell>
          <cell r="P3002">
            <v>0</v>
          </cell>
        </row>
        <row r="3003">
          <cell r="K3003">
            <v>0</v>
          </cell>
          <cell r="M3003">
            <v>0</v>
          </cell>
          <cell r="P3003">
            <v>0</v>
          </cell>
        </row>
        <row r="3004">
          <cell r="K3004">
            <v>0</v>
          </cell>
          <cell r="M3004">
            <v>0</v>
          </cell>
          <cell r="P3004">
            <v>0</v>
          </cell>
        </row>
        <row r="3005">
          <cell r="K3005">
            <v>0</v>
          </cell>
          <cell r="M3005">
            <v>0</v>
          </cell>
          <cell r="P3005">
            <v>0</v>
          </cell>
        </row>
        <row r="3006">
          <cell r="K3006">
            <v>0</v>
          </cell>
          <cell r="M3006">
            <v>0</v>
          </cell>
          <cell r="P3006">
            <v>0</v>
          </cell>
        </row>
        <row r="3007">
          <cell r="K3007">
            <v>0</v>
          </cell>
          <cell r="M3007">
            <v>0</v>
          </cell>
          <cell r="P3007">
            <v>0</v>
          </cell>
        </row>
        <row r="3008">
          <cell r="K3008">
            <v>0</v>
          </cell>
          <cell r="M3008">
            <v>0</v>
          </cell>
          <cell r="P3008">
            <v>0</v>
          </cell>
        </row>
        <row r="3009">
          <cell r="K3009">
            <v>0</v>
          </cell>
          <cell r="M3009">
            <v>0</v>
          </cell>
          <cell r="P3009">
            <v>0</v>
          </cell>
        </row>
        <row r="3010">
          <cell r="K3010">
            <v>0</v>
          </cell>
          <cell r="M3010">
            <v>0</v>
          </cell>
          <cell r="P3010">
            <v>0</v>
          </cell>
        </row>
        <row r="3011">
          <cell r="K3011">
            <v>0</v>
          </cell>
          <cell r="M3011">
            <v>0</v>
          </cell>
          <cell r="P3011">
            <v>0</v>
          </cell>
        </row>
        <row r="3012">
          <cell r="K3012">
            <v>0</v>
          </cell>
          <cell r="M3012">
            <v>0</v>
          </cell>
          <cell r="P3012">
            <v>0</v>
          </cell>
        </row>
        <row r="3013">
          <cell r="K3013">
            <v>0</v>
          </cell>
          <cell r="M3013">
            <v>0</v>
          </cell>
          <cell r="P3013">
            <v>0</v>
          </cell>
        </row>
        <row r="3014">
          <cell r="K3014">
            <v>0</v>
          </cell>
          <cell r="M3014">
            <v>0</v>
          </cell>
          <cell r="P3014">
            <v>0</v>
          </cell>
        </row>
        <row r="3015">
          <cell r="K3015">
            <v>0</v>
          </cell>
          <cell r="M3015">
            <v>0</v>
          </cell>
          <cell r="P3015">
            <v>0</v>
          </cell>
        </row>
        <row r="3016">
          <cell r="K3016">
            <v>0</v>
          </cell>
          <cell r="M3016">
            <v>0</v>
          </cell>
          <cell r="P3016">
            <v>0</v>
          </cell>
        </row>
        <row r="3017">
          <cell r="K3017">
            <v>0</v>
          </cell>
          <cell r="M3017">
            <v>0</v>
          </cell>
          <cell r="P3017">
            <v>0</v>
          </cell>
        </row>
        <row r="3018">
          <cell r="K3018">
            <v>0</v>
          </cell>
          <cell r="M3018">
            <v>0</v>
          </cell>
          <cell r="P3018">
            <v>0</v>
          </cell>
        </row>
        <row r="3019">
          <cell r="K3019">
            <v>0</v>
          </cell>
          <cell r="M3019">
            <v>0</v>
          </cell>
          <cell r="P3019">
            <v>0</v>
          </cell>
        </row>
        <row r="3020">
          <cell r="K3020">
            <v>0</v>
          </cell>
          <cell r="M3020">
            <v>0</v>
          </cell>
          <cell r="P3020">
            <v>0</v>
          </cell>
        </row>
        <row r="3021">
          <cell r="K3021">
            <v>0</v>
          </cell>
          <cell r="M3021">
            <v>0</v>
          </cell>
          <cell r="P3021">
            <v>0</v>
          </cell>
        </row>
        <row r="3022">
          <cell r="K3022">
            <v>0</v>
          </cell>
          <cell r="M3022">
            <v>0</v>
          </cell>
          <cell r="P3022">
            <v>0</v>
          </cell>
        </row>
        <row r="3023">
          <cell r="K3023">
            <v>0</v>
          </cell>
          <cell r="M3023">
            <v>0</v>
          </cell>
          <cell r="P3023">
            <v>0</v>
          </cell>
        </row>
        <row r="3024">
          <cell r="K3024">
            <v>0</v>
          </cell>
          <cell r="M3024">
            <v>0</v>
          </cell>
          <cell r="P3024">
            <v>0</v>
          </cell>
        </row>
        <row r="3025">
          <cell r="K3025">
            <v>0</v>
          </cell>
          <cell r="M3025">
            <v>0</v>
          </cell>
          <cell r="P3025">
            <v>0</v>
          </cell>
        </row>
        <row r="3026">
          <cell r="K3026">
            <v>0</v>
          </cell>
          <cell r="M3026">
            <v>0</v>
          </cell>
          <cell r="P3026">
            <v>0</v>
          </cell>
        </row>
        <row r="3027">
          <cell r="K3027">
            <v>0</v>
          </cell>
          <cell r="M3027">
            <v>0</v>
          </cell>
          <cell r="P3027">
            <v>0</v>
          </cell>
        </row>
        <row r="3028">
          <cell r="K3028">
            <v>0</v>
          </cell>
          <cell r="M3028">
            <v>0</v>
          </cell>
          <cell r="P3028">
            <v>0</v>
          </cell>
        </row>
        <row r="3029">
          <cell r="K3029">
            <v>0</v>
          </cell>
          <cell r="M3029">
            <v>0</v>
          </cell>
          <cell r="P3029">
            <v>0</v>
          </cell>
        </row>
        <row r="3030">
          <cell r="K3030">
            <v>0</v>
          </cell>
          <cell r="M3030">
            <v>0</v>
          </cell>
          <cell r="P3030">
            <v>0</v>
          </cell>
        </row>
        <row r="3031">
          <cell r="K3031">
            <v>0</v>
          </cell>
          <cell r="M3031">
            <v>0</v>
          </cell>
          <cell r="P3031">
            <v>0</v>
          </cell>
        </row>
        <row r="3032">
          <cell r="K3032">
            <v>0</v>
          </cell>
          <cell r="M3032">
            <v>0</v>
          </cell>
          <cell r="P3032">
            <v>0</v>
          </cell>
        </row>
        <row r="3033">
          <cell r="K3033">
            <v>0</v>
          </cell>
          <cell r="M3033">
            <v>0</v>
          </cell>
          <cell r="P3033">
            <v>0</v>
          </cell>
        </row>
        <row r="3034">
          <cell r="K3034">
            <v>0</v>
          </cell>
          <cell r="M3034">
            <v>0</v>
          </cell>
          <cell r="P3034">
            <v>0</v>
          </cell>
        </row>
        <row r="3035">
          <cell r="K3035">
            <v>0</v>
          </cell>
          <cell r="M3035">
            <v>0</v>
          </cell>
          <cell r="P3035">
            <v>0</v>
          </cell>
        </row>
        <row r="3036">
          <cell r="K3036">
            <v>0</v>
          </cell>
          <cell r="M3036">
            <v>0</v>
          </cell>
          <cell r="P3036">
            <v>0</v>
          </cell>
        </row>
        <row r="3037">
          <cell r="K3037">
            <v>0</v>
          </cell>
          <cell r="M3037">
            <v>0</v>
          </cell>
          <cell r="P3037">
            <v>0</v>
          </cell>
        </row>
        <row r="3038">
          <cell r="K3038">
            <v>0</v>
          </cell>
          <cell r="M3038">
            <v>0</v>
          </cell>
          <cell r="P3038">
            <v>0</v>
          </cell>
        </row>
        <row r="3039">
          <cell r="K3039">
            <v>0</v>
          </cell>
          <cell r="M3039">
            <v>0</v>
          </cell>
          <cell r="P3039">
            <v>0</v>
          </cell>
        </row>
        <row r="3040">
          <cell r="K3040">
            <v>0</v>
          </cell>
          <cell r="M3040">
            <v>0</v>
          </cell>
          <cell r="P3040">
            <v>0</v>
          </cell>
        </row>
        <row r="3041">
          <cell r="K3041">
            <v>0</v>
          </cell>
          <cell r="M3041">
            <v>0</v>
          </cell>
          <cell r="P3041">
            <v>0</v>
          </cell>
        </row>
        <row r="3042">
          <cell r="K3042">
            <v>0</v>
          </cell>
          <cell r="M3042">
            <v>0</v>
          </cell>
          <cell r="P3042">
            <v>0</v>
          </cell>
        </row>
        <row r="3043">
          <cell r="K3043">
            <v>0</v>
          </cell>
          <cell r="M3043">
            <v>0</v>
          </cell>
          <cell r="P3043">
            <v>0</v>
          </cell>
        </row>
        <row r="3044">
          <cell r="K3044">
            <v>0</v>
          </cell>
          <cell r="M3044">
            <v>0</v>
          </cell>
          <cell r="P3044">
            <v>0</v>
          </cell>
        </row>
        <row r="3045">
          <cell r="K3045">
            <v>0</v>
          </cell>
          <cell r="M3045">
            <v>0</v>
          </cell>
          <cell r="P3045">
            <v>0</v>
          </cell>
        </row>
        <row r="3046">
          <cell r="K3046">
            <v>0</v>
          </cell>
          <cell r="M3046">
            <v>0</v>
          </cell>
          <cell r="P3046">
            <v>0</v>
          </cell>
        </row>
        <row r="3047">
          <cell r="K3047">
            <v>0</v>
          </cell>
          <cell r="M3047">
            <v>0</v>
          </cell>
          <cell r="P3047">
            <v>0</v>
          </cell>
        </row>
        <row r="3048">
          <cell r="K3048">
            <v>0</v>
          </cell>
          <cell r="M3048">
            <v>0</v>
          </cell>
          <cell r="P3048">
            <v>0</v>
          </cell>
        </row>
        <row r="3049">
          <cell r="K3049">
            <v>0</v>
          </cell>
          <cell r="M3049">
            <v>0</v>
          </cell>
          <cell r="P3049">
            <v>0</v>
          </cell>
        </row>
        <row r="3050">
          <cell r="K3050">
            <v>0</v>
          </cell>
          <cell r="M3050">
            <v>0</v>
          </cell>
          <cell r="P3050">
            <v>0</v>
          </cell>
        </row>
        <row r="3051">
          <cell r="K3051">
            <v>0</v>
          </cell>
          <cell r="M3051">
            <v>0</v>
          </cell>
          <cell r="P3051">
            <v>0</v>
          </cell>
        </row>
        <row r="3052">
          <cell r="K3052">
            <v>0</v>
          </cell>
          <cell r="M3052">
            <v>0</v>
          </cell>
          <cell r="P3052">
            <v>0</v>
          </cell>
        </row>
        <row r="3053">
          <cell r="K3053">
            <v>0</v>
          </cell>
          <cell r="M3053">
            <v>0</v>
          </cell>
          <cell r="P3053">
            <v>0</v>
          </cell>
        </row>
        <row r="3054">
          <cell r="K3054">
            <v>0</v>
          </cell>
          <cell r="M3054">
            <v>0</v>
          </cell>
          <cell r="P3054">
            <v>0</v>
          </cell>
        </row>
        <row r="3055">
          <cell r="K3055">
            <v>0</v>
          </cell>
          <cell r="M3055">
            <v>0</v>
          </cell>
          <cell r="P3055">
            <v>0</v>
          </cell>
        </row>
        <row r="3056">
          <cell r="K3056">
            <v>0</v>
          </cell>
          <cell r="M3056">
            <v>0</v>
          </cell>
          <cell r="P3056">
            <v>0</v>
          </cell>
        </row>
        <row r="3057">
          <cell r="K3057">
            <v>0</v>
          </cell>
          <cell r="M3057">
            <v>0</v>
          </cell>
          <cell r="P3057">
            <v>0</v>
          </cell>
        </row>
        <row r="3058">
          <cell r="K3058">
            <v>0</v>
          </cell>
          <cell r="M3058">
            <v>0</v>
          </cell>
          <cell r="P3058">
            <v>0</v>
          </cell>
        </row>
        <row r="3059">
          <cell r="K3059">
            <v>0</v>
          </cell>
          <cell r="M3059">
            <v>0</v>
          </cell>
          <cell r="P3059">
            <v>0</v>
          </cell>
        </row>
        <row r="3060">
          <cell r="K3060">
            <v>0</v>
          </cell>
          <cell r="M3060">
            <v>0</v>
          </cell>
          <cell r="P3060">
            <v>0</v>
          </cell>
        </row>
        <row r="3061">
          <cell r="K3061">
            <v>0</v>
          </cell>
          <cell r="M3061">
            <v>0</v>
          </cell>
          <cell r="P3061">
            <v>0</v>
          </cell>
        </row>
        <row r="3062">
          <cell r="K3062">
            <v>0</v>
          </cell>
          <cell r="M3062">
            <v>0</v>
          </cell>
          <cell r="P3062">
            <v>0</v>
          </cell>
        </row>
        <row r="3063">
          <cell r="K3063">
            <v>0</v>
          </cell>
          <cell r="M3063">
            <v>0</v>
          </cell>
          <cell r="P3063">
            <v>0</v>
          </cell>
        </row>
        <row r="3064">
          <cell r="K3064">
            <v>0</v>
          </cell>
          <cell r="M3064">
            <v>0</v>
          </cell>
          <cell r="P3064">
            <v>0</v>
          </cell>
        </row>
        <row r="3065">
          <cell r="K3065">
            <v>0</v>
          </cell>
          <cell r="M3065">
            <v>0</v>
          </cell>
          <cell r="P3065">
            <v>0</v>
          </cell>
        </row>
        <row r="3066">
          <cell r="K3066">
            <v>0</v>
          </cell>
          <cell r="M3066">
            <v>0</v>
          </cell>
          <cell r="P3066">
            <v>0</v>
          </cell>
        </row>
        <row r="3067">
          <cell r="K3067">
            <v>0</v>
          </cell>
          <cell r="M3067">
            <v>0</v>
          </cell>
          <cell r="P3067">
            <v>0</v>
          </cell>
        </row>
        <row r="3068">
          <cell r="K3068">
            <v>0</v>
          </cell>
          <cell r="M3068">
            <v>0</v>
          </cell>
          <cell r="P3068">
            <v>0</v>
          </cell>
        </row>
        <row r="3069">
          <cell r="K3069">
            <v>0</v>
          </cell>
          <cell r="M3069">
            <v>0</v>
          </cell>
          <cell r="P3069">
            <v>0</v>
          </cell>
        </row>
        <row r="3070">
          <cell r="K3070">
            <v>0</v>
          </cell>
          <cell r="M3070">
            <v>0</v>
          </cell>
          <cell r="P3070">
            <v>0</v>
          </cell>
        </row>
        <row r="3071">
          <cell r="K3071">
            <v>0</v>
          </cell>
          <cell r="M3071">
            <v>0</v>
          </cell>
          <cell r="P3071">
            <v>0</v>
          </cell>
        </row>
        <row r="3072">
          <cell r="K3072">
            <v>0</v>
          </cell>
          <cell r="M3072">
            <v>0</v>
          </cell>
          <cell r="P3072">
            <v>0</v>
          </cell>
        </row>
        <row r="3073">
          <cell r="K3073">
            <v>0</v>
          </cell>
          <cell r="M3073">
            <v>0</v>
          </cell>
          <cell r="P3073">
            <v>0</v>
          </cell>
        </row>
        <row r="3074">
          <cell r="K3074">
            <v>0</v>
          </cell>
          <cell r="M3074">
            <v>0</v>
          </cell>
          <cell r="P3074">
            <v>0</v>
          </cell>
        </row>
        <row r="3075">
          <cell r="K3075">
            <v>0</v>
          </cell>
          <cell r="M3075">
            <v>0</v>
          </cell>
          <cell r="P3075">
            <v>0</v>
          </cell>
        </row>
        <row r="3076">
          <cell r="K3076">
            <v>0</v>
          </cell>
          <cell r="M3076">
            <v>0</v>
          </cell>
          <cell r="P3076">
            <v>0</v>
          </cell>
        </row>
        <row r="3077">
          <cell r="K3077">
            <v>0</v>
          </cell>
          <cell r="M3077">
            <v>0</v>
          </cell>
          <cell r="P3077">
            <v>0</v>
          </cell>
        </row>
        <row r="3078">
          <cell r="K3078">
            <v>0</v>
          </cell>
          <cell r="M3078">
            <v>0</v>
          </cell>
          <cell r="P3078">
            <v>0</v>
          </cell>
        </row>
        <row r="3079">
          <cell r="K3079">
            <v>0</v>
          </cell>
          <cell r="M3079">
            <v>0</v>
          </cell>
          <cell r="P3079">
            <v>0</v>
          </cell>
        </row>
        <row r="3080">
          <cell r="K3080">
            <v>0</v>
          </cell>
          <cell r="M3080">
            <v>0</v>
          </cell>
          <cell r="P3080">
            <v>0</v>
          </cell>
        </row>
        <row r="3081">
          <cell r="K3081">
            <v>0</v>
          </cell>
          <cell r="M3081">
            <v>0</v>
          </cell>
          <cell r="P3081">
            <v>0</v>
          </cell>
        </row>
        <row r="3082">
          <cell r="K3082">
            <v>0</v>
          </cell>
          <cell r="M3082">
            <v>0</v>
          </cell>
          <cell r="P3082">
            <v>0</v>
          </cell>
        </row>
        <row r="3083">
          <cell r="K3083">
            <v>0</v>
          </cell>
          <cell r="M3083">
            <v>0</v>
          </cell>
          <cell r="P3083">
            <v>0</v>
          </cell>
        </row>
        <row r="3084">
          <cell r="K3084">
            <v>0</v>
          </cell>
          <cell r="M3084">
            <v>0</v>
          </cell>
          <cell r="P3084">
            <v>0</v>
          </cell>
        </row>
        <row r="3085">
          <cell r="K3085">
            <v>0</v>
          </cell>
          <cell r="M3085">
            <v>0</v>
          </cell>
          <cell r="P3085">
            <v>0</v>
          </cell>
        </row>
        <row r="3086">
          <cell r="K3086">
            <v>0</v>
          </cell>
          <cell r="M3086">
            <v>0</v>
          </cell>
          <cell r="P3086">
            <v>0</v>
          </cell>
        </row>
        <row r="3087">
          <cell r="K3087">
            <v>0</v>
          </cell>
          <cell r="M3087">
            <v>0</v>
          </cell>
          <cell r="P3087">
            <v>0</v>
          </cell>
        </row>
        <row r="3088">
          <cell r="K3088">
            <v>0</v>
          </cell>
          <cell r="M3088">
            <v>0</v>
          </cell>
          <cell r="P3088">
            <v>0</v>
          </cell>
        </row>
        <row r="3089">
          <cell r="K3089">
            <v>0</v>
          </cell>
          <cell r="M3089">
            <v>0</v>
          </cell>
          <cell r="P3089">
            <v>0</v>
          </cell>
        </row>
        <row r="3090">
          <cell r="K3090">
            <v>0</v>
          </cell>
          <cell r="M3090">
            <v>0</v>
          </cell>
          <cell r="P3090">
            <v>0</v>
          </cell>
        </row>
        <row r="3091">
          <cell r="K3091">
            <v>0</v>
          </cell>
          <cell r="M3091">
            <v>0</v>
          </cell>
          <cell r="P3091">
            <v>0</v>
          </cell>
        </row>
        <row r="3092">
          <cell r="K3092">
            <v>0</v>
          </cell>
          <cell r="M3092">
            <v>0</v>
          </cell>
          <cell r="P3092">
            <v>0</v>
          </cell>
        </row>
        <row r="3093">
          <cell r="K3093">
            <v>0</v>
          </cell>
          <cell r="M3093">
            <v>0</v>
          </cell>
          <cell r="P3093">
            <v>0</v>
          </cell>
        </row>
        <row r="3094">
          <cell r="K3094">
            <v>0</v>
          </cell>
          <cell r="M3094">
            <v>0</v>
          </cell>
          <cell r="P3094">
            <v>0</v>
          </cell>
        </row>
        <row r="3095">
          <cell r="K3095">
            <v>0</v>
          </cell>
          <cell r="M3095">
            <v>0</v>
          </cell>
          <cell r="P3095">
            <v>0</v>
          </cell>
        </row>
        <row r="3096">
          <cell r="K3096">
            <v>0</v>
          </cell>
          <cell r="M3096">
            <v>0</v>
          </cell>
          <cell r="P3096">
            <v>0</v>
          </cell>
        </row>
        <row r="3097">
          <cell r="K3097">
            <v>0</v>
          </cell>
          <cell r="M3097">
            <v>0</v>
          </cell>
          <cell r="P3097">
            <v>0</v>
          </cell>
        </row>
        <row r="3098">
          <cell r="K3098">
            <v>0</v>
          </cell>
          <cell r="M3098">
            <v>0</v>
          </cell>
          <cell r="P3098">
            <v>0</v>
          </cell>
        </row>
        <row r="3099">
          <cell r="K3099">
            <v>0</v>
          </cell>
          <cell r="M3099">
            <v>0</v>
          </cell>
          <cell r="P3099">
            <v>0</v>
          </cell>
        </row>
        <row r="3100">
          <cell r="K3100">
            <v>0</v>
          </cell>
          <cell r="M3100">
            <v>0</v>
          </cell>
          <cell r="P3100">
            <v>0</v>
          </cell>
        </row>
        <row r="3101">
          <cell r="K3101">
            <v>0</v>
          </cell>
          <cell r="M3101">
            <v>0</v>
          </cell>
          <cell r="P3101">
            <v>0</v>
          </cell>
        </row>
        <row r="3102">
          <cell r="K3102">
            <v>0</v>
          </cell>
          <cell r="M3102">
            <v>0</v>
          </cell>
          <cell r="P3102">
            <v>0</v>
          </cell>
        </row>
        <row r="3103">
          <cell r="K3103">
            <v>0</v>
          </cell>
          <cell r="M3103">
            <v>0</v>
          </cell>
          <cell r="P3103">
            <v>0</v>
          </cell>
        </row>
        <row r="3104">
          <cell r="K3104">
            <v>0</v>
          </cell>
          <cell r="M3104">
            <v>0</v>
          </cell>
          <cell r="P3104">
            <v>0</v>
          </cell>
        </row>
        <row r="3105">
          <cell r="K3105">
            <v>0</v>
          </cell>
          <cell r="M3105">
            <v>0</v>
          </cell>
          <cell r="P3105">
            <v>0</v>
          </cell>
        </row>
        <row r="3106">
          <cell r="K3106">
            <v>0</v>
          </cell>
          <cell r="M3106">
            <v>0</v>
          </cell>
          <cell r="P3106">
            <v>0</v>
          </cell>
        </row>
        <row r="3107">
          <cell r="K3107">
            <v>0</v>
          </cell>
          <cell r="M3107">
            <v>0</v>
          </cell>
          <cell r="P3107">
            <v>0</v>
          </cell>
        </row>
        <row r="3108">
          <cell r="K3108">
            <v>0</v>
          </cell>
          <cell r="M3108">
            <v>0</v>
          </cell>
          <cell r="P3108">
            <v>0</v>
          </cell>
        </row>
        <row r="3109">
          <cell r="K3109">
            <v>0</v>
          </cell>
          <cell r="M3109">
            <v>0</v>
          </cell>
          <cell r="P3109">
            <v>0</v>
          </cell>
        </row>
        <row r="3110">
          <cell r="K3110">
            <v>0</v>
          </cell>
          <cell r="M3110">
            <v>0</v>
          </cell>
          <cell r="P3110">
            <v>0</v>
          </cell>
        </row>
        <row r="3111">
          <cell r="K3111">
            <v>0</v>
          </cell>
          <cell r="M3111">
            <v>0</v>
          </cell>
          <cell r="P3111">
            <v>0</v>
          </cell>
        </row>
        <row r="3112">
          <cell r="K3112">
            <v>0</v>
          </cell>
          <cell r="M3112">
            <v>0</v>
          </cell>
          <cell r="P3112">
            <v>0</v>
          </cell>
        </row>
        <row r="3113">
          <cell r="K3113">
            <v>0</v>
          </cell>
          <cell r="M3113">
            <v>0</v>
          </cell>
          <cell r="P3113">
            <v>0</v>
          </cell>
        </row>
        <row r="3114">
          <cell r="K3114">
            <v>0</v>
          </cell>
          <cell r="M3114">
            <v>0</v>
          </cell>
          <cell r="P3114">
            <v>0</v>
          </cell>
        </row>
        <row r="3115">
          <cell r="K3115">
            <v>0</v>
          </cell>
          <cell r="M3115">
            <v>0</v>
          </cell>
          <cell r="P3115">
            <v>0</v>
          </cell>
        </row>
        <row r="3116">
          <cell r="K3116">
            <v>0</v>
          </cell>
          <cell r="M3116">
            <v>0</v>
          </cell>
          <cell r="P3116">
            <v>0</v>
          </cell>
        </row>
        <row r="3117">
          <cell r="K3117">
            <v>0</v>
          </cell>
          <cell r="M3117">
            <v>0</v>
          </cell>
          <cell r="P3117">
            <v>0</v>
          </cell>
        </row>
        <row r="3118">
          <cell r="K3118">
            <v>0</v>
          </cell>
          <cell r="M3118">
            <v>0</v>
          </cell>
          <cell r="P3118">
            <v>0</v>
          </cell>
        </row>
        <row r="3119">
          <cell r="K3119">
            <v>0</v>
          </cell>
          <cell r="M3119">
            <v>0</v>
          </cell>
          <cell r="P3119">
            <v>0</v>
          </cell>
        </row>
        <row r="3120">
          <cell r="K3120">
            <v>0</v>
          </cell>
          <cell r="M3120">
            <v>0</v>
          </cell>
          <cell r="P3120">
            <v>0</v>
          </cell>
        </row>
        <row r="3121">
          <cell r="K3121">
            <v>0</v>
          </cell>
          <cell r="M3121">
            <v>0</v>
          </cell>
          <cell r="P3121">
            <v>0</v>
          </cell>
        </row>
        <row r="3122">
          <cell r="K3122">
            <v>0</v>
          </cell>
          <cell r="M3122">
            <v>0</v>
          </cell>
          <cell r="P3122">
            <v>0</v>
          </cell>
        </row>
        <row r="3123">
          <cell r="K3123">
            <v>0</v>
          </cell>
          <cell r="M3123">
            <v>0</v>
          </cell>
          <cell r="P3123">
            <v>0</v>
          </cell>
        </row>
        <row r="3124">
          <cell r="K3124">
            <v>0</v>
          </cell>
          <cell r="M3124">
            <v>0</v>
          </cell>
          <cell r="P3124">
            <v>0</v>
          </cell>
        </row>
        <row r="3125">
          <cell r="K3125">
            <v>0</v>
          </cell>
          <cell r="M3125">
            <v>0</v>
          </cell>
          <cell r="P3125">
            <v>0</v>
          </cell>
        </row>
        <row r="3126">
          <cell r="K3126">
            <v>0</v>
          </cell>
          <cell r="M3126">
            <v>0</v>
          </cell>
          <cell r="P3126">
            <v>0</v>
          </cell>
        </row>
        <row r="3127">
          <cell r="K3127">
            <v>0</v>
          </cell>
          <cell r="M3127">
            <v>0</v>
          </cell>
          <cell r="P3127">
            <v>0</v>
          </cell>
        </row>
        <row r="3128">
          <cell r="K3128">
            <v>0</v>
          </cell>
          <cell r="M3128">
            <v>0</v>
          </cell>
          <cell r="P3128">
            <v>0</v>
          </cell>
        </row>
        <row r="3129">
          <cell r="K3129">
            <v>0</v>
          </cell>
          <cell r="M3129">
            <v>0</v>
          </cell>
          <cell r="P3129">
            <v>0</v>
          </cell>
        </row>
        <row r="3130">
          <cell r="K3130">
            <v>0</v>
          </cell>
          <cell r="M3130">
            <v>0</v>
          </cell>
          <cell r="P3130">
            <v>0</v>
          </cell>
        </row>
        <row r="3131">
          <cell r="K3131">
            <v>0</v>
          </cell>
          <cell r="M3131">
            <v>0</v>
          </cell>
          <cell r="P3131">
            <v>0</v>
          </cell>
        </row>
        <row r="3132">
          <cell r="K3132">
            <v>0</v>
          </cell>
          <cell r="M3132">
            <v>0</v>
          </cell>
          <cell r="P3132">
            <v>0</v>
          </cell>
        </row>
        <row r="3133">
          <cell r="K3133">
            <v>0</v>
          </cell>
          <cell r="M3133">
            <v>0</v>
          </cell>
          <cell r="P3133">
            <v>0</v>
          </cell>
        </row>
        <row r="3134">
          <cell r="K3134">
            <v>0</v>
          </cell>
          <cell r="M3134">
            <v>0</v>
          </cell>
          <cell r="P3134">
            <v>0</v>
          </cell>
        </row>
        <row r="3135">
          <cell r="K3135">
            <v>0</v>
          </cell>
          <cell r="M3135">
            <v>0</v>
          </cell>
          <cell r="P3135">
            <v>0</v>
          </cell>
        </row>
        <row r="3136">
          <cell r="K3136">
            <v>0</v>
          </cell>
          <cell r="M3136">
            <v>0</v>
          </cell>
          <cell r="P3136">
            <v>0</v>
          </cell>
        </row>
        <row r="3137">
          <cell r="K3137">
            <v>0</v>
          </cell>
          <cell r="M3137">
            <v>0</v>
          </cell>
          <cell r="P3137">
            <v>0</v>
          </cell>
        </row>
        <row r="3138">
          <cell r="K3138">
            <v>0</v>
          </cell>
          <cell r="M3138">
            <v>0</v>
          </cell>
          <cell r="P3138">
            <v>0</v>
          </cell>
        </row>
        <row r="3139">
          <cell r="K3139">
            <v>0</v>
          </cell>
          <cell r="M3139">
            <v>0</v>
          </cell>
          <cell r="P3139">
            <v>0</v>
          </cell>
        </row>
        <row r="3140">
          <cell r="K3140">
            <v>0</v>
          </cell>
          <cell r="M3140">
            <v>0</v>
          </cell>
          <cell r="P3140">
            <v>0</v>
          </cell>
        </row>
        <row r="3141">
          <cell r="K3141">
            <v>0</v>
          </cell>
          <cell r="M3141">
            <v>0</v>
          </cell>
          <cell r="P3141">
            <v>0</v>
          </cell>
        </row>
        <row r="3142">
          <cell r="K3142">
            <v>0</v>
          </cell>
          <cell r="M3142">
            <v>0</v>
          </cell>
          <cell r="P3142">
            <v>0</v>
          </cell>
        </row>
        <row r="3143">
          <cell r="K3143">
            <v>0</v>
          </cell>
          <cell r="M3143">
            <v>0</v>
          </cell>
          <cell r="P3143">
            <v>0</v>
          </cell>
        </row>
        <row r="3144">
          <cell r="K3144">
            <v>0</v>
          </cell>
          <cell r="M3144">
            <v>0</v>
          </cell>
          <cell r="P3144">
            <v>0</v>
          </cell>
        </row>
        <row r="3145">
          <cell r="K3145">
            <v>0</v>
          </cell>
          <cell r="M3145">
            <v>0</v>
          </cell>
          <cell r="P3145">
            <v>0</v>
          </cell>
        </row>
        <row r="3146">
          <cell r="K3146">
            <v>0</v>
          </cell>
          <cell r="M3146">
            <v>0</v>
          </cell>
          <cell r="P3146">
            <v>0</v>
          </cell>
        </row>
        <row r="3147">
          <cell r="K3147">
            <v>0</v>
          </cell>
          <cell r="M3147">
            <v>0</v>
          </cell>
          <cell r="P3147">
            <v>0</v>
          </cell>
        </row>
        <row r="3148">
          <cell r="K3148">
            <v>0</v>
          </cell>
          <cell r="M3148">
            <v>0</v>
          </cell>
          <cell r="P3148">
            <v>0</v>
          </cell>
        </row>
        <row r="3149">
          <cell r="K3149">
            <v>0</v>
          </cell>
          <cell r="M3149">
            <v>0</v>
          </cell>
          <cell r="P3149">
            <v>0</v>
          </cell>
        </row>
        <row r="3150">
          <cell r="K3150">
            <v>0</v>
          </cell>
          <cell r="M3150">
            <v>0</v>
          </cell>
          <cell r="P3150">
            <v>0</v>
          </cell>
        </row>
        <row r="3151">
          <cell r="K3151">
            <v>0</v>
          </cell>
          <cell r="M3151">
            <v>0</v>
          </cell>
          <cell r="P3151">
            <v>0</v>
          </cell>
        </row>
        <row r="3152">
          <cell r="K3152">
            <v>0</v>
          </cell>
          <cell r="M3152">
            <v>0</v>
          </cell>
          <cell r="P3152">
            <v>0</v>
          </cell>
        </row>
        <row r="3153">
          <cell r="K3153">
            <v>0</v>
          </cell>
          <cell r="M3153">
            <v>0</v>
          </cell>
          <cell r="P3153">
            <v>0</v>
          </cell>
        </row>
        <row r="3154">
          <cell r="K3154">
            <v>0</v>
          </cell>
          <cell r="M3154">
            <v>0</v>
          </cell>
          <cell r="P3154">
            <v>0</v>
          </cell>
        </row>
        <row r="3155">
          <cell r="K3155">
            <v>0</v>
          </cell>
          <cell r="M3155">
            <v>0</v>
          </cell>
          <cell r="P3155">
            <v>0</v>
          </cell>
        </row>
        <row r="3156">
          <cell r="K3156">
            <v>0</v>
          </cell>
          <cell r="M3156">
            <v>0</v>
          </cell>
          <cell r="P3156">
            <v>0</v>
          </cell>
        </row>
        <row r="3157">
          <cell r="K3157">
            <v>0</v>
          </cell>
          <cell r="M3157">
            <v>0</v>
          </cell>
          <cell r="P3157">
            <v>0</v>
          </cell>
        </row>
        <row r="3158">
          <cell r="K3158">
            <v>0</v>
          </cell>
          <cell r="M3158">
            <v>0</v>
          </cell>
          <cell r="P3158">
            <v>0</v>
          </cell>
        </row>
        <row r="3159">
          <cell r="K3159">
            <v>0</v>
          </cell>
          <cell r="M3159">
            <v>0</v>
          </cell>
          <cell r="P3159">
            <v>0</v>
          </cell>
        </row>
        <row r="3160">
          <cell r="K3160">
            <v>0</v>
          </cell>
          <cell r="M3160">
            <v>0</v>
          </cell>
          <cell r="P3160">
            <v>0</v>
          </cell>
        </row>
        <row r="3161">
          <cell r="K3161">
            <v>0</v>
          </cell>
          <cell r="M3161">
            <v>0</v>
          </cell>
          <cell r="P3161">
            <v>0</v>
          </cell>
        </row>
        <row r="3162">
          <cell r="K3162">
            <v>0</v>
          </cell>
          <cell r="M3162">
            <v>0</v>
          </cell>
          <cell r="P3162">
            <v>0</v>
          </cell>
        </row>
        <row r="3163">
          <cell r="K3163">
            <v>0</v>
          </cell>
          <cell r="M3163">
            <v>0</v>
          </cell>
          <cell r="P3163">
            <v>0</v>
          </cell>
        </row>
        <row r="3164">
          <cell r="K3164">
            <v>0</v>
          </cell>
          <cell r="M3164">
            <v>0</v>
          </cell>
          <cell r="P3164">
            <v>0</v>
          </cell>
        </row>
        <row r="3165">
          <cell r="K3165">
            <v>0</v>
          </cell>
          <cell r="M3165">
            <v>0</v>
          </cell>
          <cell r="P3165">
            <v>0</v>
          </cell>
        </row>
        <row r="3166">
          <cell r="K3166">
            <v>0</v>
          </cell>
          <cell r="M3166">
            <v>0</v>
          </cell>
          <cell r="P3166">
            <v>0</v>
          </cell>
        </row>
        <row r="3167">
          <cell r="K3167">
            <v>0</v>
          </cell>
          <cell r="M3167">
            <v>0</v>
          </cell>
          <cell r="P3167">
            <v>0</v>
          </cell>
        </row>
        <row r="3168">
          <cell r="K3168">
            <v>0</v>
          </cell>
          <cell r="M3168">
            <v>0</v>
          </cell>
          <cell r="P3168">
            <v>0</v>
          </cell>
        </row>
        <row r="3169">
          <cell r="K3169">
            <v>0</v>
          </cell>
          <cell r="M3169">
            <v>0</v>
          </cell>
          <cell r="P3169">
            <v>0</v>
          </cell>
        </row>
        <row r="3170">
          <cell r="K3170">
            <v>0</v>
          </cell>
          <cell r="M3170">
            <v>0</v>
          </cell>
          <cell r="P3170">
            <v>0</v>
          </cell>
        </row>
        <row r="3171">
          <cell r="K3171">
            <v>0</v>
          </cell>
          <cell r="M3171">
            <v>0</v>
          </cell>
          <cell r="P3171">
            <v>0</v>
          </cell>
        </row>
        <row r="3172">
          <cell r="K3172">
            <v>0</v>
          </cell>
          <cell r="M3172">
            <v>0</v>
          </cell>
          <cell r="P3172">
            <v>0</v>
          </cell>
        </row>
        <row r="3173">
          <cell r="K3173">
            <v>0</v>
          </cell>
          <cell r="M3173">
            <v>0</v>
          </cell>
          <cell r="P3173">
            <v>0</v>
          </cell>
        </row>
        <row r="3174">
          <cell r="K3174">
            <v>0</v>
          </cell>
          <cell r="M3174">
            <v>0</v>
          </cell>
          <cell r="P3174">
            <v>0</v>
          </cell>
        </row>
        <row r="3175">
          <cell r="K3175">
            <v>0</v>
          </cell>
          <cell r="M3175">
            <v>0</v>
          </cell>
          <cell r="P3175">
            <v>0</v>
          </cell>
        </row>
        <row r="3176">
          <cell r="K3176">
            <v>0</v>
          </cell>
          <cell r="M3176">
            <v>0</v>
          </cell>
          <cell r="P3176">
            <v>0</v>
          </cell>
        </row>
        <row r="3177">
          <cell r="K3177">
            <v>0</v>
          </cell>
          <cell r="M3177">
            <v>0</v>
          </cell>
          <cell r="P3177">
            <v>0</v>
          </cell>
        </row>
        <row r="3178">
          <cell r="K3178">
            <v>0</v>
          </cell>
          <cell r="M3178">
            <v>0</v>
          </cell>
          <cell r="P3178">
            <v>0</v>
          </cell>
        </row>
        <row r="3179">
          <cell r="K3179">
            <v>0</v>
          </cell>
          <cell r="M3179">
            <v>0</v>
          </cell>
          <cell r="P3179">
            <v>0</v>
          </cell>
        </row>
        <row r="3180">
          <cell r="K3180">
            <v>0</v>
          </cell>
          <cell r="M3180">
            <v>0</v>
          </cell>
          <cell r="P3180">
            <v>0</v>
          </cell>
        </row>
        <row r="3181">
          <cell r="K3181">
            <v>0</v>
          </cell>
          <cell r="M3181">
            <v>0</v>
          </cell>
          <cell r="P3181">
            <v>0</v>
          </cell>
        </row>
        <row r="3182">
          <cell r="K3182">
            <v>0</v>
          </cell>
          <cell r="M3182">
            <v>0</v>
          </cell>
          <cell r="P3182">
            <v>0</v>
          </cell>
        </row>
        <row r="3183">
          <cell r="K3183">
            <v>0</v>
          </cell>
          <cell r="M3183">
            <v>0</v>
          </cell>
          <cell r="P3183">
            <v>0</v>
          </cell>
        </row>
        <row r="3184">
          <cell r="K3184">
            <v>0</v>
          </cell>
          <cell r="M3184">
            <v>0</v>
          </cell>
          <cell r="P3184">
            <v>0</v>
          </cell>
        </row>
        <row r="3185">
          <cell r="K3185">
            <v>0</v>
          </cell>
          <cell r="M3185">
            <v>0</v>
          </cell>
          <cell r="P3185">
            <v>0</v>
          </cell>
        </row>
        <row r="3186">
          <cell r="K3186">
            <v>0</v>
          </cell>
          <cell r="M3186">
            <v>0</v>
          </cell>
          <cell r="P3186">
            <v>0</v>
          </cell>
        </row>
        <row r="3187">
          <cell r="K3187">
            <v>0</v>
          </cell>
          <cell r="M3187">
            <v>0</v>
          </cell>
          <cell r="P3187">
            <v>0</v>
          </cell>
        </row>
        <row r="3188">
          <cell r="K3188">
            <v>0</v>
          </cell>
          <cell r="M3188">
            <v>0</v>
          </cell>
          <cell r="P3188">
            <v>0</v>
          </cell>
        </row>
        <row r="3189">
          <cell r="K3189">
            <v>0</v>
          </cell>
          <cell r="M3189">
            <v>0</v>
          </cell>
          <cell r="P3189">
            <v>0</v>
          </cell>
        </row>
        <row r="3190">
          <cell r="K3190">
            <v>0</v>
          </cell>
          <cell r="M3190">
            <v>0</v>
          </cell>
          <cell r="P3190">
            <v>0</v>
          </cell>
        </row>
        <row r="3191">
          <cell r="K3191">
            <v>0</v>
          </cell>
          <cell r="M3191">
            <v>0</v>
          </cell>
          <cell r="P3191">
            <v>0</v>
          </cell>
        </row>
        <row r="3192">
          <cell r="K3192">
            <v>0</v>
          </cell>
          <cell r="M3192">
            <v>0</v>
          </cell>
          <cell r="P3192">
            <v>0</v>
          </cell>
        </row>
        <row r="3193">
          <cell r="K3193">
            <v>0</v>
          </cell>
          <cell r="M3193">
            <v>0</v>
          </cell>
          <cell r="P3193">
            <v>0</v>
          </cell>
        </row>
        <row r="3194">
          <cell r="K3194">
            <v>0</v>
          </cell>
          <cell r="M3194">
            <v>0</v>
          </cell>
          <cell r="P3194">
            <v>0</v>
          </cell>
        </row>
        <row r="3195">
          <cell r="K3195">
            <v>0</v>
          </cell>
          <cell r="M3195">
            <v>0</v>
          </cell>
          <cell r="P3195">
            <v>0</v>
          </cell>
        </row>
        <row r="3196">
          <cell r="K3196">
            <v>0</v>
          </cell>
          <cell r="M3196">
            <v>0</v>
          </cell>
          <cell r="P3196">
            <v>0</v>
          </cell>
        </row>
        <row r="3197">
          <cell r="K3197">
            <v>0</v>
          </cell>
          <cell r="M3197">
            <v>0</v>
          </cell>
          <cell r="P3197">
            <v>0</v>
          </cell>
        </row>
        <row r="3198">
          <cell r="K3198">
            <v>0</v>
          </cell>
          <cell r="M3198">
            <v>0</v>
          </cell>
          <cell r="P3198">
            <v>0</v>
          </cell>
        </row>
        <row r="3199">
          <cell r="K3199">
            <v>0</v>
          </cell>
          <cell r="M3199">
            <v>0</v>
          </cell>
          <cell r="P3199">
            <v>0</v>
          </cell>
        </row>
        <row r="3200">
          <cell r="K3200">
            <v>0</v>
          </cell>
          <cell r="M3200">
            <v>0</v>
          </cell>
          <cell r="P3200">
            <v>0</v>
          </cell>
        </row>
        <row r="3201">
          <cell r="K3201">
            <v>0</v>
          </cell>
          <cell r="M3201">
            <v>0</v>
          </cell>
          <cell r="P3201">
            <v>0</v>
          </cell>
        </row>
        <row r="3202">
          <cell r="K3202">
            <v>0</v>
          </cell>
          <cell r="M3202">
            <v>0</v>
          </cell>
          <cell r="P3202">
            <v>0</v>
          </cell>
        </row>
        <row r="3203">
          <cell r="K3203">
            <v>0</v>
          </cell>
          <cell r="M3203">
            <v>0</v>
          </cell>
          <cell r="P3203">
            <v>0</v>
          </cell>
        </row>
        <row r="3204">
          <cell r="K3204">
            <v>0</v>
          </cell>
          <cell r="M3204">
            <v>0</v>
          </cell>
          <cell r="P3204">
            <v>0</v>
          </cell>
        </row>
        <row r="3205">
          <cell r="K3205">
            <v>0</v>
          </cell>
          <cell r="M3205">
            <v>0</v>
          </cell>
          <cell r="P3205">
            <v>0</v>
          </cell>
        </row>
        <row r="3206">
          <cell r="K3206">
            <v>0</v>
          </cell>
          <cell r="M3206">
            <v>0</v>
          </cell>
          <cell r="P3206">
            <v>0</v>
          </cell>
        </row>
        <row r="3207">
          <cell r="K3207">
            <v>0</v>
          </cell>
          <cell r="M3207">
            <v>0</v>
          </cell>
          <cell r="P3207">
            <v>0</v>
          </cell>
        </row>
        <row r="3208">
          <cell r="K3208">
            <v>0</v>
          </cell>
          <cell r="M3208">
            <v>0</v>
          </cell>
          <cell r="P3208">
            <v>0</v>
          </cell>
        </row>
        <row r="3209">
          <cell r="K3209">
            <v>0</v>
          </cell>
          <cell r="M3209">
            <v>0</v>
          </cell>
          <cell r="P3209">
            <v>0</v>
          </cell>
        </row>
        <row r="3210">
          <cell r="K3210">
            <v>0</v>
          </cell>
          <cell r="M3210">
            <v>0</v>
          </cell>
          <cell r="P3210">
            <v>0</v>
          </cell>
        </row>
        <row r="3211">
          <cell r="K3211">
            <v>0</v>
          </cell>
          <cell r="M3211">
            <v>0</v>
          </cell>
          <cell r="P3211">
            <v>0</v>
          </cell>
        </row>
        <row r="3212">
          <cell r="K3212">
            <v>0</v>
          </cell>
          <cell r="M3212">
            <v>0</v>
          </cell>
          <cell r="P3212">
            <v>0</v>
          </cell>
        </row>
        <row r="3213">
          <cell r="K3213">
            <v>0</v>
          </cell>
          <cell r="M3213">
            <v>0</v>
          </cell>
          <cell r="P3213">
            <v>0</v>
          </cell>
        </row>
        <row r="3214">
          <cell r="K3214">
            <v>0</v>
          </cell>
          <cell r="M3214">
            <v>0</v>
          </cell>
          <cell r="P3214">
            <v>0</v>
          </cell>
        </row>
        <row r="3215">
          <cell r="K3215">
            <v>0</v>
          </cell>
          <cell r="M3215">
            <v>0</v>
          </cell>
          <cell r="P3215">
            <v>0</v>
          </cell>
        </row>
        <row r="3216">
          <cell r="K3216">
            <v>0</v>
          </cell>
          <cell r="M3216">
            <v>0</v>
          </cell>
          <cell r="P3216">
            <v>0</v>
          </cell>
        </row>
        <row r="3217">
          <cell r="K3217">
            <v>0</v>
          </cell>
          <cell r="M3217">
            <v>0</v>
          </cell>
          <cell r="P3217">
            <v>0</v>
          </cell>
        </row>
        <row r="3218">
          <cell r="K3218">
            <v>0</v>
          </cell>
          <cell r="M3218">
            <v>0</v>
          </cell>
          <cell r="P3218">
            <v>0</v>
          </cell>
        </row>
        <row r="3219">
          <cell r="K3219">
            <v>0</v>
          </cell>
          <cell r="M3219">
            <v>0</v>
          </cell>
          <cell r="P3219">
            <v>0</v>
          </cell>
        </row>
        <row r="3220">
          <cell r="K3220">
            <v>0</v>
          </cell>
          <cell r="M3220">
            <v>0</v>
          </cell>
          <cell r="P3220">
            <v>0</v>
          </cell>
        </row>
        <row r="3221">
          <cell r="K3221">
            <v>0</v>
          </cell>
          <cell r="M3221">
            <v>0</v>
          </cell>
          <cell r="P3221">
            <v>0</v>
          </cell>
        </row>
        <row r="3222">
          <cell r="K3222">
            <v>0</v>
          </cell>
          <cell r="M3222">
            <v>0</v>
          </cell>
          <cell r="P3222">
            <v>0</v>
          </cell>
        </row>
        <row r="3223">
          <cell r="K3223">
            <v>0</v>
          </cell>
          <cell r="M3223">
            <v>0</v>
          </cell>
          <cell r="P3223">
            <v>0</v>
          </cell>
        </row>
        <row r="3224">
          <cell r="K3224">
            <v>0</v>
          </cell>
          <cell r="M3224">
            <v>0</v>
          </cell>
          <cell r="P3224">
            <v>0</v>
          </cell>
        </row>
        <row r="3225">
          <cell r="K3225">
            <v>0</v>
          </cell>
          <cell r="M3225">
            <v>0</v>
          </cell>
          <cell r="P3225">
            <v>0</v>
          </cell>
        </row>
        <row r="3226">
          <cell r="K3226">
            <v>0</v>
          </cell>
          <cell r="M3226">
            <v>0</v>
          </cell>
          <cell r="P3226">
            <v>0</v>
          </cell>
        </row>
        <row r="3227">
          <cell r="K3227">
            <v>0</v>
          </cell>
          <cell r="M3227">
            <v>0</v>
          </cell>
          <cell r="P3227">
            <v>0</v>
          </cell>
        </row>
        <row r="3228">
          <cell r="K3228">
            <v>0</v>
          </cell>
          <cell r="M3228">
            <v>0</v>
          </cell>
          <cell r="P3228">
            <v>0</v>
          </cell>
        </row>
        <row r="3229">
          <cell r="K3229">
            <v>0</v>
          </cell>
          <cell r="M3229">
            <v>0</v>
          </cell>
          <cell r="P3229">
            <v>0</v>
          </cell>
        </row>
        <row r="3230">
          <cell r="K3230">
            <v>0</v>
          </cell>
          <cell r="M3230">
            <v>0</v>
          </cell>
          <cell r="P3230">
            <v>0</v>
          </cell>
        </row>
        <row r="3231">
          <cell r="K3231">
            <v>0</v>
          </cell>
          <cell r="M3231">
            <v>0</v>
          </cell>
          <cell r="P3231">
            <v>0</v>
          </cell>
        </row>
        <row r="3232">
          <cell r="K3232">
            <v>0</v>
          </cell>
          <cell r="M3232">
            <v>0</v>
          </cell>
          <cell r="P3232">
            <v>0</v>
          </cell>
        </row>
        <row r="3233">
          <cell r="K3233">
            <v>0</v>
          </cell>
          <cell r="M3233">
            <v>0</v>
          </cell>
          <cell r="P3233">
            <v>0</v>
          </cell>
        </row>
        <row r="3234">
          <cell r="K3234">
            <v>0</v>
          </cell>
          <cell r="M3234">
            <v>0</v>
          </cell>
          <cell r="P3234">
            <v>0</v>
          </cell>
        </row>
        <row r="3235">
          <cell r="K3235">
            <v>0</v>
          </cell>
          <cell r="M3235">
            <v>0</v>
          </cell>
          <cell r="P3235">
            <v>0</v>
          </cell>
        </row>
        <row r="3236">
          <cell r="K3236">
            <v>0</v>
          </cell>
          <cell r="M3236">
            <v>0</v>
          </cell>
          <cell r="P3236">
            <v>0</v>
          </cell>
        </row>
        <row r="3237">
          <cell r="K3237">
            <v>0</v>
          </cell>
          <cell r="M3237">
            <v>0</v>
          </cell>
          <cell r="P3237">
            <v>0</v>
          </cell>
        </row>
        <row r="3238">
          <cell r="K3238">
            <v>0</v>
          </cell>
          <cell r="M3238">
            <v>0</v>
          </cell>
          <cell r="P3238">
            <v>0</v>
          </cell>
        </row>
        <row r="3239">
          <cell r="K3239">
            <v>0</v>
          </cell>
          <cell r="M3239">
            <v>0</v>
          </cell>
          <cell r="P3239">
            <v>0</v>
          </cell>
        </row>
        <row r="3240">
          <cell r="K3240">
            <v>0</v>
          </cell>
          <cell r="M3240">
            <v>0</v>
          </cell>
          <cell r="P3240">
            <v>0</v>
          </cell>
        </row>
        <row r="3241">
          <cell r="K3241">
            <v>0</v>
          </cell>
          <cell r="M3241">
            <v>0</v>
          </cell>
          <cell r="P3241">
            <v>0</v>
          </cell>
        </row>
        <row r="3242">
          <cell r="K3242">
            <v>0</v>
          </cell>
          <cell r="M3242">
            <v>0</v>
          </cell>
          <cell r="P3242">
            <v>0</v>
          </cell>
        </row>
        <row r="3243">
          <cell r="K3243">
            <v>0</v>
          </cell>
          <cell r="M3243">
            <v>0</v>
          </cell>
          <cell r="P3243">
            <v>0</v>
          </cell>
        </row>
        <row r="3244">
          <cell r="K3244">
            <v>0</v>
          </cell>
          <cell r="M3244">
            <v>0</v>
          </cell>
          <cell r="P3244">
            <v>0</v>
          </cell>
        </row>
        <row r="3245">
          <cell r="K3245">
            <v>0</v>
          </cell>
          <cell r="M3245">
            <v>0</v>
          </cell>
          <cell r="P3245">
            <v>0</v>
          </cell>
        </row>
        <row r="3246">
          <cell r="K3246">
            <v>0</v>
          </cell>
          <cell r="M3246">
            <v>0</v>
          </cell>
          <cell r="P3246">
            <v>0</v>
          </cell>
        </row>
        <row r="3247">
          <cell r="K3247">
            <v>0</v>
          </cell>
          <cell r="M3247">
            <v>0</v>
          </cell>
          <cell r="P3247">
            <v>0</v>
          </cell>
        </row>
        <row r="3248">
          <cell r="K3248">
            <v>0</v>
          </cell>
          <cell r="M3248">
            <v>0</v>
          </cell>
          <cell r="P3248">
            <v>0</v>
          </cell>
        </row>
        <row r="3249">
          <cell r="K3249">
            <v>0</v>
          </cell>
          <cell r="M3249">
            <v>0</v>
          </cell>
          <cell r="P3249">
            <v>0</v>
          </cell>
        </row>
        <row r="3250">
          <cell r="K3250">
            <v>0</v>
          </cell>
          <cell r="M3250">
            <v>0</v>
          </cell>
          <cell r="P3250">
            <v>0</v>
          </cell>
        </row>
        <row r="3251">
          <cell r="K3251">
            <v>0</v>
          </cell>
          <cell r="M3251">
            <v>0</v>
          </cell>
          <cell r="P3251">
            <v>0</v>
          </cell>
        </row>
        <row r="3252">
          <cell r="K3252">
            <v>0</v>
          </cell>
          <cell r="M3252">
            <v>0</v>
          </cell>
          <cell r="P3252">
            <v>0</v>
          </cell>
        </row>
        <row r="3253">
          <cell r="K3253">
            <v>0</v>
          </cell>
          <cell r="M3253">
            <v>0</v>
          </cell>
          <cell r="P3253">
            <v>0</v>
          </cell>
        </row>
        <row r="3254">
          <cell r="K3254">
            <v>0</v>
          </cell>
          <cell r="M3254">
            <v>0</v>
          </cell>
          <cell r="P3254">
            <v>0</v>
          </cell>
        </row>
        <row r="3255">
          <cell r="K3255">
            <v>0</v>
          </cell>
          <cell r="M3255">
            <v>0</v>
          </cell>
          <cell r="P3255">
            <v>0</v>
          </cell>
        </row>
        <row r="3256">
          <cell r="K3256">
            <v>0</v>
          </cell>
          <cell r="M3256">
            <v>0</v>
          </cell>
          <cell r="P3256">
            <v>0</v>
          </cell>
        </row>
        <row r="3257">
          <cell r="K3257">
            <v>0</v>
          </cell>
          <cell r="M3257">
            <v>0</v>
          </cell>
          <cell r="P3257">
            <v>0</v>
          </cell>
        </row>
        <row r="3258">
          <cell r="K3258">
            <v>0</v>
          </cell>
          <cell r="M3258">
            <v>0</v>
          </cell>
          <cell r="P3258">
            <v>0</v>
          </cell>
        </row>
        <row r="3259">
          <cell r="K3259">
            <v>0</v>
          </cell>
          <cell r="M3259">
            <v>0</v>
          </cell>
          <cell r="P3259">
            <v>0</v>
          </cell>
        </row>
        <row r="3260">
          <cell r="K3260">
            <v>0</v>
          </cell>
          <cell r="M3260">
            <v>0</v>
          </cell>
          <cell r="P3260">
            <v>0</v>
          </cell>
        </row>
        <row r="3261">
          <cell r="K3261">
            <v>0</v>
          </cell>
          <cell r="M3261">
            <v>0</v>
          </cell>
          <cell r="P3261">
            <v>0</v>
          </cell>
        </row>
        <row r="3262">
          <cell r="K3262">
            <v>0</v>
          </cell>
          <cell r="M3262">
            <v>0</v>
          </cell>
          <cell r="P3262">
            <v>0</v>
          </cell>
        </row>
        <row r="3263">
          <cell r="K3263">
            <v>0</v>
          </cell>
          <cell r="M3263">
            <v>0</v>
          </cell>
          <cell r="P3263">
            <v>0</v>
          </cell>
        </row>
        <row r="3264">
          <cell r="K3264">
            <v>0</v>
          </cell>
          <cell r="M3264">
            <v>0</v>
          </cell>
          <cell r="P3264">
            <v>0</v>
          </cell>
        </row>
        <row r="3265">
          <cell r="K3265">
            <v>0</v>
          </cell>
          <cell r="M3265">
            <v>0</v>
          </cell>
          <cell r="P3265">
            <v>0</v>
          </cell>
        </row>
        <row r="3266">
          <cell r="K3266">
            <v>0</v>
          </cell>
          <cell r="M3266">
            <v>0</v>
          </cell>
          <cell r="P3266">
            <v>0</v>
          </cell>
        </row>
        <row r="3267">
          <cell r="K3267">
            <v>0</v>
          </cell>
          <cell r="M3267">
            <v>0</v>
          </cell>
          <cell r="P3267">
            <v>0</v>
          </cell>
        </row>
        <row r="3268">
          <cell r="K3268">
            <v>0</v>
          </cell>
          <cell r="M3268">
            <v>0</v>
          </cell>
          <cell r="P3268">
            <v>0</v>
          </cell>
        </row>
        <row r="3269">
          <cell r="K3269">
            <v>0</v>
          </cell>
          <cell r="M3269">
            <v>0</v>
          </cell>
          <cell r="P3269">
            <v>0</v>
          </cell>
        </row>
        <row r="3270">
          <cell r="K3270">
            <v>0</v>
          </cell>
          <cell r="M3270">
            <v>0</v>
          </cell>
          <cell r="P3270">
            <v>0</v>
          </cell>
        </row>
        <row r="3271">
          <cell r="K3271">
            <v>0</v>
          </cell>
          <cell r="M3271">
            <v>0</v>
          </cell>
          <cell r="P3271">
            <v>0</v>
          </cell>
        </row>
        <row r="3272">
          <cell r="K3272">
            <v>0</v>
          </cell>
          <cell r="M3272">
            <v>0</v>
          </cell>
          <cell r="P3272">
            <v>0</v>
          </cell>
        </row>
        <row r="3273">
          <cell r="K3273">
            <v>0</v>
          </cell>
          <cell r="M3273">
            <v>0</v>
          </cell>
          <cell r="P3273">
            <v>0</v>
          </cell>
        </row>
        <row r="3274">
          <cell r="K3274">
            <v>0</v>
          </cell>
          <cell r="M3274">
            <v>0</v>
          </cell>
          <cell r="P3274">
            <v>0</v>
          </cell>
        </row>
        <row r="3275">
          <cell r="K3275">
            <v>0</v>
          </cell>
          <cell r="M3275">
            <v>0</v>
          </cell>
          <cell r="P3275">
            <v>0</v>
          </cell>
        </row>
        <row r="3276">
          <cell r="K3276">
            <v>0</v>
          </cell>
          <cell r="M3276">
            <v>0</v>
          </cell>
          <cell r="P3276">
            <v>0</v>
          </cell>
        </row>
        <row r="3277">
          <cell r="K3277">
            <v>0</v>
          </cell>
          <cell r="M3277">
            <v>0</v>
          </cell>
          <cell r="P3277">
            <v>0</v>
          </cell>
        </row>
        <row r="3278">
          <cell r="K3278">
            <v>0</v>
          </cell>
          <cell r="M3278">
            <v>0</v>
          </cell>
          <cell r="P3278">
            <v>0</v>
          </cell>
        </row>
        <row r="3279">
          <cell r="K3279">
            <v>0</v>
          </cell>
          <cell r="M3279">
            <v>0</v>
          </cell>
          <cell r="P3279">
            <v>0</v>
          </cell>
        </row>
        <row r="3280">
          <cell r="K3280">
            <v>0</v>
          </cell>
          <cell r="M3280">
            <v>0</v>
          </cell>
          <cell r="P3280">
            <v>0</v>
          </cell>
        </row>
        <row r="3281">
          <cell r="K3281">
            <v>0</v>
          </cell>
          <cell r="M3281">
            <v>0</v>
          </cell>
          <cell r="P3281">
            <v>0</v>
          </cell>
        </row>
        <row r="3282">
          <cell r="K3282">
            <v>0</v>
          </cell>
          <cell r="M3282">
            <v>0</v>
          </cell>
          <cell r="P3282">
            <v>0</v>
          </cell>
        </row>
        <row r="3283">
          <cell r="K3283">
            <v>0</v>
          </cell>
          <cell r="M3283">
            <v>0</v>
          </cell>
          <cell r="P3283">
            <v>0</v>
          </cell>
        </row>
        <row r="3284">
          <cell r="K3284">
            <v>0</v>
          </cell>
          <cell r="M3284">
            <v>0</v>
          </cell>
          <cell r="P3284">
            <v>0</v>
          </cell>
        </row>
        <row r="3285">
          <cell r="K3285">
            <v>0</v>
          </cell>
          <cell r="M3285">
            <v>0</v>
          </cell>
          <cell r="P3285">
            <v>0</v>
          </cell>
        </row>
        <row r="3286">
          <cell r="K3286">
            <v>0</v>
          </cell>
          <cell r="M3286">
            <v>0</v>
          </cell>
          <cell r="P3286">
            <v>0</v>
          </cell>
        </row>
        <row r="3287">
          <cell r="K3287">
            <v>0</v>
          </cell>
          <cell r="M3287">
            <v>0</v>
          </cell>
          <cell r="P3287">
            <v>0</v>
          </cell>
        </row>
        <row r="3288">
          <cell r="K3288">
            <v>0</v>
          </cell>
          <cell r="M3288">
            <v>0</v>
          </cell>
          <cell r="P3288">
            <v>0</v>
          </cell>
        </row>
        <row r="3289">
          <cell r="K3289">
            <v>0</v>
          </cell>
          <cell r="M3289">
            <v>0</v>
          </cell>
          <cell r="P3289">
            <v>0</v>
          </cell>
        </row>
        <row r="3290">
          <cell r="K3290">
            <v>0</v>
          </cell>
          <cell r="M3290">
            <v>0</v>
          </cell>
          <cell r="P3290">
            <v>0</v>
          </cell>
        </row>
        <row r="3291">
          <cell r="K3291">
            <v>0</v>
          </cell>
          <cell r="M3291">
            <v>0</v>
          </cell>
          <cell r="P3291">
            <v>0</v>
          </cell>
        </row>
        <row r="3292">
          <cell r="K3292">
            <v>0</v>
          </cell>
          <cell r="M3292">
            <v>0</v>
          </cell>
          <cell r="P3292">
            <v>0</v>
          </cell>
        </row>
        <row r="3293">
          <cell r="K3293">
            <v>0</v>
          </cell>
          <cell r="M3293">
            <v>0</v>
          </cell>
          <cell r="P3293">
            <v>0</v>
          </cell>
        </row>
        <row r="3294">
          <cell r="K3294">
            <v>0</v>
          </cell>
          <cell r="M3294">
            <v>0</v>
          </cell>
          <cell r="P3294">
            <v>0</v>
          </cell>
        </row>
        <row r="3295">
          <cell r="K3295">
            <v>0</v>
          </cell>
          <cell r="M3295">
            <v>0</v>
          </cell>
          <cell r="P3295">
            <v>0</v>
          </cell>
        </row>
        <row r="3296">
          <cell r="K3296">
            <v>0</v>
          </cell>
          <cell r="M3296">
            <v>0</v>
          </cell>
          <cell r="P3296">
            <v>0</v>
          </cell>
        </row>
        <row r="3297">
          <cell r="K3297">
            <v>0</v>
          </cell>
          <cell r="M3297">
            <v>0</v>
          </cell>
          <cell r="P3297">
            <v>0</v>
          </cell>
        </row>
        <row r="3298">
          <cell r="K3298">
            <v>0</v>
          </cell>
          <cell r="M3298">
            <v>0</v>
          </cell>
          <cell r="P3298">
            <v>0</v>
          </cell>
        </row>
        <row r="3299">
          <cell r="K3299">
            <v>0</v>
          </cell>
          <cell r="M3299">
            <v>0</v>
          </cell>
          <cell r="P3299">
            <v>0</v>
          </cell>
        </row>
        <row r="3300">
          <cell r="K3300">
            <v>0</v>
          </cell>
          <cell r="M3300">
            <v>0</v>
          </cell>
          <cell r="P3300">
            <v>0</v>
          </cell>
        </row>
        <row r="3301">
          <cell r="K3301">
            <v>0</v>
          </cell>
          <cell r="M3301">
            <v>0</v>
          </cell>
          <cell r="P3301">
            <v>0</v>
          </cell>
        </row>
        <row r="3302">
          <cell r="K3302">
            <v>0</v>
          </cell>
          <cell r="M3302">
            <v>0</v>
          </cell>
          <cell r="P3302">
            <v>0</v>
          </cell>
        </row>
        <row r="3303">
          <cell r="K3303">
            <v>0</v>
          </cell>
          <cell r="M3303">
            <v>0</v>
          </cell>
          <cell r="P3303">
            <v>0</v>
          </cell>
        </row>
        <row r="3304">
          <cell r="K3304">
            <v>0</v>
          </cell>
          <cell r="M3304">
            <v>0</v>
          </cell>
          <cell r="P3304">
            <v>0</v>
          </cell>
        </row>
        <row r="3305">
          <cell r="K3305">
            <v>0</v>
          </cell>
          <cell r="M3305">
            <v>0</v>
          </cell>
          <cell r="P3305">
            <v>0</v>
          </cell>
        </row>
        <row r="3306">
          <cell r="K3306">
            <v>0</v>
          </cell>
          <cell r="M3306">
            <v>0</v>
          </cell>
          <cell r="P3306">
            <v>0</v>
          </cell>
        </row>
        <row r="3307">
          <cell r="K3307">
            <v>0</v>
          </cell>
          <cell r="M3307">
            <v>0</v>
          </cell>
          <cell r="P3307">
            <v>0</v>
          </cell>
        </row>
        <row r="3308">
          <cell r="K3308">
            <v>0</v>
          </cell>
          <cell r="M3308">
            <v>0</v>
          </cell>
          <cell r="P3308">
            <v>0</v>
          </cell>
        </row>
        <row r="3309">
          <cell r="K3309">
            <v>0</v>
          </cell>
          <cell r="M3309">
            <v>0</v>
          </cell>
          <cell r="P3309">
            <v>0</v>
          </cell>
        </row>
        <row r="3310">
          <cell r="K3310">
            <v>0</v>
          </cell>
          <cell r="M3310">
            <v>0</v>
          </cell>
          <cell r="P3310">
            <v>0</v>
          </cell>
        </row>
        <row r="3311">
          <cell r="K3311">
            <v>0</v>
          </cell>
          <cell r="M3311">
            <v>0</v>
          </cell>
          <cell r="P3311">
            <v>0</v>
          </cell>
        </row>
        <row r="3312">
          <cell r="K3312">
            <v>0</v>
          </cell>
          <cell r="M3312">
            <v>0</v>
          </cell>
          <cell r="P3312">
            <v>0</v>
          </cell>
        </row>
        <row r="3313">
          <cell r="K3313">
            <v>0</v>
          </cell>
          <cell r="M3313">
            <v>0</v>
          </cell>
          <cell r="P3313">
            <v>0</v>
          </cell>
        </row>
        <row r="3314">
          <cell r="K3314">
            <v>0</v>
          </cell>
          <cell r="M3314">
            <v>0</v>
          </cell>
          <cell r="P3314">
            <v>0</v>
          </cell>
        </row>
        <row r="3315">
          <cell r="K3315">
            <v>0</v>
          </cell>
          <cell r="M3315">
            <v>0</v>
          </cell>
          <cell r="P3315">
            <v>0</v>
          </cell>
        </row>
        <row r="3316">
          <cell r="K3316">
            <v>0</v>
          </cell>
          <cell r="M3316">
            <v>0</v>
          </cell>
          <cell r="P3316">
            <v>0</v>
          </cell>
        </row>
        <row r="3317">
          <cell r="K3317">
            <v>0</v>
          </cell>
          <cell r="M3317">
            <v>0</v>
          </cell>
          <cell r="P3317">
            <v>0</v>
          </cell>
        </row>
        <row r="3318">
          <cell r="K3318">
            <v>0</v>
          </cell>
          <cell r="M3318">
            <v>0</v>
          </cell>
          <cell r="P3318">
            <v>0</v>
          </cell>
        </row>
        <row r="3319">
          <cell r="K3319">
            <v>0</v>
          </cell>
          <cell r="M3319">
            <v>0</v>
          </cell>
          <cell r="P3319">
            <v>0</v>
          </cell>
        </row>
        <row r="3320">
          <cell r="K3320">
            <v>0</v>
          </cell>
          <cell r="M3320">
            <v>0</v>
          </cell>
          <cell r="P3320">
            <v>0</v>
          </cell>
        </row>
        <row r="3321">
          <cell r="K3321">
            <v>0</v>
          </cell>
          <cell r="M3321">
            <v>0</v>
          </cell>
          <cell r="P3321">
            <v>0</v>
          </cell>
        </row>
        <row r="3322">
          <cell r="K3322">
            <v>0</v>
          </cell>
          <cell r="M3322">
            <v>0</v>
          </cell>
          <cell r="P3322">
            <v>0</v>
          </cell>
        </row>
        <row r="3323">
          <cell r="K3323">
            <v>0</v>
          </cell>
          <cell r="M3323">
            <v>0</v>
          </cell>
          <cell r="P3323">
            <v>0</v>
          </cell>
        </row>
        <row r="3324">
          <cell r="K3324">
            <v>0</v>
          </cell>
          <cell r="M3324">
            <v>0</v>
          </cell>
          <cell r="P3324">
            <v>0</v>
          </cell>
        </row>
        <row r="3325">
          <cell r="K3325">
            <v>0</v>
          </cell>
          <cell r="M3325">
            <v>0</v>
          </cell>
          <cell r="P3325">
            <v>0</v>
          </cell>
        </row>
        <row r="3326">
          <cell r="K3326">
            <v>0</v>
          </cell>
          <cell r="M3326">
            <v>0</v>
          </cell>
          <cell r="P3326">
            <v>0</v>
          </cell>
        </row>
        <row r="3327">
          <cell r="K3327">
            <v>0</v>
          </cell>
          <cell r="M3327">
            <v>0</v>
          </cell>
          <cell r="P3327">
            <v>0</v>
          </cell>
        </row>
        <row r="3328">
          <cell r="K3328">
            <v>0</v>
          </cell>
          <cell r="M3328">
            <v>0</v>
          </cell>
          <cell r="P3328">
            <v>0</v>
          </cell>
        </row>
        <row r="3329">
          <cell r="K3329">
            <v>0</v>
          </cell>
          <cell r="M3329">
            <v>0</v>
          </cell>
          <cell r="P3329">
            <v>0</v>
          </cell>
        </row>
        <row r="3330">
          <cell r="K3330">
            <v>0</v>
          </cell>
          <cell r="M3330">
            <v>0</v>
          </cell>
          <cell r="P3330">
            <v>0</v>
          </cell>
        </row>
        <row r="3331">
          <cell r="K3331">
            <v>0</v>
          </cell>
          <cell r="M3331">
            <v>0</v>
          </cell>
          <cell r="P3331">
            <v>0</v>
          </cell>
        </row>
        <row r="3332">
          <cell r="K3332">
            <v>0</v>
          </cell>
          <cell r="M3332">
            <v>0</v>
          </cell>
          <cell r="P3332">
            <v>0</v>
          </cell>
        </row>
        <row r="3333">
          <cell r="K3333">
            <v>0</v>
          </cell>
          <cell r="M3333">
            <v>0</v>
          </cell>
          <cell r="P3333">
            <v>0</v>
          </cell>
        </row>
        <row r="3334">
          <cell r="K3334">
            <v>0</v>
          </cell>
          <cell r="M3334">
            <v>0</v>
          </cell>
          <cell r="P3334">
            <v>0</v>
          </cell>
        </row>
        <row r="3335">
          <cell r="K3335">
            <v>0</v>
          </cell>
          <cell r="M3335">
            <v>0</v>
          </cell>
          <cell r="P3335">
            <v>0</v>
          </cell>
        </row>
        <row r="3336">
          <cell r="K3336">
            <v>0</v>
          </cell>
          <cell r="M3336">
            <v>0</v>
          </cell>
          <cell r="P3336">
            <v>0</v>
          </cell>
        </row>
        <row r="3337">
          <cell r="K3337">
            <v>0</v>
          </cell>
          <cell r="M3337">
            <v>0</v>
          </cell>
          <cell r="P3337">
            <v>0</v>
          </cell>
        </row>
        <row r="3338">
          <cell r="K3338">
            <v>0</v>
          </cell>
          <cell r="M3338">
            <v>0</v>
          </cell>
          <cell r="P3338">
            <v>0</v>
          </cell>
        </row>
        <row r="3339">
          <cell r="K3339">
            <v>0</v>
          </cell>
          <cell r="M3339">
            <v>0</v>
          </cell>
          <cell r="P3339">
            <v>0</v>
          </cell>
        </row>
        <row r="3340">
          <cell r="K3340">
            <v>0</v>
          </cell>
          <cell r="M3340">
            <v>0</v>
          </cell>
          <cell r="P3340">
            <v>0</v>
          </cell>
        </row>
        <row r="3341">
          <cell r="K3341">
            <v>0</v>
          </cell>
          <cell r="M3341">
            <v>0</v>
          </cell>
          <cell r="P3341">
            <v>0</v>
          </cell>
        </row>
        <row r="3342">
          <cell r="K3342">
            <v>0</v>
          </cell>
          <cell r="M3342">
            <v>0</v>
          </cell>
          <cell r="P3342">
            <v>0</v>
          </cell>
        </row>
        <row r="3343">
          <cell r="K3343">
            <v>0</v>
          </cell>
          <cell r="M3343">
            <v>0</v>
          </cell>
          <cell r="P3343">
            <v>0</v>
          </cell>
        </row>
        <row r="3344">
          <cell r="K3344">
            <v>0</v>
          </cell>
          <cell r="M3344">
            <v>0</v>
          </cell>
          <cell r="P3344">
            <v>0</v>
          </cell>
        </row>
        <row r="3345">
          <cell r="K3345">
            <v>0</v>
          </cell>
          <cell r="M3345">
            <v>0</v>
          </cell>
          <cell r="P3345">
            <v>0</v>
          </cell>
        </row>
        <row r="3346">
          <cell r="K3346">
            <v>0</v>
          </cell>
          <cell r="M3346">
            <v>0</v>
          </cell>
          <cell r="P3346">
            <v>0</v>
          </cell>
        </row>
        <row r="3347">
          <cell r="K3347">
            <v>0</v>
          </cell>
          <cell r="M3347">
            <v>0</v>
          </cell>
          <cell r="P3347">
            <v>0</v>
          </cell>
        </row>
        <row r="3348">
          <cell r="K3348">
            <v>0</v>
          </cell>
          <cell r="M3348">
            <v>0</v>
          </cell>
          <cell r="P3348">
            <v>0</v>
          </cell>
        </row>
        <row r="3349">
          <cell r="K3349">
            <v>0</v>
          </cell>
          <cell r="M3349">
            <v>0</v>
          </cell>
          <cell r="P3349">
            <v>0</v>
          </cell>
        </row>
        <row r="3350">
          <cell r="K3350">
            <v>0</v>
          </cell>
          <cell r="M3350">
            <v>0</v>
          </cell>
          <cell r="P3350">
            <v>0</v>
          </cell>
        </row>
        <row r="3351">
          <cell r="K3351">
            <v>0</v>
          </cell>
          <cell r="M3351">
            <v>0</v>
          </cell>
          <cell r="P3351">
            <v>0</v>
          </cell>
        </row>
        <row r="3352">
          <cell r="K3352">
            <v>0</v>
          </cell>
          <cell r="M3352">
            <v>0</v>
          </cell>
          <cell r="P3352">
            <v>0</v>
          </cell>
        </row>
        <row r="3353">
          <cell r="K3353">
            <v>0</v>
          </cell>
          <cell r="M3353">
            <v>0</v>
          </cell>
          <cell r="P3353">
            <v>0</v>
          </cell>
        </row>
        <row r="3354">
          <cell r="K3354">
            <v>0</v>
          </cell>
          <cell r="M3354">
            <v>0</v>
          </cell>
          <cell r="P3354">
            <v>0</v>
          </cell>
        </row>
        <row r="3355">
          <cell r="K3355">
            <v>0</v>
          </cell>
          <cell r="M3355">
            <v>0</v>
          </cell>
          <cell r="P3355">
            <v>0</v>
          </cell>
        </row>
        <row r="3356">
          <cell r="K3356">
            <v>0</v>
          </cell>
          <cell r="M3356">
            <v>0</v>
          </cell>
          <cell r="P3356">
            <v>0</v>
          </cell>
        </row>
        <row r="3357">
          <cell r="K3357">
            <v>0</v>
          </cell>
          <cell r="M3357">
            <v>0</v>
          </cell>
          <cell r="P3357">
            <v>0</v>
          </cell>
        </row>
        <row r="3358">
          <cell r="K3358">
            <v>0</v>
          </cell>
          <cell r="M3358">
            <v>0</v>
          </cell>
          <cell r="P3358">
            <v>0</v>
          </cell>
        </row>
        <row r="3359">
          <cell r="K3359">
            <v>0</v>
          </cell>
          <cell r="M3359">
            <v>0</v>
          </cell>
          <cell r="P3359">
            <v>0</v>
          </cell>
        </row>
        <row r="3360">
          <cell r="K3360">
            <v>0</v>
          </cell>
          <cell r="M3360">
            <v>0</v>
          </cell>
          <cell r="P3360">
            <v>0</v>
          </cell>
        </row>
        <row r="3361">
          <cell r="K3361">
            <v>0</v>
          </cell>
          <cell r="M3361">
            <v>0</v>
          </cell>
          <cell r="P3361">
            <v>0</v>
          </cell>
        </row>
        <row r="3362">
          <cell r="K3362">
            <v>0</v>
          </cell>
          <cell r="M3362">
            <v>0</v>
          </cell>
          <cell r="P3362">
            <v>0</v>
          </cell>
        </row>
        <row r="3363">
          <cell r="K3363">
            <v>0</v>
          </cell>
          <cell r="M3363">
            <v>0</v>
          </cell>
          <cell r="P3363">
            <v>0</v>
          </cell>
        </row>
        <row r="3364">
          <cell r="K3364">
            <v>0</v>
          </cell>
          <cell r="M3364">
            <v>0</v>
          </cell>
          <cell r="P3364">
            <v>0</v>
          </cell>
        </row>
        <row r="3365">
          <cell r="K3365">
            <v>0</v>
          </cell>
          <cell r="M3365">
            <v>0</v>
          </cell>
          <cell r="P3365">
            <v>0</v>
          </cell>
        </row>
        <row r="3366">
          <cell r="K3366">
            <v>0</v>
          </cell>
          <cell r="M3366">
            <v>0</v>
          </cell>
          <cell r="P3366">
            <v>0</v>
          </cell>
        </row>
        <row r="3367">
          <cell r="K3367">
            <v>0</v>
          </cell>
          <cell r="M3367">
            <v>0</v>
          </cell>
          <cell r="P3367">
            <v>0</v>
          </cell>
        </row>
        <row r="3368">
          <cell r="K3368">
            <v>0</v>
          </cell>
          <cell r="M3368">
            <v>0</v>
          </cell>
          <cell r="P3368">
            <v>0</v>
          </cell>
        </row>
        <row r="3369">
          <cell r="K3369">
            <v>0</v>
          </cell>
          <cell r="M3369">
            <v>0</v>
          </cell>
          <cell r="P3369">
            <v>0</v>
          </cell>
        </row>
        <row r="3370">
          <cell r="K3370">
            <v>0</v>
          </cell>
          <cell r="M3370">
            <v>0</v>
          </cell>
          <cell r="P3370">
            <v>0</v>
          </cell>
        </row>
        <row r="3371">
          <cell r="K3371">
            <v>0</v>
          </cell>
          <cell r="M3371">
            <v>0</v>
          </cell>
          <cell r="P3371">
            <v>0</v>
          </cell>
        </row>
        <row r="3372">
          <cell r="K3372">
            <v>0</v>
          </cell>
          <cell r="M3372">
            <v>0</v>
          </cell>
          <cell r="P3372">
            <v>0</v>
          </cell>
        </row>
        <row r="3373">
          <cell r="K3373">
            <v>0</v>
          </cell>
          <cell r="M3373">
            <v>0</v>
          </cell>
          <cell r="P3373">
            <v>0</v>
          </cell>
        </row>
        <row r="3374">
          <cell r="K3374">
            <v>0</v>
          </cell>
          <cell r="M3374">
            <v>0</v>
          </cell>
          <cell r="P3374">
            <v>0</v>
          </cell>
        </row>
        <row r="3375">
          <cell r="K3375">
            <v>0</v>
          </cell>
          <cell r="M3375">
            <v>0</v>
          </cell>
          <cell r="P3375">
            <v>0</v>
          </cell>
        </row>
        <row r="3376">
          <cell r="K3376">
            <v>0</v>
          </cell>
          <cell r="M3376">
            <v>0</v>
          </cell>
          <cell r="P3376">
            <v>0</v>
          </cell>
        </row>
        <row r="3377">
          <cell r="K3377">
            <v>0</v>
          </cell>
          <cell r="M3377">
            <v>0</v>
          </cell>
          <cell r="P3377">
            <v>0</v>
          </cell>
        </row>
        <row r="3378">
          <cell r="K3378">
            <v>0</v>
          </cell>
          <cell r="M3378">
            <v>0</v>
          </cell>
          <cell r="P3378">
            <v>0</v>
          </cell>
        </row>
        <row r="3379">
          <cell r="K3379">
            <v>0</v>
          </cell>
          <cell r="M3379">
            <v>0</v>
          </cell>
          <cell r="P3379">
            <v>0</v>
          </cell>
        </row>
        <row r="3380">
          <cell r="K3380">
            <v>0</v>
          </cell>
          <cell r="M3380">
            <v>0</v>
          </cell>
          <cell r="P3380">
            <v>0</v>
          </cell>
        </row>
        <row r="3381">
          <cell r="K3381">
            <v>0</v>
          </cell>
          <cell r="M3381">
            <v>0</v>
          </cell>
          <cell r="P3381">
            <v>0</v>
          </cell>
        </row>
        <row r="3382">
          <cell r="K3382">
            <v>0</v>
          </cell>
          <cell r="M3382">
            <v>0</v>
          </cell>
          <cell r="P3382">
            <v>0</v>
          </cell>
        </row>
        <row r="3383">
          <cell r="K3383">
            <v>0</v>
          </cell>
          <cell r="M3383">
            <v>0</v>
          </cell>
          <cell r="P3383">
            <v>0</v>
          </cell>
        </row>
        <row r="3384">
          <cell r="K3384">
            <v>0</v>
          </cell>
          <cell r="M3384">
            <v>0</v>
          </cell>
          <cell r="P3384">
            <v>0</v>
          </cell>
        </row>
        <row r="3385">
          <cell r="K3385">
            <v>0</v>
          </cell>
          <cell r="M3385">
            <v>0</v>
          </cell>
          <cell r="P3385">
            <v>0</v>
          </cell>
        </row>
        <row r="3386">
          <cell r="K3386">
            <v>0</v>
          </cell>
          <cell r="M3386">
            <v>0</v>
          </cell>
          <cell r="P3386">
            <v>0</v>
          </cell>
        </row>
        <row r="3387">
          <cell r="K3387">
            <v>0</v>
          </cell>
          <cell r="M3387">
            <v>0</v>
          </cell>
          <cell r="P3387">
            <v>0</v>
          </cell>
        </row>
        <row r="3388">
          <cell r="K3388">
            <v>0</v>
          </cell>
          <cell r="M3388">
            <v>0</v>
          </cell>
          <cell r="P3388">
            <v>0</v>
          </cell>
        </row>
        <row r="3389">
          <cell r="K3389">
            <v>0</v>
          </cell>
          <cell r="M3389">
            <v>0</v>
          </cell>
          <cell r="P3389">
            <v>0</v>
          </cell>
        </row>
        <row r="3390">
          <cell r="K3390">
            <v>0</v>
          </cell>
          <cell r="M3390">
            <v>0</v>
          </cell>
          <cell r="P3390">
            <v>0</v>
          </cell>
        </row>
        <row r="3391">
          <cell r="K3391">
            <v>0</v>
          </cell>
          <cell r="M3391">
            <v>0</v>
          </cell>
          <cell r="P3391">
            <v>0</v>
          </cell>
        </row>
        <row r="3392">
          <cell r="K3392">
            <v>0</v>
          </cell>
          <cell r="M3392">
            <v>0</v>
          </cell>
          <cell r="P3392">
            <v>0</v>
          </cell>
        </row>
        <row r="3393">
          <cell r="K3393">
            <v>0</v>
          </cell>
          <cell r="M3393">
            <v>0</v>
          </cell>
          <cell r="P3393">
            <v>0</v>
          </cell>
        </row>
        <row r="3394">
          <cell r="K3394">
            <v>0</v>
          </cell>
          <cell r="M3394">
            <v>0</v>
          </cell>
          <cell r="P3394">
            <v>0</v>
          </cell>
        </row>
        <row r="3395">
          <cell r="K3395">
            <v>0</v>
          </cell>
          <cell r="M3395">
            <v>0</v>
          </cell>
          <cell r="P3395">
            <v>0</v>
          </cell>
        </row>
        <row r="3396">
          <cell r="K3396">
            <v>0</v>
          </cell>
          <cell r="M3396">
            <v>0</v>
          </cell>
          <cell r="P3396">
            <v>0</v>
          </cell>
        </row>
        <row r="3397">
          <cell r="K3397">
            <v>0</v>
          </cell>
          <cell r="M3397">
            <v>0</v>
          </cell>
          <cell r="P3397">
            <v>0</v>
          </cell>
        </row>
        <row r="3398">
          <cell r="K3398">
            <v>0</v>
          </cell>
          <cell r="M3398">
            <v>0</v>
          </cell>
          <cell r="P3398">
            <v>0</v>
          </cell>
        </row>
        <row r="3399">
          <cell r="K3399">
            <v>0</v>
          </cell>
          <cell r="M3399">
            <v>0</v>
          </cell>
          <cell r="P3399">
            <v>0</v>
          </cell>
        </row>
        <row r="3400">
          <cell r="K3400">
            <v>0</v>
          </cell>
          <cell r="M3400">
            <v>0</v>
          </cell>
          <cell r="P3400">
            <v>0</v>
          </cell>
        </row>
        <row r="3401">
          <cell r="K3401">
            <v>0</v>
          </cell>
          <cell r="M3401">
            <v>0</v>
          </cell>
          <cell r="P3401">
            <v>0</v>
          </cell>
        </row>
        <row r="3402">
          <cell r="K3402">
            <v>0</v>
          </cell>
          <cell r="M3402">
            <v>0</v>
          </cell>
          <cell r="P3402">
            <v>0</v>
          </cell>
        </row>
        <row r="3403">
          <cell r="K3403">
            <v>0</v>
          </cell>
          <cell r="M3403">
            <v>0</v>
          </cell>
          <cell r="P3403">
            <v>0</v>
          </cell>
        </row>
        <row r="3404">
          <cell r="K3404">
            <v>0</v>
          </cell>
          <cell r="M3404">
            <v>0</v>
          </cell>
          <cell r="P3404">
            <v>0</v>
          </cell>
        </row>
        <row r="3405">
          <cell r="K3405">
            <v>0</v>
          </cell>
          <cell r="M3405">
            <v>0</v>
          </cell>
          <cell r="P3405">
            <v>0</v>
          </cell>
        </row>
        <row r="3406">
          <cell r="K3406">
            <v>0</v>
          </cell>
          <cell r="M3406">
            <v>0</v>
          </cell>
          <cell r="P3406">
            <v>0</v>
          </cell>
        </row>
        <row r="3407">
          <cell r="K3407">
            <v>0</v>
          </cell>
          <cell r="M3407">
            <v>0</v>
          </cell>
          <cell r="P3407">
            <v>0</v>
          </cell>
        </row>
        <row r="3408">
          <cell r="K3408">
            <v>0</v>
          </cell>
          <cell r="M3408">
            <v>0</v>
          </cell>
          <cell r="P3408">
            <v>0</v>
          </cell>
        </row>
        <row r="3409">
          <cell r="K3409">
            <v>0</v>
          </cell>
          <cell r="M3409">
            <v>0</v>
          </cell>
          <cell r="P3409">
            <v>0</v>
          </cell>
        </row>
        <row r="3410">
          <cell r="K3410">
            <v>0</v>
          </cell>
          <cell r="M3410">
            <v>0</v>
          </cell>
          <cell r="P3410">
            <v>0</v>
          </cell>
        </row>
        <row r="3411">
          <cell r="K3411">
            <v>0</v>
          </cell>
          <cell r="M3411">
            <v>0</v>
          </cell>
          <cell r="P3411">
            <v>0</v>
          </cell>
        </row>
        <row r="3412">
          <cell r="K3412">
            <v>0</v>
          </cell>
          <cell r="M3412">
            <v>0</v>
          </cell>
          <cell r="P3412">
            <v>0</v>
          </cell>
        </row>
        <row r="3413">
          <cell r="K3413">
            <v>0</v>
          </cell>
          <cell r="M3413">
            <v>0</v>
          </cell>
          <cell r="P3413">
            <v>0</v>
          </cell>
        </row>
        <row r="3414">
          <cell r="K3414">
            <v>0</v>
          </cell>
          <cell r="M3414">
            <v>0</v>
          </cell>
          <cell r="P3414">
            <v>0</v>
          </cell>
        </row>
        <row r="3415">
          <cell r="K3415">
            <v>0</v>
          </cell>
          <cell r="M3415">
            <v>0</v>
          </cell>
          <cell r="P3415">
            <v>0</v>
          </cell>
        </row>
        <row r="3416">
          <cell r="K3416">
            <v>0</v>
          </cell>
          <cell r="M3416">
            <v>0</v>
          </cell>
          <cell r="P3416">
            <v>0</v>
          </cell>
        </row>
        <row r="3417">
          <cell r="K3417">
            <v>0</v>
          </cell>
          <cell r="M3417">
            <v>0</v>
          </cell>
          <cell r="P3417">
            <v>0</v>
          </cell>
        </row>
        <row r="3418">
          <cell r="K3418">
            <v>0</v>
          </cell>
          <cell r="M3418">
            <v>0</v>
          </cell>
          <cell r="P3418">
            <v>0</v>
          </cell>
        </row>
        <row r="3419">
          <cell r="K3419">
            <v>0</v>
          </cell>
          <cell r="M3419">
            <v>0</v>
          </cell>
          <cell r="P3419">
            <v>0</v>
          </cell>
        </row>
        <row r="3420">
          <cell r="K3420">
            <v>0</v>
          </cell>
          <cell r="M3420">
            <v>0</v>
          </cell>
          <cell r="P3420">
            <v>0</v>
          </cell>
        </row>
        <row r="3421">
          <cell r="K3421">
            <v>0</v>
          </cell>
          <cell r="M3421">
            <v>0</v>
          </cell>
          <cell r="P3421">
            <v>0</v>
          </cell>
        </row>
        <row r="3422">
          <cell r="K3422">
            <v>0</v>
          </cell>
          <cell r="M3422">
            <v>0</v>
          </cell>
          <cell r="P3422">
            <v>0</v>
          </cell>
        </row>
        <row r="3423">
          <cell r="K3423">
            <v>0</v>
          </cell>
          <cell r="M3423">
            <v>0</v>
          </cell>
          <cell r="P3423">
            <v>0</v>
          </cell>
        </row>
        <row r="3424">
          <cell r="K3424">
            <v>0</v>
          </cell>
          <cell r="M3424">
            <v>0</v>
          </cell>
          <cell r="P3424">
            <v>0</v>
          </cell>
        </row>
        <row r="3425">
          <cell r="K3425">
            <v>0</v>
          </cell>
          <cell r="M3425">
            <v>0</v>
          </cell>
          <cell r="P3425">
            <v>0</v>
          </cell>
        </row>
        <row r="3426">
          <cell r="K3426">
            <v>0</v>
          </cell>
          <cell r="M3426">
            <v>0</v>
          </cell>
          <cell r="P3426">
            <v>0</v>
          </cell>
        </row>
        <row r="3427">
          <cell r="K3427">
            <v>0</v>
          </cell>
          <cell r="M3427">
            <v>0</v>
          </cell>
          <cell r="P3427">
            <v>0</v>
          </cell>
        </row>
        <row r="3428">
          <cell r="K3428">
            <v>0</v>
          </cell>
          <cell r="M3428">
            <v>0</v>
          </cell>
          <cell r="P3428">
            <v>0</v>
          </cell>
        </row>
        <row r="3429">
          <cell r="K3429">
            <v>0</v>
          </cell>
          <cell r="M3429">
            <v>0</v>
          </cell>
          <cell r="P3429">
            <v>0</v>
          </cell>
        </row>
        <row r="3430">
          <cell r="K3430">
            <v>0</v>
          </cell>
          <cell r="M3430">
            <v>0</v>
          </cell>
          <cell r="P3430">
            <v>0</v>
          </cell>
        </row>
        <row r="3431">
          <cell r="K3431">
            <v>0</v>
          </cell>
          <cell r="M3431">
            <v>0</v>
          </cell>
          <cell r="P3431">
            <v>0</v>
          </cell>
        </row>
        <row r="3432">
          <cell r="K3432">
            <v>0</v>
          </cell>
          <cell r="M3432">
            <v>0</v>
          </cell>
          <cell r="P3432">
            <v>0</v>
          </cell>
        </row>
        <row r="3433">
          <cell r="K3433">
            <v>0</v>
          </cell>
          <cell r="M3433">
            <v>0</v>
          </cell>
          <cell r="P3433">
            <v>0</v>
          </cell>
        </row>
        <row r="3434">
          <cell r="K3434">
            <v>0</v>
          </cell>
          <cell r="M3434">
            <v>0</v>
          </cell>
          <cell r="P3434">
            <v>0</v>
          </cell>
        </row>
        <row r="3435">
          <cell r="K3435">
            <v>0</v>
          </cell>
          <cell r="M3435">
            <v>0</v>
          </cell>
          <cell r="P3435">
            <v>0</v>
          </cell>
        </row>
        <row r="3436">
          <cell r="K3436">
            <v>0</v>
          </cell>
          <cell r="M3436">
            <v>0</v>
          </cell>
          <cell r="P3436">
            <v>0</v>
          </cell>
        </row>
        <row r="3437">
          <cell r="K3437">
            <v>0</v>
          </cell>
          <cell r="M3437">
            <v>0</v>
          </cell>
          <cell r="P3437">
            <v>0</v>
          </cell>
        </row>
        <row r="3438">
          <cell r="K3438">
            <v>0</v>
          </cell>
          <cell r="M3438">
            <v>0</v>
          </cell>
          <cell r="P3438">
            <v>0</v>
          </cell>
        </row>
        <row r="3439">
          <cell r="K3439">
            <v>0</v>
          </cell>
          <cell r="M3439">
            <v>0</v>
          </cell>
          <cell r="P3439">
            <v>0</v>
          </cell>
        </row>
        <row r="3440">
          <cell r="K3440">
            <v>0</v>
          </cell>
          <cell r="M3440">
            <v>0</v>
          </cell>
          <cell r="P3440">
            <v>0</v>
          </cell>
        </row>
        <row r="3441">
          <cell r="K3441">
            <v>0</v>
          </cell>
          <cell r="M3441">
            <v>0</v>
          </cell>
          <cell r="P3441">
            <v>0</v>
          </cell>
        </row>
        <row r="3442">
          <cell r="K3442">
            <v>0</v>
          </cell>
          <cell r="M3442">
            <v>0</v>
          </cell>
          <cell r="P3442">
            <v>0</v>
          </cell>
        </row>
        <row r="3443">
          <cell r="K3443">
            <v>0</v>
          </cell>
          <cell r="M3443">
            <v>0</v>
          </cell>
          <cell r="P3443">
            <v>0</v>
          </cell>
        </row>
        <row r="3444">
          <cell r="K3444">
            <v>0</v>
          </cell>
          <cell r="M3444">
            <v>0</v>
          </cell>
          <cell r="P3444">
            <v>0</v>
          </cell>
        </row>
        <row r="3445">
          <cell r="K3445">
            <v>0</v>
          </cell>
          <cell r="M3445">
            <v>0</v>
          </cell>
          <cell r="P3445">
            <v>0</v>
          </cell>
        </row>
        <row r="3446">
          <cell r="K3446">
            <v>0</v>
          </cell>
          <cell r="M3446">
            <v>0</v>
          </cell>
          <cell r="P3446">
            <v>0</v>
          </cell>
        </row>
        <row r="3447">
          <cell r="K3447">
            <v>0</v>
          </cell>
          <cell r="M3447">
            <v>0</v>
          </cell>
          <cell r="P3447">
            <v>0</v>
          </cell>
        </row>
        <row r="3448">
          <cell r="K3448">
            <v>0</v>
          </cell>
          <cell r="M3448">
            <v>0</v>
          </cell>
          <cell r="P3448">
            <v>0</v>
          </cell>
        </row>
        <row r="3449">
          <cell r="K3449">
            <v>0</v>
          </cell>
          <cell r="M3449">
            <v>0</v>
          </cell>
          <cell r="P3449">
            <v>0</v>
          </cell>
        </row>
        <row r="3450">
          <cell r="K3450">
            <v>0</v>
          </cell>
          <cell r="M3450">
            <v>0</v>
          </cell>
          <cell r="P3450">
            <v>0</v>
          </cell>
        </row>
        <row r="3451">
          <cell r="K3451">
            <v>0</v>
          </cell>
          <cell r="M3451">
            <v>0</v>
          </cell>
          <cell r="P3451">
            <v>0</v>
          </cell>
        </row>
        <row r="3452">
          <cell r="K3452">
            <v>0</v>
          </cell>
          <cell r="M3452">
            <v>0</v>
          </cell>
          <cell r="P3452">
            <v>0</v>
          </cell>
        </row>
        <row r="3453">
          <cell r="K3453">
            <v>0</v>
          </cell>
          <cell r="M3453">
            <v>0</v>
          </cell>
          <cell r="P3453">
            <v>0</v>
          </cell>
        </row>
        <row r="3454">
          <cell r="K3454">
            <v>0</v>
          </cell>
          <cell r="M3454">
            <v>0</v>
          </cell>
          <cell r="P3454">
            <v>0</v>
          </cell>
        </row>
        <row r="3455">
          <cell r="K3455">
            <v>0</v>
          </cell>
          <cell r="M3455">
            <v>0</v>
          </cell>
          <cell r="P3455">
            <v>0</v>
          </cell>
        </row>
        <row r="3456">
          <cell r="K3456">
            <v>0</v>
          </cell>
          <cell r="M3456">
            <v>0</v>
          </cell>
          <cell r="P3456">
            <v>0</v>
          </cell>
        </row>
        <row r="3457">
          <cell r="K3457">
            <v>0</v>
          </cell>
          <cell r="M3457">
            <v>0</v>
          </cell>
          <cell r="P3457">
            <v>0</v>
          </cell>
        </row>
        <row r="3458">
          <cell r="K3458">
            <v>0</v>
          </cell>
          <cell r="M3458">
            <v>0</v>
          </cell>
          <cell r="P3458">
            <v>0</v>
          </cell>
        </row>
        <row r="3459">
          <cell r="K3459">
            <v>0</v>
          </cell>
          <cell r="M3459">
            <v>0</v>
          </cell>
          <cell r="P3459">
            <v>0</v>
          </cell>
        </row>
        <row r="3460">
          <cell r="K3460">
            <v>0</v>
          </cell>
          <cell r="M3460">
            <v>0</v>
          </cell>
          <cell r="P3460">
            <v>0</v>
          </cell>
        </row>
        <row r="3461">
          <cell r="K3461">
            <v>0</v>
          </cell>
          <cell r="M3461">
            <v>0</v>
          </cell>
          <cell r="P3461">
            <v>0</v>
          </cell>
        </row>
        <row r="3462">
          <cell r="K3462">
            <v>0</v>
          </cell>
          <cell r="M3462">
            <v>0</v>
          </cell>
          <cell r="P3462">
            <v>0</v>
          </cell>
        </row>
        <row r="3463">
          <cell r="K3463">
            <v>0</v>
          </cell>
          <cell r="M3463">
            <v>0</v>
          </cell>
          <cell r="P3463">
            <v>0</v>
          </cell>
        </row>
        <row r="3464">
          <cell r="K3464">
            <v>0</v>
          </cell>
          <cell r="M3464">
            <v>0</v>
          </cell>
          <cell r="P3464">
            <v>0</v>
          </cell>
        </row>
        <row r="3465">
          <cell r="K3465">
            <v>0</v>
          </cell>
          <cell r="M3465">
            <v>0</v>
          </cell>
          <cell r="P3465">
            <v>0</v>
          </cell>
        </row>
        <row r="3466">
          <cell r="K3466">
            <v>0</v>
          </cell>
          <cell r="M3466">
            <v>0</v>
          </cell>
          <cell r="P3466">
            <v>0</v>
          </cell>
        </row>
        <row r="3467">
          <cell r="K3467">
            <v>0</v>
          </cell>
          <cell r="M3467">
            <v>0</v>
          </cell>
          <cell r="P3467">
            <v>0</v>
          </cell>
        </row>
        <row r="3468">
          <cell r="K3468">
            <v>0</v>
          </cell>
          <cell r="M3468">
            <v>0</v>
          </cell>
          <cell r="P3468">
            <v>0</v>
          </cell>
        </row>
        <row r="3469">
          <cell r="K3469">
            <v>0</v>
          </cell>
          <cell r="M3469">
            <v>0</v>
          </cell>
          <cell r="P3469">
            <v>0</v>
          </cell>
        </row>
        <row r="3470">
          <cell r="K3470">
            <v>0</v>
          </cell>
          <cell r="M3470">
            <v>0</v>
          </cell>
          <cell r="P3470">
            <v>0</v>
          </cell>
        </row>
        <row r="3471">
          <cell r="K3471">
            <v>0</v>
          </cell>
          <cell r="M3471">
            <v>0</v>
          </cell>
          <cell r="P3471">
            <v>0</v>
          </cell>
        </row>
        <row r="3472">
          <cell r="K3472">
            <v>0</v>
          </cell>
          <cell r="M3472">
            <v>0</v>
          </cell>
          <cell r="P3472">
            <v>0</v>
          </cell>
        </row>
        <row r="3473">
          <cell r="K3473">
            <v>0</v>
          </cell>
          <cell r="M3473">
            <v>0</v>
          </cell>
          <cell r="P3473">
            <v>0</v>
          </cell>
        </row>
        <row r="3474">
          <cell r="K3474">
            <v>0</v>
          </cell>
          <cell r="M3474">
            <v>0</v>
          </cell>
          <cell r="P3474">
            <v>0</v>
          </cell>
        </row>
        <row r="3475">
          <cell r="K3475">
            <v>0</v>
          </cell>
          <cell r="M3475">
            <v>0</v>
          </cell>
          <cell r="P3475">
            <v>0</v>
          </cell>
        </row>
        <row r="3476">
          <cell r="K3476">
            <v>0</v>
          </cell>
          <cell r="M3476">
            <v>0</v>
          </cell>
          <cell r="P3476">
            <v>0</v>
          </cell>
        </row>
        <row r="3477">
          <cell r="K3477">
            <v>0</v>
          </cell>
          <cell r="M3477">
            <v>0</v>
          </cell>
          <cell r="P3477">
            <v>0</v>
          </cell>
        </row>
        <row r="3478">
          <cell r="K3478">
            <v>0</v>
          </cell>
          <cell r="M3478">
            <v>0</v>
          </cell>
          <cell r="P3478">
            <v>0</v>
          </cell>
        </row>
        <row r="3479">
          <cell r="K3479">
            <v>0</v>
          </cell>
          <cell r="M3479">
            <v>0</v>
          </cell>
          <cell r="P3479">
            <v>0</v>
          </cell>
        </row>
        <row r="3480">
          <cell r="K3480">
            <v>0</v>
          </cell>
          <cell r="M3480">
            <v>0</v>
          </cell>
          <cell r="P3480">
            <v>0</v>
          </cell>
        </row>
        <row r="3481">
          <cell r="K3481">
            <v>0</v>
          </cell>
          <cell r="M3481">
            <v>0</v>
          </cell>
          <cell r="P3481">
            <v>0</v>
          </cell>
        </row>
        <row r="3482">
          <cell r="K3482">
            <v>0</v>
          </cell>
          <cell r="M3482">
            <v>0</v>
          </cell>
          <cell r="P3482">
            <v>0</v>
          </cell>
        </row>
        <row r="3483">
          <cell r="K3483">
            <v>0</v>
          </cell>
          <cell r="M3483">
            <v>0</v>
          </cell>
          <cell r="P3483">
            <v>0</v>
          </cell>
        </row>
        <row r="3484">
          <cell r="K3484">
            <v>0</v>
          </cell>
          <cell r="M3484">
            <v>0</v>
          </cell>
          <cell r="P3484">
            <v>0</v>
          </cell>
        </row>
        <row r="3485">
          <cell r="K3485">
            <v>0</v>
          </cell>
          <cell r="M3485">
            <v>0</v>
          </cell>
          <cell r="P3485">
            <v>0</v>
          </cell>
        </row>
        <row r="3486">
          <cell r="K3486">
            <v>0</v>
          </cell>
          <cell r="M3486">
            <v>0</v>
          </cell>
          <cell r="P3486">
            <v>0</v>
          </cell>
        </row>
        <row r="3487">
          <cell r="K3487">
            <v>0</v>
          </cell>
          <cell r="M3487">
            <v>0</v>
          </cell>
          <cell r="P3487">
            <v>0</v>
          </cell>
        </row>
        <row r="3488">
          <cell r="K3488">
            <v>0</v>
          </cell>
          <cell r="M3488">
            <v>0</v>
          </cell>
          <cell r="P3488">
            <v>0</v>
          </cell>
        </row>
        <row r="3489">
          <cell r="K3489">
            <v>0</v>
          </cell>
          <cell r="M3489">
            <v>0</v>
          </cell>
          <cell r="P3489">
            <v>0</v>
          </cell>
        </row>
        <row r="3490">
          <cell r="K3490">
            <v>0</v>
          </cell>
          <cell r="M3490">
            <v>0</v>
          </cell>
          <cell r="P3490">
            <v>0</v>
          </cell>
        </row>
        <row r="3491">
          <cell r="K3491">
            <v>0</v>
          </cell>
          <cell r="M3491">
            <v>0</v>
          </cell>
          <cell r="P3491">
            <v>0</v>
          </cell>
        </row>
        <row r="3492">
          <cell r="K3492">
            <v>0</v>
          </cell>
          <cell r="M3492">
            <v>0</v>
          </cell>
          <cell r="P3492">
            <v>0</v>
          </cell>
        </row>
        <row r="3493">
          <cell r="K3493">
            <v>0</v>
          </cell>
          <cell r="M3493">
            <v>0</v>
          </cell>
          <cell r="P3493">
            <v>0</v>
          </cell>
        </row>
        <row r="3494">
          <cell r="K3494">
            <v>0</v>
          </cell>
          <cell r="M3494">
            <v>0</v>
          </cell>
          <cell r="P3494">
            <v>0</v>
          </cell>
        </row>
        <row r="3495">
          <cell r="K3495">
            <v>0</v>
          </cell>
          <cell r="M3495">
            <v>0</v>
          </cell>
          <cell r="P3495">
            <v>0</v>
          </cell>
        </row>
        <row r="3496">
          <cell r="K3496">
            <v>0</v>
          </cell>
          <cell r="M3496">
            <v>0</v>
          </cell>
          <cell r="P3496">
            <v>0</v>
          </cell>
        </row>
        <row r="3497">
          <cell r="K3497">
            <v>0</v>
          </cell>
          <cell r="M3497">
            <v>0</v>
          </cell>
          <cell r="P3497">
            <v>0</v>
          </cell>
        </row>
        <row r="3498">
          <cell r="K3498">
            <v>0</v>
          </cell>
          <cell r="M3498">
            <v>0</v>
          </cell>
          <cell r="P3498">
            <v>0</v>
          </cell>
        </row>
        <row r="3499">
          <cell r="K3499">
            <v>0</v>
          </cell>
          <cell r="M3499">
            <v>0</v>
          </cell>
          <cell r="P3499">
            <v>0</v>
          </cell>
        </row>
        <row r="3500">
          <cell r="K3500">
            <v>0</v>
          </cell>
          <cell r="M3500">
            <v>0</v>
          </cell>
          <cell r="P3500">
            <v>0</v>
          </cell>
        </row>
        <row r="3501">
          <cell r="K3501">
            <v>0</v>
          </cell>
          <cell r="M3501">
            <v>0</v>
          </cell>
          <cell r="P3501">
            <v>0</v>
          </cell>
        </row>
        <row r="3502">
          <cell r="K3502">
            <v>0</v>
          </cell>
          <cell r="M3502">
            <v>0</v>
          </cell>
          <cell r="P3502">
            <v>0</v>
          </cell>
        </row>
        <row r="3503">
          <cell r="K3503">
            <v>0</v>
          </cell>
          <cell r="M3503">
            <v>0</v>
          </cell>
          <cell r="P3503">
            <v>0</v>
          </cell>
        </row>
        <row r="3504">
          <cell r="K3504">
            <v>0</v>
          </cell>
          <cell r="M3504">
            <v>0</v>
          </cell>
          <cell r="P3504">
            <v>0</v>
          </cell>
        </row>
        <row r="3505">
          <cell r="K3505">
            <v>0</v>
          </cell>
          <cell r="M3505">
            <v>0</v>
          </cell>
          <cell r="P3505">
            <v>0</v>
          </cell>
        </row>
        <row r="3506">
          <cell r="K3506">
            <v>0</v>
          </cell>
          <cell r="M3506">
            <v>0</v>
          </cell>
          <cell r="P3506">
            <v>0</v>
          </cell>
        </row>
        <row r="3507">
          <cell r="K3507">
            <v>0</v>
          </cell>
          <cell r="M3507">
            <v>0</v>
          </cell>
          <cell r="P3507">
            <v>0</v>
          </cell>
        </row>
        <row r="3508">
          <cell r="K3508">
            <v>0</v>
          </cell>
          <cell r="M3508">
            <v>0</v>
          </cell>
          <cell r="P3508">
            <v>0</v>
          </cell>
        </row>
        <row r="3509">
          <cell r="K3509">
            <v>0</v>
          </cell>
          <cell r="M3509">
            <v>0</v>
          </cell>
          <cell r="P3509">
            <v>0</v>
          </cell>
        </row>
        <row r="3510">
          <cell r="K3510">
            <v>0</v>
          </cell>
          <cell r="M3510">
            <v>0</v>
          </cell>
          <cell r="P3510">
            <v>0</v>
          </cell>
        </row>
        <row r="3511">
          <cell r="K3511">
            <v>0</v>
          </cell>
          <cell r="M3511">
            <v>0</v>
          </cell>
          <cell r="P3511">
            <v>0</v>
          </cell>
        </row>
        <row r="3512">
          <cell r="K3512">
            <v>0</v>
          </cell>
          <cell r="M3512">
            <v>0</v>
          </cell>
          <cell r="P3512">
            <v>0</v>
          </cell>
        </row>
        <row r="3513">
          <cell r="K3513">
            <v>0</v>
          </cell>
          <cell r="M3513">
            <v>0</v>
          </cell>
          <cell r="P3513">
            <v>0</v>
          </cell>
        </row>
        <row r="3514">
          <cell r="K3514">
            <v>0</v>
          </cell>
          <cell r="M3514">
            <v>0</v>
          </cell>
          <cell r="P3514">
            <v>0</v>
          </cell>
        </row>
        <row r="3515">
          <cell r="K3515">
            <v>0</v>
          </cell>
          <cell r="M3515">
            <v>0</v>
          </cell>
          <cell r="P3515">
            <v>0</v>
          </cell>
        </row>
        <row r="3516">
          <cell r="K3516">
            <v>0</v>
          </cell>
          <cell r="M3516">
            <v>0</v>
          </cell>
          <cell r="P3516">
            <v>0</v>
          </cell>
        </row>
        <row r="3517">
          <cell r="K3517">
            <v>0</v>
          </cell>
          <cell r="M3517">
            <v>0</v>
          </cell>
          <cell r="P3517">
            <v>0</v>
          </cell>
        </row>
        <row r="3518">
          <cell r="K3518">
            <v>0</v>
          </cell>
          <cell r="M3518">
            <v>0</v>
          </cell>
          <cell r="P3518">
            <v>0</v>
          </cell>
        </row>
        <row r="3519">
          <cell r="K3519">
            <v>0</v>
          </cell>
          <cell r="M3519">
            <v>0</v>
          </cell>
          <cell r="P3519">
            <v>0</v>
          </cell>
        </row>
        <row r="3520">
          <cell r="K3520">
            <v>0</v>
          </cell>
          <cell r="M3520">
            <v>0</v>
          </cell>
          <cell r="P3520">
            <v>0</v>
          </cell>
        </row>
        <row r="3521">
          <cell r="K3521">
            <v>0</v>
          </cell>
          <cell r="M3521">
            <v>0</v>
          </cell>
          <cell r="P3521">
            <v>0</v>
          </cell>
        </row>
        <row r="3522">
          <cell r="K3522">
            <v>0</v>
          </cell>
          <cell r="M3522">
            <v>0</v>
          </cell>
          <cell r="P3522">
            <v>0</v>
          </cell>
        </row>
        <row r="3523">
          <cell r="K3523">
            <v>0</v>
          </cell>
          <cell r="M3523">
            <v>0</v>
          </cell>
          <cell r="P3523">
            <v>0</v>
          </cell>
        </row>
        <row r="3524">
          <cell r="K3524">
            <v>0</v>
          </cell>
          <cell r="M3524">
            <v>0</v>
          </cell>
          <cell r="P3524">
            <v>0</v>
          </cell>
        </row>
        <row r="3525">
          <cell r="K3525">
            <v>0</v>
          </cell>
          <cell r="M3525">
            <v>0</v>
          </cell>
          <cell r="P3525">
            <v>0</v>
          </cell>
        </row>
        <row r="3526">
          <cell r="K3526">
            <v>0</v>
          </cell>
          <cell r="M3526">
            <v>0</v>
          </cell>
          <cell r="P3526">
            <v>0</v>
          </cell>
        </row>
        <row r="3527">
          <cell r="K3527">
            <v>0</v>
          </cell>
          <cell r="M3527">
            <v>0</v>
          </cell>
          <cell r="P3527">
            <v>0</v>
          </cell>
        </row>
        <row r="3528">
          <cell r="K3528">
            <v>0</v>
          </cell>
          <cell r="M3528">
            <v>0</v>
          </cell>
          <cell r="P3528">
            <v>0</v>
          </cell>
        </row>
        <row r="3529">
          <cell r="K3529">
            <v>0</v>
          </cell>
          <cell r="M3529">
            <v>0</v>
          </cell>
          <cell r="P3529">
            <v>0</v>
          </cell>
        </row>
        <row r="3530">
          <cell r="K3530">
            <v>0</v>
          </cell>
          <cell r="M3530">
            <v>0</v>
          </cell>
          <cell r="P3530">
            <v>0</v>
          </cell>
        </row>
        <row r="3531">
          <cell r="K3531">
            <v>0</v>
          </cell>
          <cell r="M3531">
            <v>0</v>
          </cell>
          <cell r="P3531">
            <v>0</v>
          </cell>
        </row>
        <row r="3532">
          <cell r="K3532">
            <v>0</v>
          </cell>
          <cell r="M3532">
            <v>0</v>
          </cell>
          <cell r="P3532">
            <v>0</v>
          </cell>
        </row>
        <row r="3533">
          <cell r="K3533">
            <v>0</v>
          </cell>
          <cell r="M3533">
            <v>0</v>
          </cell>
          <cell r="P3533">
            <v>0</v>
          </cell>
        </row>
        <row r="3534">
          <cell r="K3534">
            <v>0</v>
          </cell>
          <cell r="M3534">
            <v>0</v>
          </cell>
          <cell r="P3534">
            <v>0</v>
          </cell>
        </row>
        <row r="3535">
          <cell r="K3535">
            <v>0</v>
          </cell>
          <cell r="M3535">
            <v>0</v>
          </cell>
          <cell r="P3535">
            <v>0</v>
          </cell>
        </row>
        <row r="3536">
          <cell r="K3536">
            <v>0</v>
          </cell>
          <cell r="M3536">
            <v>0</v>
          </cell>
          <cell r="P3536">
            <v>0</v>
          </cell>
        </row>
        <row r="3537">
          <cell r="K3537">
            <v>0</v>
          </cell>
          <cell r="M3537">
            <v>0</v>
          </cell>
          <cell r="P3537">
            <v>0</v>
          </cell>
        </row>
        <row r="3538">
          <cell r="K3538">
            <v>0</v>
          </cell>
          <cell r="M3538">
            <v>0</v>
          </cell>
          <cell r="P3538">
            <v>0</v>
          </cell>
        </row>
        <row r="3539">
          <cell r="K3539">
            <v>0</v>
          </cell>
          <cell r="M3539">
            <v>0</v>
          </cell>
          <cell r="P3539">
            <v>0</v>
          </cell>
        </row>
        <row r="3540">
          <cell r="K3540">
            <v>0</v>
          </cell>
          <cell r="M3540">
            <v>0</v>
          </cell>
          <cell r="P3540">
            <v>0</v>
          </cell>
        </row>
        <row r="3541">
          <cell r="K3541">
            <v>0</v>
          </cell>
          <cell r="M3541">
            <v>0</v>
          </cell>
          <cell r="P3541">
            <v>0</v>
          </cell>
        </row>
        <row r="3542">
          <cell r="K3542">
            <v>0</v>
          </cell>
          <cell r="M3542">
            <v>0</v>
          </cell>
          <cell r="P3542">
            <v>0</v>
          </cell>
        </row>
        <row r="3543">
          <cell r="K3543">
            <v>0</v>
          </cell>
          <cell r="M3543">
            <v>0</v>
          </cell>
          <cell r="P3543">
            <v>0</v>
          </cell>
        </row>
        <row r="3544">
          <cell r="K3544">
            <v>0</v>
          </cell>
          <cell r="M3544">
            <v>0</v>
          </cell>
          <cell r="P3544">
            <v>0</v>
          </cell>
        </row>
        <row r="3545">
          <cell r="K3545">
            <v>0</v>
          </cell>
          <cell r="M3545">
            <v>0</v>
          </cell>
          <cell r="P3545">
            <v>0</v>
          </cell>
        </row>
        <row r="3546">
          <cell r="K3546">
            <v>0</v>
          </cell>
          <cell r="M3546">
            <v>0</v>
          </cell>
          <cell r="P3546">
            <v>0</v>
          </cell>
        </row>
        <row r="3547">
          <cell r="K3547">
            <v>0</v>
          </cell>
          <cell r="M3547">
            <v>0</v>
          </cell>
          <cell r="P3547">
            <v>0</v>
          </cell>
        </row>
        <row r="3548">
          <cell r="K3548">
            <v>0</v>
          </cell>
          <cell r="M3548">
            <v>0</v>
          </cell>
          <cell r="P3548">
            <v>0</v>
          </cell>
        </row>
        <row r="3549">
          <cell r="K3549">
            <v>0</v>
          </cell>
          <cell r="M3549">
            <v>0</v>
          </cell>
          <cell r="P3549">
            <v>0</v>
          </cell>
        </row>
        <row r="3550">
          <cell r="K3550">
            <v>0</v>
          </cell>
          <cell r="M3550">
            <v>0</v>
          </cell>
          <cell r="P3550">
            <v>0</v>
          </cell>
        </row>
        <row r="3551">
          <cell r="K3551">
            <v>0</v>
          </cell>
          <cell r="M3551">
            <v>0</v>
          </cell>
          <cell r="P3551">
            <v>0</v>
          </cell>
        </row>
        <row r="3552">
          <cell r="K3552">
            <v>0</v>
          </cell>
          <cell r="M3552">
            <v>0</v>
          </cell>
          <cell r="P3552">
            <v>0</v>
          </cell>
        </row>
        <row r="3553">
          <cell r="K3553">
            <v>0</v>
          </cell>
          <cell r="M3553">
            <v>0</v>
          </cell>
          <cell r="P3553">
            <v>0</v>
          </cell>
        </row>
        <row r="3554">
          <cell r="K3554">
            <v>0</v>
          </cell>
          <cell r="M3554">
            <v>0</v>
          </cell>
          <cell r="P3554">
            <v>0</v>
          </cell>
        </row>
        <row r="3555">
          <cell r="K3555">
            <v>0</v>
          </cell>
          <cell r="M3555">
            <v>0</v>
          </cell>
          <cell r="P3555">
            <v>0</v>
          </cell>
        </row>
        <row r="3556">
          <cell r="K3556">
            <v>0</v>
          </cell>
          <cell r="M3556">
            <v>0</v>
          </cell>
          <cell r="P3556">
            <v>0</v>
          </cell>
        </row>
        <row r="3557">
          <cell r="K3557">
            <v>0</v>
          </cell>
          <cell r="M3557">
            <v>0</v>
          </cell>
          <cell r="P3557">
            <v>0</v>
          </cell>
        </row>
        <row r="3558">
          <cell r="K3558">
            <v>0</v>
          </cell>
          <cell r="M3558">
            <v>0</v>
          </cell>
          <cell r="P3558">
            <v>0</v>
          </cell>
        </row>
        <row r="3559">
          <cell r="K3559">
            <v>0</v>
          </cell>
          <cell r="M3559">
            <v>0</v>
          </cell>
          <cell r="P3559">
            <v>0</v>
          </cell>
        </row>
        <row r="3560">
          <cell r="K3560">
            <v>0</v>
          </cell>
          <cell r="M3560">
            <v>0</v>
          </cell>
          <cell r="P3560">
            <v>0</v>
          </cell>
        </row>
        <row r="3561">
          <cell r="K3561">
            <v>0</v>
          </cell>
          <cell r="M3561">
            <v>0</v>
          </cell>
          <cell r="P3561">
            <v>0</v>
          </cell>
        </row>
        <row r="3562">
          <cell r="K3562">
            <v>0</v>
          </cell>
          <cell r="M3562">
            <v>0</v>
          </cell>
          <cell r="P3562">
            <v>0</v>
          </cell>
        </row>
        <row r="3563">
          <cell r="K3563">
            <v>0</v>
          </cell>
          <cell r="M3563">
            <v>0</v>
          </cell>
          <cell r="P3563">
            <v>0</v>
          </cell>
        </row>
        <row r="3564">
          <cell r="K3564">
            <v>0</v>
          </cell>
          <cell r="M3564">
            <v>0</v>
          </cell>
          <cell r="P3564">
            <v>0</v>
          </cell>
        </row>
        <row r="3565">
          <cell r="K3565">
            <v>0</v>
          </cell>
          <cell r="M3565">
            <v>0</v>
          </cell>
          <cell r="P3565">
            <v>0</v>
          </cell>
        </row>
        <row r="3566">
          <cell r="K3566">
            <v>0</v>
          </cell>
          <cell r="M3566">
            <v>0</v>
          </cell>
          <cell r="P3566">
            <v>0</v>
          </cell>
        </row>
        <row r="3567">
          <cell r="K3567">
            <v>0</v>
          </cell>
          <cell r="M3567">
            <v>0</v>
          </cell>
          <cell r="P3567">
            <v>0</v>
          </cell>
        </row>
        <row r="3568">
          <cell r="K3568">
            <v>0</v>
          </cell>
          <cell r="M3568">
            <v>0</v>
          </cell>
          <cell r="P3568">
            <v>0</v>
          </cell>
        </row>
        <row r="3569">
          <cell r="K3569">
            <v>0</v>
          </cell>
          <cell r="M3569">
            <v>0</v>
          </cell>
          <cell r="P3569">
            <v>0</v>
          </cell>
        </row>
        <row r="3570">
          <cell r="K3570">
            <v>0</v>
          </cell>
          <cell r="M3570">
            <v>0</v>
          </cell>
          <cell r="P3570">
            <v>0</v>
          </cell>
        </row>
        <row r="3571">
          <cell r="K3571">
            <v>0</v>
          </cell>
          <cell r="M3571">
            <v>0</v>
          </cell>
          <cell r="P3571">
            <v>0</v>
          </cell>
        </row>
        <row r="3572">
          <cell r="K3572">
            <v>0</v>
          </cell>
          <cell r="M3572">
            <v>0</v>
          </cell>
          <cell r="P3572">
            <v>0</v>
          </cell>
        </row>
        <row r="3573">
          <cell r="K3573">
            <v>0</v>
          </cell>
          <cell r="M3573">
            <v>0</v>
          </cell>
          <cell r="P3573">
            <v>0</v>
          </cell>
        </row>
        <row r="3574">
          <cell r="K3574">
            <v>0</v>
          </cell>
          <cell r="M3574">
            <v>0</v>
          </cell>
          <cell r="P3574">
            <v>0</v>
          </cell>
        </row>
        <row r="3575">
          <cell r="K3575">
            <v>0</v>
          </cell>
          <cell r="M3575">
            <v>0</v>
          </cell>
          <cell r="P3575">
            <v>0</v>
          </cell>
        </row>
        <row r="3576">
          <cell r="K3576">
            <v>0</v>
          </cell>
          <cell r="M3576">
            <v>0</v>
          </cell>
          <cell r="P3576">
            <v>0</v>
          </cell>
        </row>
        <row r="3577">
          <cell r="K3577">
            <v>0</v>
          </cell>
          <cell r="M3577">
            <v>0</v>
          </cell>
          <cell r="P3577">
            <v>0</v>
          </cell>
        </row>
        <row r="3578">
          <cell r="K3578">
            <v>0</v>
          </cell>
          <cell r="M3578">
            <v>0</v>
          </cell>
          <cell r="P3578">
            <v>0</v>
          </cell>
        </row>
        <row r="3579">
          <cell r="K3579">
            <v>0</v>
          </cell>
          <cell r="M3579">
            <v>0</v>
          </cell>
          <cell r="P3579">
            <v>0</v>
          </cell>
        </row>
        <row r="3580">
          <cell r="K3580">
            <v>0</v>
          </cell>
          <cell r="M3580">
            <v>0</v>
          </cell>
          <cell r="P3580">
            <v>0</v>
          </cell>
        </row>
        <row r="3581">
          <cell r="K3581">
            <v>0</v>
          </cell>
          <cell r="M3581">
            <v>0</v>
          </cell>
          <cell r="P3581">
            <v>0</v>
          </cell>
        </row>
        <row r="3582">
          <cell r="K3582">
            <v>0</v>
          </cell>
          <cell r="M3582">
            <v>0</v>
          </cell>
          <cell r="P3582">
            <v>0</v>
          </cell>
        </row>
        <row r="3583">
          <cell r="K3583">
            <v>0</v>
          </cell>
          <cell r="M3583">
            <v>0</v>
          </cell>
          <cell r="P3583">
            <v>0</v>
          </cell>
        </row>
        <row r="3584">
          <cell r="K3584">
            <v>0</v>
          </cell>
          <cell r="M3584">
            <v>0</v>
          </cell>
          <cell r="P3584">
            <v>0</v>
          </cell>
        </row>
        <row r="3585">
          <cell r="K3585">
            <v>0</v>
          </cell>
          <cell r="M3585">
            <v>0</v>
          </cell>
          <cell r="P3585">
            <v>0</v>
          </cell>
        </row>
        <row r="3586">
          <cell r="K3586">
            <v>0</v>
          </cell>
          <cell r="M3586">
            <v>0</v>
          </cell>
          <cell r="P3586">
            <v>0</v>
          </cell>
        </row>
        <row r="3587">
          <cell r="K3587">
            <v>0</v>
          </cell>
          <cell r="M3587">
            <v>0</v>
          </cell>
          <cell r="P3587">
            <v>0</v>
          </cell>
        </row>
        <row r="3588">
          <cell r="K3588">
            <v>0</v>
          </cell>
          <cell r="M3588">
            <v>0</v>
          </cell>
          <cell r="P3588">
            <v>0</v>
          </cell>
        </row>
        <row r="3589">
          <cell r="K3589">
            <v>0</v>
          </cell>
          <cell r="M3589">
            <v>0</v>
          </cell>
          <cell r="P3589">
            <v>0</v>
          </cell>
        </row>
        <row r="3590">
          <cell r="K3590">
            <v>0</v>
          </cell>
          <cell r="M3590">
            <v>0</v>
          </cell>
          <cell r="P3590">
            <v>0</v>
          </cell>
        </row>
        <row r="3591">
          <cell r="K3591">
            <v>0</v>
          </cell>
          <cell r="M3591">
            <v>0</v>
          </cell>
          <cell r="P3591">
            <v>0</v>
          </cell>
        </row>
        <row r="3592">
          <cell r="K3592">
            <v>0</v>
          </cell>
          <cell r="M3592">
            <v>0</v>
          </cell>
          <cell r="P3592">
            <v>0</v>
          </cell>
        </row>
        <row r="3593">
          <cell r="K3593">
            <v>0</v>
          </cell>
          <cell r="M3593">
            <v>0</v>
          </cell>
          <cell r="P3593">
            <v>0</v>
          </cell>
        </row>
        <row r="3594">
          <cell r="K3594">
            <v>0</v>
          </cell>
          <cell r="M3594">
            <v>0</v>
          </cell>
          <cell r="P3594">
            <v>0</v>
          </cell>
        </row>
        <row r="3595">
          <cell r="K3595">
            <v>0</v>
          </cell>
          <cell r="M3595">
            <v>0</v>
          </cell>
          <cell r="P3595">
            <v>0</v>
          </cell>
        </row>
        <row r="3596">
          <cell r="K3596">
            <v>0</v>
          </cell>
          <cell r="M3596">
            <v>0</v>
          </cell>
          <cell r="P3596">
            <v>0</v>
          </cell>
        </row>
        <row r="3597">
          <cell r="K3597">
            <v>0</v>
          </cell>
          <cell r="M3597">
            <v>0</v>
          </cell>
          <cell r="P3597">
            <v>0</v>
          </cell>
        </row>
        <row r="3598">
          <cell r="K3598">
            <v>0</v>
          </cell>
          <cell r="M3598">
            <v>0</v>
          </cell>
          <cell r="P3598">
            <v>0</v>
          </cell>
        </row>
        <row r="3599">
          <cell r="K3599">
            <v>0</v>
          </cell>
          <cell r="M3599">
            <v>0</v>
          </cell>
          <cell r="P3599">
            <v>0</v>
          </cell>
        </row>
        <row r="3600">
          <cell r="K3600">
            <v>0</v>
          </cell>
          <cell r="M3600">
            <v>0</v>
          </cell>
          <cell r="P3600">
            <v>0</v>
          </cell>
        </row>
        <row r="3601">
          <cell r="K3601">
            <v>0</v>
          </cell>
          <cell r="M3601">
            <v>0</v>
          </cell>
          <cell r="P3601">
            <v>0</v>
          </cell>
        </row>
        <row r="3602">
          <cell r="K3602">
            <v>0</v>
          </cell>
          <cell r="M3602">
            <v>0</v>
          </cell>
          <cell r="P3602">
            <v>0</v>
          </cell>
        </row>
        <row r="3603">
          <cell r="K3603">
            <v>0</v>
          </cell>
          <cell r="M3603">
            <v>0</v>
          </cell>
          <cell r="P3603">
            <v>0</v>
          </cell>
        </row>
        <row r="3604">
          <cell r="K3604">
            <v>0</v>
          </cell>
          <cell r="M3604">
            <v>0</v>
          </cell>
          <cell r="P3604">
            <v>0</v>
          </cell>
        </row>
        <row r="3605">
          <cell r="K3605">
            <v>0</v>
          </cell>
          <cell r="M3605">
            <v>0</v>
          </cell>
          <cell r="P3605">
            <v>0</v>
          </cell>
        </row>
        <row r="3606">
          <cell r="K3606">
            <v>0</v>
          </cell>
          <cell r="M3606">
            <v>0</v>
          </cell>
          <cell r="P3606">
            <v>0</v>
          </cell>
        </row>
        <row r="3607">
          <cell r="K3607">
            <v>0</v>
          </cell>
          <cell r="M3607">
            <v>0</v>
          </cell>
          <cell r="P3607">
            <v>0</v>
          </cell>
        </row>
        <row r="3608">
          <cell r="K3608">
            <v>0</v>
          </cell>
          <cell r="M3608">
            <v>0</v>
          </cell>
          <cell r="P3608">
            <v>0</v>
          </cell>
        </row>
        <row r="3609">
          <cell r="K3609">
            <v>0</v>
          </cell>
          <cell r="M3609">
            <v>0</v>
          </cell>
          <cell r="P3609">
            <v>0</v>
          </cell>
        </row>
        <row r="3610">
          <cell r="K3610">
            <v>0</v>
          </cell>
          <cell r="M3610">
            <v>0</v>
          </cell>
          <cell r="P3610">
            <v>0</v>
          </cell>
        </row>
        <row r="3611">
          <cell r="K3611">
            <v>0</v>
          </cell>
          <cell r="M3611">
            <v>0</v>
          </cell>
          <cell r="P3611">
            <v>0</v>
          </cell>
        </row>
        <row r="3612">
          <cell r="K3612">
            <v>0</v>
          </cell>
          <cell r="M3612">
            <v>0</v>
          </cell>
          <cell r="P3612">
            <v>0</v>
          </cell>
        </row>
        <row r="3613">
          <cell r="K3613">
            <v>0</v>
          </cell>
          <cell r="M3613">
            <v>0</v>
          </cell>
          <cell r="P3613">
            <v>0</v>
          </cell>
        </row>
        <row r="3614">
          <cell r="K3614">
            <v>0</v>
          </cell>
          <cell r="M3614">
            <v>0</v>
          </cell>
          <cell r="P3614">
            <v>0</v>
          </cell>
        </row>
        <row r="3615">
          <cell r="K3615">
            <v>0</v>
          </cell>
          <cell r="M3615">
            <v>0</v>
          </cell>
          <cell r="P3615">
            <v>0</v>
          </cell>
        </row>
        <row r="3616">
          <cell r="K3616">
            <v>0</v>
          </cell>
          <cell r="M3616">
            <v>0</v>
          </cell>
          <cell r="P3616">
            <v>0</v>
          </cell>
        </row>
        <row r="3617">
          <cell r="K3617">
            <v>0</v>
          </cell>
          <cell r="M3617">
            <v>0</v>
          </cell>
          <cell r="P3617">
            <v>0</v>
          </cell>
        </row>
        <row r="3618">
          <cell r="K3618">
            <v>0</v>
          </cell>
          <cell r="M3618">
            <v>0</v>
          </cell>
          <cell r="P3618">
            <v>0</v>
          </cell>
        </row>
        <row r="3619">
          <cell r="K3619">
            <v>0</v>
          </cell>
          <cell r="M3619">
            <v>0</v>
          </cell>
          <cell r="P3619">
            <v>0</v>
          </cell>
        </row>
        <row r="3620">
          <cell r="K3620">
            <v>0</v>
          </cell>
          <cell r="M3620">
            <v>0</v>
          </cell>
          <cell r="P3620">
            <v>0</v>
          </cell>
        </row>
        <row r="3621">
          <cell r="K3621">
            <v>0</v>
          </cell>
          <cell r="M3621">
            <v>0</v>
          </cell>
          <cell r="P3621">
            <v>0</v>
          </cell>
        </row>
        <row r="3622">
          <cell r="K3622">
            <v>0</v>
          </cell>
          <cell r="M3622">
            <v>0</v>
          </cell>
          <cell r="P3622">
            <v>0</v>
          </cell>
        </row>
        <row r="3623">
          <cell r="K3623">
            <v>0</v>
          </cell>
          <cell r="M3623">
            <v>0</v>
          </cell>
          <cell r="P3623">
            <v>0</v>
          </cell>
        </row>
        <row r="3624">
          <cell r="K3624">
            <v>0</v>
          </cell>
          <cell r="M3624">
            <v>0</v>
          </cell>
          <cell r="P3624">
            <v>0</v>
          </cell>
        </row>
        <row r="3625">
          <cell r="K3625">
            <v>0</v>
          </cell>
          <cell r="M3625">
            <v>0</v>
          </cell>
          <cell r="P3625">
            <v>0</v>
          </cell>
        </row>
        <row r="3626">
          <cell r="K3626">
            <v>0</v>
          </cell>
          <cell r="M3626">
            <v>0</v>
          </cell>
          <cell r="P3626">
            <v>0</v>
          </cell>
        </row>
        <row r="3627">
          <cell r="K3627">
            <v>0</v>
          </cell>
          <cell r="M3627">
            <v>0</v>
          </cell>
          <cell r="P3627">
            <v>0</v>
          </cell>
        </row>
        <row r="3628">
          <cell r="K3628">
            <v>0</v>
          </cell>
          <cell r="M3628">
            <v>0</v>
          </cell>
          <cell r="P3628">
            <v>0</v>
          </cell>
        </row>
        <row r="3629">
          <cell r="K3629">
            <v>0</v>
          </cell>
          <cell r="M3629">
            <v>0</v>
          </cell>
          <cell r="P3629">
            <v>0</v>
          </cell>
        </row>
        <row r="3630">
          <cell r="K3630">
            <v>0</v>
          </cell>
          <cell r="M3630">
            <v>0</v>
          </cell>
          <cell r="P3630">
            <v>0</v>
          </cell>
        </row>
        <row r="3631">
          <cell r="K3631">
            <v>0</v>
          </cell>
          <cell r="M3631">
            <v>0</v>
          </cell>
          <cell r="P3631">
            <v>0</v>
          </cell>
        </row>
        <row r="3632">
          <cell r="K3632">
            <v>0</v>
          </cell>
          <cell r="M3632">
            <v>0</v>
          </cell>
          <cell r="P3632">
            <v>0</v>
          </cell>
        </row>
        <row r="3633">
          <cell r="K3633">
            <v>0</v>
          </cell>
          <cell r="M3633">
            <v>0</v>
          </cell>
          <cell r="P3633">
            <v>0</v>
          </cell>
        </row>
        <row r="3634">
          <cell r="K3634">
            <v>0</v>
          </cell>
          <cell r="M3634">
            <v>0</v>
          </cell>
          <cell r="P3634">
            <v>0</v>
          </cell>
        </row>
        <row r="3635">
          <cell r="K3635">
            <v>0</v>
          </cell>
          <cell r="M3635">
            <v>0</v>
          </cell>
          <cell r="P3635">
            <v>0</v>
          </cell>
        </row>
        <row r="3636">
          <cell r="K3636">
            <v>0</v>
          </cell>
          <cell r="M3636">
            <v>0</v>
          </cell>
          <cell r="P3636">
            <v>0</v>
          </cell>
        </row>
        <row r="3637">
          <cell r="K3637">
            <v>0</v>
          </cell>
          <cell r="M3637">
            <v>0</v>
          </cell>
          <cell r="P3637">
            <v>0</v>
          </cell>
        </row>
        <row r="3638">
          <cell r="K3638">
            <v>0</v>
          </cell>
          <cell r="M3638">
            <v>0</v>
          </cell>
          <cell r="P3638">
            <v>0</v>
          </cell>
        </row>
        <row r="3639">
          <cell r="K3639">
            <v>0</v>
          </cell>
          <cell r="M3639">
            <v>0</v>
          </cell>
          <cell r="P3639">
            <v>0</v>
          </cell>
        </row>
        <row r="3640">
          <cell r="K3640">
            <v>0</v>
          </cell>
          <cell r="M3640">
            <v>0</v>
          </cell>
          <cell r="P3640">
            <v>0</v>
          </cell>
        </row>
        <row r="3641">
          <cell r="K3641">
            <v>0</v>
          </cell>
          <cell r="M3641">
            <v>0</v>
          </cell>
          <cell r="P3641">
            <v>0</v>
          </cell>
        </row>
        <row r="3642">
          <cell r="K3642">
            <v>0</v>
          </cell>
          <cell r="M3642">
            <v>0</v>
          </cell>
          <cell r="P3642">
            <v>0</v>
          </cell>
        </row>
        <row r="3643">
          <cell r="K3643">
            <v>0</v>
          </cell>
          <cell r="M3643">
            <v>0</v>
          </cell>
          <cell r="P3643">
            <v>0</v>
          </cell>
        </row>
        <row r="3644">
          <cell r="K3644">
            <v>0</v>
          </cell>
          <cell r="M3644">
            <v>0</v>
          </cell>
          <cell r="P3644">
            <v>0</v>
          </cell>
        </row>
        <row r="3645">
          <cell r="K3645">
            <v>0</v>
          </cell>
          <cell r="M3645">
            <v>0</v>
          </cell>
          <cell r="P3645">
            <v>0</v>
          </cell>
        </row>
        <row r="3646">
          <cell r="K3646">
            <v>0</v>
          </cell>
          <cell r="M3646">
            <v>0</v>
          </cell>
          <cell r="P3646">
            <v>0</v>
          </cell>
        </row>
        <row r="3647">
          <cell r="K3647">
            <v>0</v>
          </cell>
          <cell r="M3647">
            <v>0</v>
          </cell>
          <cell r="P3647">
            <v>0</v>
          </cell>
        </row>
        <row r="3648">
          <cell r="K3648">
            <v>0</v>
          </cell>
          <cell r="M3648">
            <v>0</v>
          </cell>
          <cell r="P3648">
            <v>0</v>
          </cell>
        </row>
        <row r="3649">
          <cell r="K3649">
            <v>0</v>
          </cell>
          <cell r="M3649">
            <v>0</v>
          </cell>
          <cell r="P3649">
            <v>0</v>
          </cell>
        </row>
        <row r="3650">
          <cell r="K3650">
            <v>0</v>
          </cell>
          <cell r="M3650">
            <v>0</v>
          </cell>
          <cell r="P3650">
            <v>0</v>
          </cell>
        </row>
        <row r="3651">
          <cell r="K3651">
            <v>0</v>
          </cell>
          <cell r="M3651">
            <v>0</v>
          </cell>
          <cell r="P3651">
            <v>0</v>
          </cell>
        </row>
        <row r="3652">
          <cell r="K3652">
            <v>0</v>
          </cell>
          <cell r="M3652">
            <v>0</v>
          </cell>
          <cell r="P3652">
            <v>0</v>
          </cell>
        </row>
        <row r="3653">
          <cell r="K3653">
            <v>0</v>
          </cell>
          <cell r="M3653">
            <v>0</v>
          </cell>
          <cell r="P3653">
            <v>0</v>
          </cell>
        </row>
        <row r="3654">
          <cell r="K3654">
            <v>0</v>
          </cell>
          <cell r="M3654">
            <v>0</v>
          </cell>
          <cell r="P3654">
            <v>0</v>
          </cell>
        </row>
        <row r="3655">
          <cell r="K3655">
            <v>0</v>
          </cell>
          <cell r="M3655">
            <v>0</v>
          </cell>
          <cell r="P3655">
            <v>0</v>
          </cell>
        </row>
        <row r="3656">
          <cell r="K3656">
            <v>0</v>
          </cell>
          <cell r="M3656">
            <v>0</v>
          </cell>
          <cell r="P3656">
            <v>0</v>
          </cell>
        </row>
        <row r="3657">
          <cell r="K3657">
            <v>0</v>
          </cell>
          <cell r="M3657">
            <v>0</v>
          </cell>
          <cell r="P3657">
            <v>0</v>
          </cell>
        </row>
        <row r="3658">
          <cell r="K3658">
            <v>0</v>
          </cell>
          <cell r="M3658">
            <v>0</v>
          </cell>
          <cell r="P3658">
            <v>0</v>
          </cell>
        </row>
        <row r="3659">
          <cell r="K3659">
            <v>0</v>
          </cell>
          <cell r="M3659">
            <v>0</v>
          </cell>
          <cell r="P3659">
            <v>0</v>
          </cell>
        </row>
        <row r="3660">
          <cell r="K3660">
            <v>0</v>
          </cell>
          <cell r="M3660">
            <v>0</v>
          </cell>
          <cell r="P3660">
            <v>0</v>
          </cell>
        </row>
        <row r="3661">
          <cell r="K3661">
            <v>0</v>
          </cell>
          <cell r="M3661">
            <v>0</v>
          </cell>
          <cell r="P3661">
            <v>0</v>
          </cell>
        </row>
        <row r="3662">
          <cell r="K3662">
            <v>0</v>
          </cell>
          <cell r="M3662">
            <v>0</v>
          </cell>
          <cell r="P3662">
            <v>0</v>
          </cell>
        </row>
        <row r="3663">
          <cell r="K3663">
            <v>0</v>
          </cell>
          <cell r="M3663">
            <v>0</v>
          </cell>
          <cell r="P3663">
            <v>0</v>
          </cell>
        </row>
        <row r="3664">
          <cell r="K3664">
            <v>0</v>
          </cell>
          <cell r="M3664">
            <v>0</v>
          </cell>
          <cell r="P3664">
            <v>0</v>
          </cell>
        </row>
        <row r="3665">
          <cell r="K3665">
            <v>0</v>
          </cell>
          <cell r="M3665">
            <v>0</v>
          </cell>
          <cell r="P3665">
            <v>0</v>
          </cell>
        </row>
        <row r="3666">
          <cell r="K3666">
            <v>0</v>
          </cell>
          <cell r="M3666">
            <v>0</v>
          </cell>
          <cell r="P3666">
            <v>0</v>
          </cell>
        </row>
        <row r="3667">
          <cell r="K3667">
            <v>0</v>
          </cell>
          <cell r="M3667">
            <v>0</v>
          </cell>
          <cell r="P3667">
            <v>0</v>
          </cell>
        </row>
        <row r="3668">
          <cell r="K3668">
            <v>0</v>
          </cell>
          <cell r="M3668">
            <v>0</v>
          </cell>
          <cell r="P3668">
            <v>0</v>
          </cell>
        </row>
        <row r="3669">
          <cell r="K3669">
            <v>0</v>
          </cell>
          <cell r="M3669">
            <v>0</v>
          </cell>
          <cell r="P3669">
            <v>0</v>
          </cell>
        </row>
        <row r="3670">
          <cell r="K3670">
            <v>0</v>
          </cell>
          <cell r="M3670">
            <v>0</v>
          </cell>
          <cell r="P3670">
            <v>0</v>
          </cell>
        </row>
        <row r="3671">
          <cell r="K3671">
            <v>0</v>
          </cell>
          <cell r="M3671">
            <v>0</v>
          </cell>
          <cell r="P3671">
            <v>0</v>
          </cell>
        </row>
        <row r="3672">
          <cell r="K3672">
            <v>0</v>
          </cell>
          <cell r="M3672">
            <v>0</v>
          </cell>
          <cell r="P3672">
            <v>0</v>
          </cell>
        </row>
        <row r="3673">
          <cell r="K3673">
            <v>0</v>
          </cell>
          <cell r="M3673">
            <v>0</v>
          </cell>
          <cell r="P3673">
            <v>0</v>
          </cell>
        </row>
        <row r="3674">
          <cell r="K3674">
            <v>0</v>
          </cell>
          <cell r="M3674">
            <v>0</v>
          </cell>
          <cell r="P3674">
            <v>0</v>
          </cell>
        </row>
        <row r="3675">
          <cell r="K3675">
            <v>0</v>
          </cell>
          <cell r="M3675">
            <v>0</v>
          </cell>
          <cell r="P3675">
            <v>0</v>
          </cell>
        </row>
        <row r="3676">
          <cell r="K3676">
            <v>0</v>
          </cell>
          <cell r="M3676">
            <v>0</v>
          </cell>
          <cell r="P3676">
            <v>0</v>
          </cell>
        </row>
        <row r="3677">
          <cell r="K3677">
            <v>0</v>
          </cell>
          <cell r="M3677">
            <v>0</v>
          </cell>
          <cell r="P3677">
            <v>0</v>
          </cell>
        </row>
        <row r="3678">
          <cell r="K3678">
            <v>0</v>
          </cell>
          <cell r="M3678">
            <v>0</v>
          </cell>
          <cell r="P3678">
            <v>0</v>
          </cell>
        </row>
        <row r="3679">
          <cell r="K3679">
            <v>0</v>
          </cell>
          <cell r="M3679">
            <v>0</v>
          </cell>
          <cell r="P3679">
            <v>0</v>
          </cell>
        </row>
        <row r="3680">
          <cell r="K3680">
            <v>0</v>
          </cell>
          <cell r="M3680">
            <v>0</v>
          </cell>
          <cell r="P3680">
            <v>0</v>
          </cell>
        </row>
        <row r="3681">
          <cell r="K3681">
            <v>0</v>
          </cell>
          <cell r="M3681">
            <v>0</v>
          </cell>
          <cell r="P3681">
            <v>0</v>
          </cell>
        </row>
        <row r="3682">
          <cell r="K3682">
            <v>0</v>
          </cell>
          <cell r="M3682">
            <v>0</v>
          </cell>
          <cell r="P3682">
            <v>0</v>
          </cell>
        </row>
        <row r="3683">
          <cell r="K3683">
            <v>0</v>
          </cell>
          <cell r="M3683">
            <v>0</v>
          </cell>
          <cell r="P3683">
            <v>0</v>
          </cell>
        </row>
        <row r="3684">
          <cell r="K3684">
            <v>0</v>
          </cell>
          <cell r="M3684">
            <v>0</v>
          </cell>
          <cell r="P3684">
            <v>0</v>
          </cell>
        </row>
        <row r="3685">
          <cell r="K3685">
            <v>0</v>
          </cell>
          <cell r="M3685">
            <v>0</v>
          </cell>
          <cell r="P3685">
            <v>0</v>
          </cell>
        </row>
        <row r="3686">
          <cell r="K3686">
            <v>0</v>
          </cell>
          <cell r="M3686">
            <v>0</v>
          </cell>
          <cell r="P3686">
            <v>0</v>
          </cell>
        </row>
        <row r="3687">
          <cell r="K3687">
            <v>0</v>
          </cell>
          <cell r="M3687">
            <v>0</v>
          </cell>
          <cell r="P3687">
            <v>0</v>
          </cell>
        </row>
        <row r="3688">
          <cell r="K3688">
            <v>0</v>
          </cell>
          <cell r="M3688">
            <v>0</v>
          </cell>
          <cell r="P3688">
            <v>0</v>
          </cell>
        </row>
        <row r="3689">
          <cell r="K3689">
            <v>0</v>
          </cell>
          <cell r="M3689">
            <v>0</v>
          </cell>
          <cell r="P3689">
            <v>0</v>
          </cell>
        </row>
        <row r="3690">
          <cell r="K3690">
            <v>0</v>
          </cell>
          <cell r="M3690">
            <v>0</v>
          </cell>
          <cell r="P3690">
            <v>0</v>
          </cell>
        </row>
        <row r="3691">
          <cell r="K3691">
            <v>0</v>
          </cell>
          <cell r="M3691">
            <v>0</v>
          </cell>
          <cell r="P3691">
            <v>0</v>
          </cell>
        </row>
        <row r="3692">
          <cell r="K3692">
            <v>0</v>
          </cell>
          <cell r="M3692">
            <v>0</v>
          </cell>
          <cell r="P3692">
            <v>0</v>
          </cell>
        </row>
        <row r="3693">
          <cell r="K3693">
            <v>0</v>
          </cell>
          <cell r="M3693">
            <v>0</v>
          </cell>
          <cell r="P3693">
            <v>0</v>
          </cell>
        </row>
        <row r="3694">
          <cell r="K3694">
            <v>0</v>
          </cell>
          <cell r="M3694">
            <v>0</v>
          </cell>
          <cell r="P3694">
            <v>0</v>
          </cell>
        </row>
        <row r="3695">
          <cell r="K3695">
            <v>0</v>
          </cell>
          <cell r="M3695">
            <v>0</v>
          </cell>
          <cell r="P3695">
            <v>0</v>
          </cell>
        </row>
        <row r="3696">
          <cell r="K3696">
            <v>0</v>
          </cell>
          <cell r="M3696">
            <v>0</v>
          </cell>
          <cell r="P3696">
            <v>0</v>
          </cell>
        </row>
        <row r="3697">
          <cell r="K3697">
            <v>0</v>
          </cell>
          <cell r="M3697">
            <v>0</v>
          </cell>
          <cell r="P3697">
            <v>0</v>
          </cell>
        </row>
        <row r="3698">
          <cell r="K3698">
            <v>0</v>
          </cell>
          <cell r="M3698">
            <v>0</v>
          </cell>
          <cell r="P3698">
            <v>0</v>
          </cell>
        </row>
        <row r="3699">
          <cell r="K3699">
            <v>0</v>
          </cell>
          <cell r="M3699">
            <v>0</v>
          </cell>
          <cell r="P3699">
            <v>0</v>
          </cell>
        </row>
        <row r="3700">
          <cell r="K3700">
            <v>0</v>
          </cell>
          <cell r="M3700">
            <v>0</v>
          </cell>
          <cell r="P3700">
            <v>0</v>
          </cell>
        </row>
        <row r="3701">
          <cell r="K3701">
            <v>0</v>
          </cell>
          <cell r="M3701">
            <v>0</v>
          </cell>
          <cell r="P3701">
            <v>0</v>
          </cell>
        </row>
        <row r="3702">
          <cell r="K3702">
            <v>0</v>
          </cell>
          <cell r="M3702">
            <v>0</v>
          </cell>
          <cell r="P3702">
            <v>0</v>
          </cell>
        </row>
        <row r="3703">
          <cell r="K3703">
            <v>0</v>
          </cell>
          <cell r="M3703">
            <v>0</v>
          </cell>
          <cell r="P3703">
            <v>0</v>
          </cell>
        </row>
        <row r="3704">
          <cell r="K3704">
            <v>0</v>
          </cell>
          <cell r="M3704">
            <v>0</v>
          </cell>
          <cell r="P3704">
            <v>0</v>
          </cell>
        </row>
        <row r="3705">
          <cell r="K3705">
            <v>0</v>
          </cell>
          <cell r="M3705">
            <v>0</v>
          </cell>
          <cell r="P3705">
            <v>0</v>
          </cell>
        </row>
        <row r="3706">
          <cell r="K3706">
            <v>0</v>
          </cell>
          <cell r="M3706">
            <v>0</v>
          </cell>
          <cell r="P3706">
            <v>0</v>
          </cell>
        </row>
        <row r="3707">
          <cell r="K3707">
            <v>0</v>
          </cell>
          <cell r="M3707">
            <v>0</v>
          </cell>
          <cell r="P3707">
            <v>0</v>
          </cell>
        </row>
        <row r="3708">
          <cell r="K3708">
            <v>0</v>
          </cell>
          <cell r="M3708">
            <v>0</v>
          </cell>
          <cell r="P3708">
            <v>0</v>
          </cell>
        </row>
        <row r="3709">
          <cell r="K3709">
            <v>0</v>
          </cell>
          <cell r="M3709">
            <v>0</v>
          </cell>
          <cell r="P3709">
            <v>0</v>
          </cell>
        </row>
        <row r="3710">
          <cell r="K3710">
            <v>0</v>
          </cell>
          <cell r="M3710">
            <v>0</v>
          </cell>
          <cell r="P3710">
            <v>0</v>
          </cell>
        </row>
        <row r="3711">
          <cell r="K3711">
            <v>0</v>
          </cell>
          <cell r="M3711">
            <v>0</v>
          </cell>
          <cell r="P3711">
            <v>0</v>
          </cell>
        </row>
        <row r="3712">
          <cell r="K3712">
            <v>0</v>
          </cell>
          <cell r="M3712">
            <v>0</v>
          </cell>
          <cell r="P3712">
            <v>0</v>
          </cell>
        </row>
        <row r="3713">
          <cell r="K3713">
            <v>0</v>
          </cell>
          <cell r="M3713">
            <v>0</v>
          </cell>
          <cell r="P3713">
            <v>0</v>
          </cell>
        </row>
        <row r="3714">
          <cell r="K3714">
            <v>0</v>
          </cell>
          <cell r="M3714">
            <v>0</v>
          </cell>
          <cell r="P3714">
            <v>0</v>
          </cell>
        </row>
        <row r="3715">
          <cell r="K3715">
            <v>0</v>
          </cell>
          <cell r="M3715">
            <v>0</v>
          </cell>
          <cell r="P3715">
            <v>0</v>
          </cell>
        </row>
        <row r="3716">
          <cell r="K3716">
            <v>0</v>
          </cell>
          <cell r="M3716">
            <v>0</v>
          </cell>
          <cell r="P3716">
            <v>0</v>
          </cell>
        </row>
        <row r="3717">
          <cell r="K3717">
            <v>0</v>
          </cell>
          <cell r="M3717">
            <v>0</v>
          </cell>
          <cell r="P3717">
            <v>0</v>
          </cell>
        </row>
        <row r="3718">
          <cell r="K3718">
            <v>0</v>
          </cell>
          <cell r="M3718">
            <v>0</v>
          </cell>
          <cell r="P3718">
            <v>0</v>
          </cell>
        </row>
        <row r="3719">
          <cell r="K3719">
            <v>0</v>
          </cell>
          <cell r="M3719">
            <v>0</v>
          </cell>
          <cell r="P3719">
            <v>0</v>
          </cell>
        </row>
        <row r="3720">
          <cell r="K3720">
            <v>0</v>
          </cell>
          <cell r="M3720">
            <v>0</v>
          </cell>
          <cell r="P3720">
            <v>0</v>
          </cell>
        </row>
        <row r="3721">
          <cell r="K3721">
            <v>0</v>
          </cell>
          <cell r="M3721">
            <v>0</v>
          </cell>
          <cell r="P3721">
            <v>0</v>
          </cell>
        </row>
        <row r="3722">
          <cell r="K3722">
            <v>0</v>
          </cell>
          <cell r="M3722">
            <v>0</v>
          </cell>
          <cell r="P3722">
            <v>0</v>
          </cell>
        </row>
        <row r="3723">
          <cell r="K3723">
            <v>0</v>
          </cell>
          <cell r="M3723">
            <v>0</v>
          </cell>
          <cell r="P3723">
            <v>0</v>
          </cell>
        </row>
        <row r="3724">
          <cell r="K3724">
            <v>0</v>
          </cell>
          <cell r="M3724">
            <v>0</v>
          </cell>
          <cell r="P3724">
            <v>0</v>
          </cell>
        </row>
        <row r="3725">
          <cell r="K3725">
            <v>0</v>
          </cell>
          <cell r="M3725">
            <v>0</v>
          </cell>
          <cell r="P3725">
            <v>0</v>
          </cell>
        </row>
        <row r="3726">
          <cell r="K3726">
            <v>0</v>
          </cell>
          <cell r="M3726">
            <v>0</v>
          </cell>
          <cell r="P3726">
            <v>0</v>
          </cell>
        </row>
        <row r="3727">
          <cell r="K3727">
            <v>0</v>
          </cell>
          <cell r="M3727">
            <v>0</v>
          </cell>
          <cell r="P3727">
            <v>0</v>
          </cell>
        </row>
        <row r="3728">
          <cell r="K3728">
            <v>0</v>
          </cell>
          <cell r="M3728">
            <v>0</v>
          </cell>
          <cell r="P3728">
            <v>0</v>
          </cell>
        </row>
        <row r="3729">
          <cell r="K3729">
            <v>0</v>
          </cell>
          <cell r="M3729">
            <v>0</v>
          </cell>
          <cell r="P3729">
            <v>0</v>
          </cell>
        </row>
        <row r="3730">
          <cell r="K3730">
            <v>0</v>
          </cell>
          <cell r="M3730">
            <v>0</v>
          </cell>
          <cell r="P3730">
            <v>0</v>
          </cell>
        </row>
        <row r="3731">
          <cell r="K3731">
            <v>0</v>
          </cell>
          <cell r="M3731">
            <v>0</v>
          </cell>
          <cell r="P3731">
            <v>0</v>
          </cell>
        </row>
        <row r="3732">
          <cell r="K3732">
            <v>0</v>
          </cell>
          <cell r="M3732">
            <v>0</v>
          </cell>
          <cell r="P3732">
            <v>0</v>
          </cell>
        </row>
        <row r="3733">
          <cell r="K3733">
            <v>0</v>
          </cell>
          <cell r="M3733">
            <v>0</v>
          </cell>
          <cell r="P3733">
            <v>0</v>
          </cell>
        </row>
        <row r="3734">
          <cell r="K3734">
            <v>0</v>
          </cell>
          <cell r="M3734">
            <v>0</v>
          </cell>
          <cell r="P3734">
            <v>0</v>
          </cell>
        </row>
        <row r="3735">
          <cell r="K3735">
            <v>0</v>
          </cell>
          <cell r="M3735">
            <v>0</v>
          </cell>
          <cell r="P3735">
            <v>0</v>
          </cell>
        </row>
        <row r="3736">
          <cell r="K3736">
            <v>0</v>
          </cell>
          <cell r="M3736">
            <v>0</v>
          </cell>
          <cell r="P3736">
            <v>0</v>
          </cell>
        </row>
        <row r="3737">
          <cell r="K3737">
            <v>0</v>
          </cell>
          <cell r="M3737">
            <v>0</v>
          </cell>
          <cell r="P3737">
            <v>0</v>
          </cell>
        </row>
        <row r="3738">
          <cell r="K3738">
            <v>0</v>
          </cell>
          <cell r="M3738">
            <v>0</v>
          </cell>
          <cell r="P3738">
            <v>0</v>
          </cell>
        </row>
        <row r="3739">
          <cell r="K3739">
            <v>0</v>
          </cell>
          <cell r="M3739">
            <v>0</v>
          </cell>
          <cell r="P3739">
            <v>0</v>
          </cell>
        </row>
        <row r="3740">
          <cell r="K3740">
            <v>0</v>
          </cell>
          <cell r="M3740">
            <v>0</v>
          </cell>
          <cell r="P3740">
            <v>0</v>
          </cell>
        </row>
        <row r="3741">
          <cell r="K3741">
            <v>0</v>
          </cell>
          <cell r="M3741">
            <v>0</v>
          </cell>
          <cell r="P3741">
            <v>0</v>
          </cell>
        </row>
        <row r="3742">
          <cell r="K3742">
            <v>0</v>
          </cell>
          <cell r="M3742">
            <v>0</v>
          </cell>
          <cell r="P3742">
            <v>0</v>
          </cell>
        </row>
        <row r="3743">
          <cell r="K3743">
            <v>0</v>
          </cell>
          <cell r="M3743">
            <v>0</v>
          </cell>
          <cell r="P3743">
            <v>0</v>
          </cell>
        </row>
        <row r="3744">
          <cell r="K3744">
            <v>0</v>
          </cell>
          <cell r="M3744">
            <v>0</v>
          </cell>
          <cell r="P3744">
            <v>0</v>
          </cell>
        </row>
        <row r="3745">
          <cell r="K3745">
            <v>0</v>
          </cell>
          <cell r="M3745">
            <v>0</v>
          </cell>
          <cell r="P3745">
            <v>0</v>
          </cell>
        </row>
        <row r="3746">
          <cell r="K3746">
            <v>0</v>
          </cell>
          <cell r="M3746">
            <v>0</v>
          </cell>
          <cell r="P3746">
            <v>0</v>
          </cell>
        </row>
        <row r="3747">
          <cell r="K3747">
            <v>0</v>
          </cell>
          <cell r="M3747">
            <v>0</v>
          </cell>
          <cell r="P3747">
            <v>0</v>
          </cell>
        </row>
        <row r="3748">
          <cell r="K3748">
            <v>0</v>
          </cell>
          <cell r="M3748">
            <v>0</v>
          </cell>
          <cell r="P3748">
            <v>0</v>
          </cell>
        </row>
        <row r="3749">
          <cell r="K3749">
            <v>0</v>
          </cell>
          <cell r="M3749">
            <v>0</v>
          </cell>
          <cell r="P3749">
            <v>0</v>
          </cell>
        </row>
        <row r="3750">
          <cell r="K3750">
            <v>0</v>
          </cell>
          <cell r="M3750">
            <v>0</v>
          </cell>
          <cell r="P3750">
            <v>0</v>
          </cell>
        </row>
        <row r="3751">
          <cell r="K3751">
            <v>0</v>
          </cell>
          <cell r="M3751">
            <v>0</v>
          </cell>
          <cell r="P3751">
            <v>0</v>
          </cell>
        </row>
        <row r="3752">
          <cell r="K3752">
            <v>0</v>
          </cell>
          <cell r="M3752">
            <v>0</v>
          </cell>
          <cell r="P3752">
            <v>0</v>
          </cell>
        </row>
        <row r="3753">
          <cell r="K3753">
            <v>0</v>
          </cell>
          <cell r="M3753">
            <v>0</v>
          </cell>
          <cell r="P3753">
            <v>0</v>
          </cell>
        </row>
        <row r="3754">
          <cell r="K3754">
            <v>0</v>
          </cell>
          <cell r="M3754">
            <v>0</v>
          </cell>
          <cell r="P3754">
            <v>0</v>
          </cell>
        </row>
        <row r="3755">
          <cell r="K3755">
            <v>0</v>
          </cell>
          <cell r="M3755">
            <v>0</v>
          </cell>
          <cell r="P3755">
            <v>0</v>
          </cell>
        </row>
        <row r="3756">
          <cell r="K3756">
            <v>0</v>
          </cell>
          <cell r="M3756">
            <v>0</v>
          </cell>
          <cell r="P3756">
            <v>0</v>
          </cell>
        </row>
        <row r="3757">
          <cell r="K3757">
            <v>0</v>
          </cell>
          <cell r="M3757">
            <v>0</v>
          </cell>
          <cell r="P3757">
            <v>0</v>
          </cell>
        </row>
        <row r="3758">
          <cell r="K3758">
            <v>0</v>
          </cell>
          <cell r="M3758">
            <v>0</v>
          </cell>
          <cell r="P3758">
            <v>0</v>
          </cell>
        </row>
        <row r="3759">
          <cell r="K3759">
            <v>0</v>
          </cell>
          <cell r="M3759">
            <v>0</v>
          </cell>
          <cell r="P3759">
            <v>0</v>
          </cell>
        </row>
        <row r="3760">
          <cell r="K3760">
            <v>0</v>
          </cell>
          <cell r="M3760">
            <v>0</v>
          </cell>
          <cell r="P3760">
            <v>0</v>
          </cell>
        </row>
        <row r="3761">
          <cell r="K3761">
            <v>0</v>
          </cell>
          <cell r="M3761">
            <v>0</v>
          </cell>
          <cell r="P3761">
            <v>0</v>
          </cell>
        </row>
        <row r="3762">
          <cell r="K3762">
            <v>0</v>
          </cell>
          <cell r="M3762">
            <v>0</v>
          </cell>
          <cell r="P3762">
            <v>0</v>
          </cell>
        </row>
        <row r="3763">
          <cell r="K3763">
            <v>0</v>
          </cell>
          <cell r="M3763">
            <v>0</v>
          </cell>
          <cell r="P3763">
            <v>0</v>
          </cell>
        </row>
        <row r="3764">
          <cell r="K3764">
            <v>0</v>
          </cell>
          <cell r="M3764">
            <v>0</v>
          </cell>
          <cell r="P3764">
            <v>0</v>
          </cell>
        </row>
        <row r="3765">
          <cell r="K3765">
            <v>0</v>
          </cell>
          <cell r="M3765">
            <v>0</v>
          </cell>
          <cell r="P3765">
            <v>0</v>
          </cell>
        </row>
        <row r="3766">
          <cell r="K3766">
            <v>0</v>
          </cell>
          <cell r="M3766">
            <v>0</v>
          </cell>
          <cell r="P3766">
            <v>0</v>
          </cell>
        </row>
        <row r="3767">
          <cell r="K3767">
            <v>0</v>
          </cell>
          <cell r="M3767">
            <v>0</v>
          </cell>
          <cell r="P3767">
            <v>0</v>
          </cell>
        </row>
        <row r="3768">
          <cell r="K3768">
            <v>0</v>
          </cell>
          <cell r="M3768">
            <v>0</v>
          </cell>
          <cell r="P3768">
            <v>0</v>
          </cell>
        </row>
        <row r="3769">
          <cell r="K3769">
            <v>0</v>
          </cell>
          <cell r="M3769">
            <v>0</v>
          </cell>
          <cell r="P3769">
            <v>0</v>
          </cell>
        </row>
        <row r="3770">
          <cell r="K3770">
            <v>0</v>
          </cell>
          <cell r="M3770">
            <v>0</v>
          </cell>
          <cell r="P3770">
            <v>0</v>
          </cell>
        </row>
        <row r="3771">
          <cell r="K3771">
            <v>0</v>
          </cell>
          <cell r="M3771">
            <v>0</v>
          </cell>
          <cell r="P3771">
            <v>0</v>
          </cell>
        </row>
        <row r="3772">
          <cell r="K3772">
            <v>0</v>
          </cell>
          <cell r="M3772">
            <v>0</v>
          </cell>
          <cell r="P3772">
            <v>0</v>
          </cell>
        </row>
        <row r="3773">
          <cell r="K3773">
            <v>0</v>
          </cell>
          <cell r="M3773">
            <v>0</v>
          </cell>
          <cell r="P3773">
            <v>0</v>
          </cell>
        </row>
        <row r="3774">
          <cell r="K3774">
            <v>0</v>
          </cell>
          <cell r="M3774">
            <v>0</v>
          </cell>
          <cell r="P3774">
            <v>0</v>
          </cell>
        </row>
        <row r="3775">
          <cell r="K3775">
            <v>0</v>
          </cell>
          <cell r="M3775">
            <v>0</v>
          </cell>
          <cell r="P3775">
            <v>0</v>
          </cell>
        </row>
        <row r="3776">
          <cell r="K3776">
            <v>0</v>
          </cell>
          <cell r="M3776">
            <v>0</v>
          </cell>
          <cell r="P3776">
            <v>0</v>
          </cell>
        </row>
        <row r="3777">
          <cell r="K3777">
            <v>0</v>
          </cell>
          <cell r="M3777">
            <v>0</v>
          </cell>
          <cell r="P3777">
            <v>0</v>
          </cell>
        </row>
        <row r="3778">
          <cell r="K3778">
            <v>0</v>
          </cell>
          <cell r="M3778">
            <v>0</v>
          </cell>
          <cell r="P3778">
            <v>0</v>
          </cell>
        </row>
        <row r="3779">
          <cell r="K3779">
            <v>0</v>
          </cell>
          <cell r="M3779">
            <v>0</v>
          </cell>
          <cell r="P3779">
            <v>0</v>
          </cell>
        </row>
        <row r="3780">
          <cell r="K3780">
            <v>0</v>
          </cell>
          <cell r="M3780">
            <v>0</v>
          </cell>
          <cell r="P3780">
            <v>0</v>
          </cell>
        </row>
        <row r="3781">
          <cell r="K3781">
            <v>0</v>
          </cell>
          <cell r="M3781">
            <v>0</v>
          </cell>
          <cell r="P3781">
            <v>0</v>
          </cell>
        </row>
        <row r="3782">
          <cell r="K3782">
            <v>0</v>
          </cell>
          <cell r="M3782">
            <v>0</v>
          </cell>
          <cell r="P3782">
            <v>0</v>
          </cell>
        </row>
        <row r="3783">
          <cell r="K3783">
            <v>0</v>
          </cell>
          <cell r="M3783">
            <v>0</v>
          </cell>
          <cell r="P3783">
            <v>0</v>
          </cell>
        </row>
        <row r="3784">
          <cell r="K3784">
            <v>0</v>
          </cell>
          <cell r="M3784">
            <v>0</v>
          </cell>
          <cell r="P3784">
            <v>0</v>
          </cell>
        </row>
        <row r="3785">
          <cell r="K3785">
            <v>0</v>
          </cell>
          <cell r="M3785">
            <v>0</v>
          </cell>
          <cell r="P3785">
            <v>0</v>
          </cell>
        </row>
        <row r="3786">
          <cell r="K3786">
            <v>0</v>
          </cell>
          <cell r="M3786">
            <v>0</v>
          </cell>
          <cell r="P3786">
            <v>0</v>
          </cell>
        </row>
        <row r="3787">
          <cell r="K3787">
            <v>0</v>
          </cell>
          <cell r="M3787">
            <v>0</v>
          </cell>
          <cell r="P3787">
            <v>0</v>
          </cell>
        </row>
        <row r="3788">
          <cell r="K3788">
            <v>0</v>
          </cell>
          <cell r="M3788">
            <v>0</v>
          </cell>
          <cell r="P3788">
            <v>0</v>
          </cell>
        </row>
        <row r="3789">
          <cell r="K3789">
            <v>0</v>
          </cell>
          <cell r="M3789">
            <v>0</v>
          </cell>
          <cell r="P3789">
            <v>0</v>
          </cell>
        </row>
        <row r="3790">
          <cell r="K3790">
            <v>0</v>
          </cell>
          <cell r="M3790">
            <v>0</v>
          </cell>
          <cell r="P3790">
            <v>0</v>
          </cell>
        </row>
        <row r="3791">
          <cell r="K3791">
            <v>0</v>
          </cell>
          <cell r="M3791">
            <v>0</v>
          </cell>
          <cell r="P3791">
            <v>0</v>
          </cell>
        </row>
        <row r="3792">
          <cell r="K3792">
            <v>0</v>
          </cell>
          <cell r="M3792">
            <v>0</v>
          </cell>
          <cell r="P3792">
            <v>0</v>
          </cell>
        </row>
        <row r="3793">
          <cell r="K3793">
            <v>0</v>
          </cell>
          <cell r="M3793">
            <v>0</v>
          </cell>
          <cell r="P3793">
            <v>0</v>
          </cell>
        </row>
        <row r="3794">
          <cell r="K3794">
            <v>0</v>
          </cell>
          <cell r="M3794">
            <v>0</v>
          </cell>
          <cell r="P3794">
            <v>0</v>
          </cell>
        </row>
        <row r="3795">
          <cell r="K3795">
            <v>0</v>
          </cell>
          <cell r="M3795">
            <v>0</v>
          </cell>
          <cell r="P3795">
            <v>0</v>
          </cell>
        </row>
        <row r="3796">
          <cell r="K3796">
            <v>0</v>
          </cell>
          <cell r="M3796">
            <v>0</v>
          </cell>
          <cell r="P3796">
            <v>0</v>
          </cell>
        </row>
        <row r="3797">
          <cell r="K3797">
            <v>0</v>
          </cell>
          <cell r="M3797">
            <v>0</v>
          </cell>
          <cell r="P3797">
            <v>0</v>
          </cell>
        </row>
        <row r="3798">
          <cell r="K3798">
            <v>0</v>
          </cell>
          <cell r="M3798">
            <v>0</v>
          </cell>
          <cell r="P3798">
            <v>0</v>
          </cell>
        </row>
        <row r="3799">
          <cell r="K3799">
            <v>0</v>
          </cell>
          <cell r="M3799">
            <v>0</v>
          </cell>
          <cell r="P3799">
            <v>0</v>
          </cell>
        </row>
        <row r="3800">
          <cell r="K3800">
            <v>0</v>
          </cell>
          <cell r="M3800">
            <v>0</v>
          </cell>
          <cell r="P3800">
            <v>0</v>
          </cell>
        </row>
        <row r="3801">
          <cell r="K3801">
            <v>0</v>
          </cell>
          <cell r="M3801">
            <v>0</v>
          </cell>
          <cell r="P3801">
            <v>0</v>
          </cell>
        </row>
        <row r="3802">
          <cell r="K3802">
            <v>0</v>
          </cell>
          <cell r="M3802">
            <v>0</v>
          </cell>
          <cell r="P3802">
            <v>0</v>
          </cell>
        </row>
        <row r="3803">
          <cell r="K3803">
            <v>0</v>
          </cell>
          <cell r="M3803">
            <v>0</v>
          </cell>
          <cell r="P3803">
            <v>0</v>
          </cell>
        </row>
        <row r="3804">
          <cell r="K3804">
            <v>0</v>
          </cell>
          <cell r="M3804">
            <v>0</v>
          </cell>
          <cell r="P3804">
            <v>0</v>
          </cell>
        </row>
        <row r="3805">
          <cell r="K3805">
            <v>0</v>
          </cell>
          <cell r="M3805">
            <v>0</v>
          </cell>
          <cell r="P3805">
            <v>0</v>
          </cell>
        </row>
        <row r="3806">
          <cell r="K3806">
            <v>0</v>
          </cell>
          <cell r="M3806">
            <v>0</v>
          </cell>
          <cell r="P3806">
            <v>0</v>
          </cell>
        </row>
        <row r="3807">
          <cell r="K3807">
            <v>0</v>
          </cell>
          <cell r="M3807">
            <v>0</v>
          </cell>
          <cell r="P3807">
            <v>0</v>
          </cell>
        </row>
        <row r="3808">
          <cell r="K3808">
            <v>0</v>
          </cell>
          <cell r="M3808">
            <v>0</v>
          </cell>
          <cell r="P3808">
            <v>0</v>
          </cell>
        </row>
        <row r="3809">
          <cell r="K3809">
            <v>0</v>
          </cell>
          <cell r="M3809">
            <v>0</v>
          </cell>
          <cell r="P3809">
            <v>0</v>
          </cell>
        </row>
        <row r="3810">
          <cell r="K3810">
            <v>0</v>
          </cell>
          <cell r="M3810">
            <v>0</v>
          </cell>
          <cell r="P3810">
            <v>0</v>
          </cell>
        </row>
        <row r="3811">
          <cell r="K3811">
            <v>0</v>
          </cell>
          <cell r="M3811">
            <v>0</v>
          </cell>
          <cell r="P3811">
            <v>0</v>
          </cell>
        </row>
        <row r="3812">
          <cell r="K3812">
            <v>0</v>
          </cell>
          <cell r="M3812">
            <v>0</v>
          </cell>
          <cell r="P3812">
            <v>0</v>
          </cell>
        </row>
        <row r="3813">
          <cell r="K3813">
            <v>0</v>
          </cell>
          <cell r="M3813">
            <v>0</v>
          </cell>
          <cell r="P3813">
            <v>0</v>
          </cell>
        </row>
        <row r="3814">
          <cell r="K3814">
            <v>0</v>
          </cell>
          <cell r="M3814">
            <v>0</v>
          </cell>
          <cell r="P3814">
            <v>0</v>
          </cell>
        </row>
        <row r="3815">
          <cell r="K3815">
            <v>0</v>
          </cell>
          <cell r="M3815">
            <v>0</v>
          </cell>
          <cell r="P3815">
            <v>0</v>
          </cell>
        </row>
        <row r="3816">
          <cell r="K3816">
            <v>0</v>
          </cell>
          <cell r="M3816">
            <v>0</v>
          </cell>
          <cell r="P3816">
            <v>0</v>
          </cell>
        </row>
        <row r="3817">
          <cell r="K3817">
            <v>0</v>
          </cell>
          <cell r="M3817">
            <v>0</v>
          </cell>
          <cell r="P3817">
            <v>0</v>
          </cell>
        </row>
        <row r="3818">
          <cell r="K3818">
            <v>0</v>
          </cell>
          <cell r="M3818">
            <v>0</v>
          </cell>
          <cell r="P3818">
            <v>0</v>
          </cell>
        </row>
        <row r="3819">
          <cell r="K3819">
            <v>0</v>
          </cell>
          <cell r="M3819">
            <v>0</v>
          </cell>
          <cell r="P3819">
            <v>0</v>
          </cell>
        </row>
        <row r="3820">
          <cell r="K3820">
            <v>0</v>
          </cell>
          <cell r="M3820">
            <v>0</v>
          </cell>
          <cell r="P3820">
            <v>0</v>
          </cell>
        </row>
        <row r="3821">
          <cell r="K3821">
            <v>0</v>
          </cell>
          <cell r="M3821">
            <v>0</v>
          </cell>
          <cell r="P3821">
            <v>0</v>
          </cell>
        </row>
        <row r="3822">
          <cell r="K3822">
            <v>0</v>
          </cell>
          <cell r="M3822">
            <v>0</v>
          </cell>
          <cell r="P3822">
            <v>0</v>
          </cell>
        </row>
        <row r="3823">
          <cell r="K3823">
            <v>0</v>
          </cell>
          <cell r="M3823">
            <v>0</v>
          </cell>
          <cell r="P3823">
            <v>0</v>
          </cell>
        </row>
        <row r="3824">
          <cell r="K3824">
            <v>0</v>
          </cell>
          <cell r="M3824">
            <v>0</v>
          </cell>
          <cell r="P3824">
            <v>0</v>
          </cell>
        </row>
        <row r="3825">
          <cell r="K3825">
            <v>0</v>
          </cell>
          <cell r="M3825">
            <v>0</v>
          </cell>
          <cell r="P3825">
            <v>0</v>
          </cell>
        </row>
        <row r="3826">
          <cell r="K3826">
            <v>0</v>
          </cell>
          <cell r="M3826">
            <v>0</v>
          </cell>
          <cell r="P3826">
            <v>0</v>
          </cell>
        </row>
        <row r="3827">
          <cell r="K3827">
            <v>0</v>
          </cell>
          <cell r="M3827">
            <v>0</v>
          </cell>
          <cell r="P3827">
            <v>0</v>
          </cell>
        </row>
        <row r="3828">
          <cell r="K3828">
            <v>0</v>
          </cell>
          <cell r="M3828">
            <v>0</v>
          </cell>
          <cell r="P3828">
            <v>0</v>
          </cell>
        </row>
        <row r="3829">
          <cell r="K3829">
            <v>0</v>
          </cell>
          <cell r="M3829">
            <v>0</v>
          </cell>
          <cell r="P3829">
            <v>0</v>
          </cell>
        </row>
        <row r="3830">
          <cell r="K3830">
            <v>0</v>
          </cell>
          <cell r="M3830">
            <v>0</v>
          </cell>
          <cell r="P3830">
            <v>0</v>
          </cell>
        </row>
        <row r="3831">
          <cell r="K3831">
            <v>0</v>
          </cell>
          <cell r="M3831">
            <v>0</v>
          </cell>
          <cell r="P3831">
            <v>0</v>
          </cell>
        </row>
        <row r="3832">
          <cell r="K3832">
            <v>0</v>
          </cell>
          <cell r="M3832">
            <v>0</v>
          </cell>
          <cell r="P3832">
            <v>0</v>
          </cell>
        </row>
        <row r="3833">
          <cell r="K3833">
            <v>0</v>
          </cell>
          <cell r="M3833">
            <v>0</v>
          </cell>
          <cell r="P3833">
            <v>0</v>
          </cell>
        </row>
        <row r="3834">
          <cell r="K3834">
            <v>0</v>
          </cell>
          <cell r="M3834">
            <v>0</v>
          </cell>
          <cell r="P3834">
            <v>0</v>
          </cell>
        </row>
        <row r="3835">
          <cell r="K3835">
            <v>0</v>
          </cell>
          <cell r="M3835">
            <v>0</v>
          </cell>
          <cell r="P3835">
            <v>0</v>
          </cell>
        </row>
        <row r="3836">
          <cell r="K3836">
            <v>0</v>
          </cell>
          <cell r="M3836">
            <v>0</v>
          </cell>
          <cell r="P3836">
            <v>0</v>
          </cell>
        </row>
        <row r="3837">
          <cell r="K3837">
            <v>0</v>
          </cell>
          <cell r="M3837">
            <v>0</v>
          </cell>
          <cell r="P3837">
            <v>0</v>
          </cell>
        </row>
        <row r="3838">
          <cell r="K3838">
            <v>0</v>
          </cell>
          <cell r="M3838">
            <v>0</v>
          </cell>
          <cell r="P3838">
            <v>0</v>
          </cell>
        </row>
        <row r="3839">
          <cell r="K3839">
            <v>0</v>
          </cell>
          <cell r="M3839">
            <v>0</v>
          </cell>
          <cell r="P3839">
            <v>0</v>
          </cell>
        </row>
        <row r="3840">
          <cell r="K3840">
            <v>0</v>
          </cell>
          <cell r="M3840">
            <v>0</v>
          </cell>
          <cell r="P3840">
            <v>0</v>
          </cell>
        </row>
        <row r="3841">
          <cell r="K3841">
            <v>0</v>
          </cell>
          <cell r="M3841">
            <v>0</v>
          </cell>
          <cell r="P3841">
            <v>0</v>
          </cell>
        </row>
        <row r="3842">
          <cell r="K3842">
            <v>0</v>
          </cell>
          <cell r="M3842">
            <v>0</v>
          </cell>
          <cell r="P3842">
            <v>0</v>
          </cell>
        </row>
        <row r="3843">
          <cell r="K3843">
            <v>0</v>
          </cell>
          <cell r="M3843">
            <v>0</v>
          </cell>
          <cell r="P3843">
            <v>0</v>
          </cell>
        </row>
        <row r="3844">
          <cell r="K3844">
            <v>0</v>
          </cell>
          <cell r="M3844">
            <v>0</v>
          </cell>
          <cell r="P3844">
            <v>0</v>
          </cell>
        </row>
        <row r="3845">
          <cell r="K3845">
            <v>0</v>
          </cell>
          <cell r="M3845">
            <v>0</v>
          </cell>
          <cell r="P3845">
            <v>0</v>
          </cell>
        </row>
        <row r="3846">
          <cell r="K3846">
            <v>0</v>
          </cell>
          <cell r="M3846">
            <v>0</v>
          </cell>
          <cell r="P3846">
            <v>0</v>
          </cell>
        </row>
        <row r="3847">
          <cell r="K3847">
            <v>0</v>
          </cell>
          <cell r="M3847">
            <v>0</v>
          </cell>
          <cell r="P3847">
            <v>0</v>
          </cell>
        </row>
        <row r="3848">
          <cell r="K3848">
            <v>0</v>
          </cell>
          <cell r="M3848">
            <v>0</v>
          </cell>
          <cell r="P3848">
            <v>0</v>
          </cell>
        </row>
        <row r="3849">
          <cell r="K3849">
            <v>0</v>
          </cell>
          <cell r="M3849">
            <v>0</v>
          </cell>
          <cell r="P3849">
            <v>0</v>
          </cell>
        </row>
        <row r="3850">
          <cell r="K3850">
            <v>0</v>
          </cell>
          <cell r="M3850">
            <v>0</v>
          </cell>
          <cell r="P3850">
            <v>0</v>
          </cell>
        </row>
        <row r="3851">
          <cell r="K3851">
            <v>0</v>
          </cell>
          <cell r="M3851">
            <v>0</v>
          </cell>
          <cell r="P3851">
            <v>0</v>
          </cell>
        </row>
        <row r="3852">
          <cell r="K3852">
            <v>0</v>
          </cell>
          <cell r="M3852">
            <v>0</v>
          </cell>
          <cell r="P3852">
            <v>0</v>
          </cell>
        </row>
        <row r="3853">
          <cell r="K3853">
            <v>0</v>
          </cell>
          <cell r="M3853">
            <v>0</v>
          </cell>
          <cell r="P3853">
            <v>0</v>
          </cell>
        </row>
        <row r="3854">
          <cell r="K3854">
            <v>0</v>
          </cell>
          <cell r="M3854">
            <v>0</v>
          </cell>
          <cell r="P3854">
            <v>0</v>
          </cell>
        </row>
        <row r="3855">
          <cell r="K3855">
            <v>0</v>
          </cell>
          <cell r="M3855">
            <v>0</v>
          </cell>
          <cell r="P3855">
            <v>0</v>
          </cell>
        </row>
        <row r="3856">
          <cell r="K3856">
            <v>0</v>
          </cell>
          <cell r="M3856">
            <v>0</v>
          </cell>
          <cell r="P3856">
            <v>0</v>
          </cell>
        </row>
        <row r="3857">
          <cell r="K3857">
            <v>0</v>
          </cell>
          <cell r="M3857">
            <v>0</v>
          </cell>
          <cell r="P3857">
            <v>0</v>
          </cell>
        </row>
        <row r="3858">
          <cell r="K3858">
            <v>0</v>
          </cell>
          <cell r="M3858">
            <v>0</v>
          </cell>
          <cell r="P3858">
            <v>0</v>
          </cell>
        </row>
        <row r="3859">
          <cell r="K3859">
            <v>0</v>
          </cell>
          <cell r="M3859">
            <v>0</v>
          </cell>
          <cell r="P3859">
            <v>0</v>
          </cell>
        </row>
        <row r="3860">
          <cell r="K3860">
            <v>0</v>
          </cell>
          <cell r="M3860">
            <v>0</v>
          </cell>
          <cell r="P3860">
            <v>0</v>
          </cell>
        </row>
        <row r="3861">
          <cell r="K3861">
            <v>0</v>
          </cell>
          <cell r="M3861">
            <v>0</v>
          </cell>
          <cell r="P3861">
            <v>0</v>
          </cell>
        </row>
        <row r="3862">
          <cell r="K3862">
            <v>0</v>
          </cell>
          <cell r="M3862">
            <v>0</v>
          </cell>
          <cell r="P3862">
            <v>0</v>
          </cell>
        </row>
        <row r="3863">
          <cell r="K3863">
            <v>0</v>
          </cell>
          <cell r="M3863">
            <v>0</v>
          </cell>
          <cell r="P3863">
            <v>0</v>
          </cell>
        </row>
        <row r="3864">
          <cell r="K3864">
            <v>0</v>
          </cell>
          <cell r="M3864">
            <v>0</v>
          </cell>
          <cell r="P3864">
            <v>0</v>
          </cell>
        </row>
        <row r="3865">
          <cell r="K3865">
            <v>0</v>
          </cell>
          <cell r="M3865">
            <v>0</v>
          </cell>
          <cell r="P3865">
            <v>0</v>
          </cell>
        </row>
        <row r="3866">
          <cell r="K3866">
            <v>0</v>
          </cell>
          <cell r="M3866">
            <v>0</v>
          </cell>
          <cell r="P3866">
            <v>0</v>
          </cell>
        </row>
        <row r="3867">
          <cell r="K3867">
            <v>0</v>
          </cell>
          <cell r="M3867">
            <v>0</v>
          </cell>
          <cell r="P3867">
            <v>0</v>
          </cell>
        </row>
        <row r="3868">
          <cell r="K3868">
            <v>0</v>
          </cell>
          <cell r="M3868">
            <v>0</v>
          </cell>
          <cell r="P3868">
            <v>0</v>
          </cell>
        </row>
        <row r="3869">
          <cell r="K3869">
            <v>0</v>
          </cell>
          <cell r="M3869">
            <v>0</v>
          </cell>
          <cell r="P3869">
            <v>0</v>
          </cell>
        </row>
        <row r="3870">
          <cell r="K3870">
            <v>0</v>
          </cell>
          <cell r="M3870">
            <v>0</v>
          </cell>
          <cell r="P3870">
            <v>0</v>
          </cell>
        </row>
        <row r="3871">
          <cell r="K3871">
            <v>0</v>
          </cell>
          <cell r="M3871">
            <v>0</v>
          </cell>
          <cell r="P3871">
            <v>0</v>
          </cell>
        </row>
        <row r="3872">
          <cell r="K3872">
            <v>0</v>
          </cell>
          <cell r="M3872">
            <v>0</v>
          </cell>
          <cell r="P3872">
            <v>0</v>
          </cell>
        </row>
        <row r="3873">
          <cell r="K3873">
            <v>0</v>
          </cell>
          <cell r="M3873">
            <v>0</v>
          </cell>
          <cell r="P3873">
            <v>0</v>
          </cell>
        </row>
        <row r="3874">
          <cell r="K3874">
            <v>0</v>
          </cell>
          <cell r="M3874">
            <v>0</v>
          </cell>
          <cell r="P3874">
            <v>0</v>
          </cell>
        </row>
        <row r="3875">
          <cell r="K3875">
            <v>0</v>
          </cell>
          <cell r="M3875">
            <v>0</v>
          </cell>
          <cell r="P3875">
            <v>0</v>
          </cell>
        </row>
        <row r="3876">
          <cell r="K3876">
            <v>0</v>
          </cell>
          <cell r="M3876">
            <v>0</v>
          </cell>
          <cell r="P3876">
            <v>0</v>
          </cell>
        </row>
        <row r="3877">
          <cell r="K3877">
            <v>0</v>
          </cell>
          <cell r="M3877">
            <v>0</v>
          </cell>
          <cell r="P3877">
            <v>0</v>
          </cell>
        </row>
        <row r="3878">
          <cell r="K3878">
            <v>0</v>
          </cell>
          <cell r="M3878">
            <v>0</v>
          </cell>
          <cell r="P3878">
            <v>0</v>
          </cell>
        </row>
        <row r="3879">
          <cell r="K3879">
            <v>0</v>
          </cell>
          <cell r="M3879">
            <v>0</v>
          </cell>
          <cell r="P3879">
            <v>0</v>
          </cell>
        </row>
        <row r="3880">
          <cell r="K3880">
            <v>0</v>
          </cell>
          <cell r="M3880">
            <v>0</v>
          </cell>
          <cell r="P3880">
            <v>0</v>
          </cell>
        </row>
        <row r="3881">
          <cell r="K3881">
            <v>0</v>
          </cell>
          <cell r="M3881">
            <v>0</v>
          </cell>
          <cell r="P3881">
            <v>0</v>
          </cell>
        </row>
        <row r="3882">
          <cell r="K3882">
            <v>0</v>
          </cell>
          <cell r="M3882">
            <v>0</v>
          </cell>
          <cell r="P3882">
            <v>0</v>
          </cell>
        </row>
        <row r="3883">
          <cell r="K3883">
            <v>0</v>
          </cell>
          <cell r="M3883">
            <v>0</v>
          </cell>
          <cell r="P3883">
            <v>0</v>
          </cell>
        </row>
        <row r="3884">
          <cell r="K3884">
            <v>0</v>
          </cell>
          <cell r="M3884">
            <v>0</v>
          </cell>
          <cell r="P3884">
            <v>0</v>
          </cell>
        </row>
        <row r="3885">
          <cell r="K3885">
            <v>0</v>
          </cell>
          <cell r="M3885">
            <v>0</v>
          </cell>
          <cell r="P3885">
            <v>0</v>
          </cell>
        </row>
        <row r="3886">
          <cell r="K3886">
            <v>0</v>
          </cell>
          <cell r="M3886">
            <v>0</v>
          </cell>
          <cell r="P3886">
            <v>0</v>
          </cell>
        </row>
        <row r="3887">
          <cell r="K3887">
            <v>0</v>
          </cell>
          <cell r="M3887">
            <v>0</v>
          </cell>
          <cell r="P3887">
            <v>0</v>
          </cell>
        </row>
        <row r="3888">
          <cell r="K3888">
            <v>0</v>
          </cell>
          <cell r="M3888">
            <v>0</v>
          </cell>
          <cell r="P3888">
            <v>0</v>
          </cell>
        </row>
        <row r="3889">
          <cell r="K3889">
            <v>0</v>
          </cell>
          <cell r="M3889">
            <v>0</v>
          </cell>
          <cell r="P3889">
            <v>0</v>
          </cell>
        </row>
        <row r="3890">
          <cell r="K3890">
            <v>0</v>
          </cell>
          <cell r="M3890">
            <v>0</v>
          </cell>
          <cell r="P3890">
            <v>0</v>
          </cell>
        </row>
        <row r="3891">
          <cell r="K3891">
            <v>0</v>
          </cell>
          <cell r="M3891">
            <v>0</v>
          </cell>
          <cell r="P3891">
            <v>0</v>
          </cell>
        </row>
        <row r="3892">
          <cell r="K3892">
            <v>0</v>
          </cell>
          <cell r="M3892">
            <v>0</v>
          </cell>
          <cell r="P3892">
            <v>0</v>
          </cell>
        </row>
        <row r="3893">
          <cell r="K3893">
            <v>0</v>
          </cell>
          <cell r="M3893">
            <v>0</v>
          </cell>
          <cell r="P3893">
            <v>0</v>
          </cell>
        </row>
        <row r="3894">
          <cell r="K3894">
            <v>0</v>
          </cell>
          <cell r="M3894">
            <v>0</v>
          </cell>
          <cell r="P3894">
            <v>0</v>
          </cell>
        </row>
        <row r="3895">
          <cell r="K3895">
            <v>0</v>
          </cell>
          <cell r="M3895">
            <v>0</v>
          </cell>
          <cell r="P3895">
            <v>0</v>
          </cell>
        </row>
        <row r="3896">
          <cell r="K3896">
            <v>0</v>
          </cell>
          <cell r="M3896">
            <v>0</v>
          </cell>
          <cell r="P3896">
            <v>0</v>
          </cell>
        </row>
        <row r="3897">
          <cell r="K3897">
            <v>0</v>
          </cell>
          <cell r="M3897">
            <v>0</v>
          </cell>
          <cell r="P3897">
            <v>0</v>
          </cell>
        </row>
        <row r="3898">
          <cell r="K3898">
            <v>0</v>
          </cell>
          <cell r="M3898">
            <v>0</v>
          </cell>
          <cell r="P3898">
            <v>0</v>
          </cell>
        </row>
        <row r="3899">
          <cell r="K3899">
            <v>0</v>
          </cell>
          <cell r="M3899">
            <v>0</v>
          </cell>
          <cell r="P3899">
            <v>0</v>
          </cell>
        </row>
        <row r="3900">
          <cell r="K3900">
            <v>0</v>
          </cell>
          <cell r="M3900">
            <v>0</v>
          </cell>
          <cell r="P3900">
            <v>0</v>
          </cell>
        </row>
        <row r="3901">
          <cell r="K3901">
            <v>0</v>
          </cell>
          <cell r="M3901">
            <v>0</v>
          </cell>
          <cell r="P3901">
            <v>0</v>
          </cell>
        </row>
        <row r="3902">
          <cell r="K3902">
            <v>0</v>
          </cell>
          <cell r="M3902">
            <v>0</v>
          </cell>
          <cell r="P3902">
            <v>0</v>
          </cell>
        </row>
        <row r="3903">
          <cell r="K3903">
            <v>0</v>
          </cell>
          <cell r="M3903">
            <v>0</v>
          </cell>
          <cell r="P3903">
            <v>0</v>
          </cell>
        </row>
        <row r="3904">
          <cell r="K3904">
            <v>0</v>
          </cell>
          <cell r="M3904">
            <v>0</v>
          </cell>
          <cell r="P3904">
            <v>0</v>
          </cell>
        </row>
        <row r="3905">
          <cell r="K3905">
            <v>0</v>
          </cell>
          <cell r="M3905">
            <v>0</v>
          </cell>
          <cell r="P3905">
            <v>0</v>
          </cell>
        </row>
        <row r="3906">
          <cell r="K3906">
            <v>0</v>
          </cell>
          <cell r="M3906">
            <v>0</v>
          </cell>
          <cell r="P3906">
            <v>0</v>
          </cell>
        </row>
        <row r="3907">
          <cell r="K3907">
            <v>0</v>
          </cell>
          <cell r="M3907">
            <v>0</v>
          </cell>
          <cell r="P3907">
            <v>0</v>
          </cell>
        </row>
        <row r="3908">
          <cell r="K3908">
            <v>0</v>
          </cell>
          <cell r="M3908">
            <v>0</v>
          </cell>
          <cell r="P3908">
            <v>0</v>
          </cell>
        </row>
        <row r="3909">
          <cell r="K3909">
            <v>0</v>
          </cell>
          <cell r="M3909">
            <v>0</v>
          </cell>
          <cell r="P3909">
            <v>0</v>
          </cell>
        </row>
        <row r="3910">
          <cell r="K3910">
            <v>0</v>
          </cell>
          <cell r="M3910">
            <v>0</v>
          </cell>
          <cell r="P3910">
            <v>0</v>
          </cell>
        </row>
        <row r="3911">
          <cell r="K3911">
            <v>0</v>
          </cell>
          <cell r="M3911">
            <v>0</v>
          </cell>
          <cell r="P3911">
            <v>0</v>
          </cell>
        </row>
        <row r="3912">
          <cell r="K3912">
            <v>0</v>
          </cell>
          <cell r="M3912">
            <v>0</v>
          </cell>
          <cell r="P3912">
            <v>0</v>
          </cell>
        </row>
        <row r="3913">
          <cell r="K3913">
            <v>0</v>
          </cell>
          <cell r="M3913">
            <v>0</v>
          </cell>
          <cell r="P3913">
            <v>0</v>
          </cell>
        </row>
        <row r="3914">
          <cell r="K3914">
            <v>0</v>
          </cell>
          <cell r="M3914">
            <v>0</v>
          </cell>
          <cell r="P3914">
            <v>0</v>
          </cell>
        </row>
        <row r="3915">
          <cell r="K3915">
            <v>0</v>
          </cell>
          <cell r="M3915">
            <v>0</v>
          </cell>
          <cell r="P3915">
            <v>0</v>
          </cell>
        </row>
        <row r="3916">
          <cell r="K3916">
            <v>0</v>
          </cell>
          <cell r="M3916">
            <v>0</v>
          </cell>
          <cell r="P3916">
            <v>0</v>
          </cell>
        </row>
        <row r="3917">
          <cell r="K3917">
            <v>0</v>
          </cell>
          <cell r="M3917">
            <v>0</v>
          </cell>
          <cell r="P3917">
            <v>0</v>
          </cell>
        </row>
        <row r="3918">
          <cell r="K3918">
            <v>0</v>
          </cell>
          <cell r="M3918">
            <v>0</v>
          </cell>
          <cell r="P3918">
            <v>0</v>
          </cell>
        </row>
        <row r="3919">
          <cell r="K3919">
            <v>0</v>
          </cell>
          <cell r="M3919">
            <v>0</v>
          </cell>
          <cell r="P3919">
            <v>0</v>
          </cell>
        </row>
        <row r="3920">
          <cell r="K3920">
            <v>0</v>
          </cell>
          <cell r="M3920">
            <v>0</v>
          </cell>
          <cell r="P3920">
            <v>0</v>
          </cell>
        </row>
        <row r="3921">
          <cell r="K3921">
            <v>0</v>
          </cell>
          <cell r="M3921">
            <v>0</v>
          </cell>
          <cell r="P3921">
            <v>0</v>
          </cell>
        </row>
        <row r="3922">
          <cell r="K3922">
            <v>0</v>
          </cell>
          <cell r="M3922">
            <v>0</v>
          </cell>
          <cell r="P3922">
            <v>0</v>
          </cell>
        </row>
        <row r="3923">
          <cell r="K3923">
            <v>0</v>
          </cell>
          <cell r="M3923">
            <v>0</v>
          </cell>
          <cell r="P3923">
            <v>0</v>
          </cell>
        </row>
        <row r="3924">
          <cell r="K3924">
            <v>0</v>
          </cell>
          <cell r="M3924">
            <v>0</v>
          </cell>
          <cell r="P3924">
            <v>0</v>
          </cell>
        </row>
        <row r="3925">
          <cell r="K3925">
            <v>0</v>
          </cell>
          <cell r="M3925">
            <v>0</v>
          </cell>
          <cell r="P3925">
            <v>0</v>
          </cell>
        </row>
        <row r="3926">
          <cell r="K3926">
            <v>0</v>
          </cell>
          <cell r="M3926">
            <v>0</v>
          </cell>
          <cell r="P3926">
            <v>0</v>
          </cell>
        </row>
        <row r="3927">
          <cell r="K3927">
            <v>0</v>
          </cell>
          <cell r="M3927">
            <v>0</v>
          </cell>
          <cell r="P3927">
            <v>0</v>
          </cell>
        </row>
        <row r="3928">
          <cell r="K3928">
            <v>0</v>
          </cell>
          <cell r="M3928">
            <v>0</v>
          </cell>
          <cell r="P3928">
            <v>0</v>
          </cell>
        </row>
        <row r="3929">
          <cell r="K3929">
            <v>0</v>
          </cell>
          <cell r="M3929">
            <v>0</v>
          </cell>
          <cell r="P3929">
            <v>0</v>
          </cell>
        </row>
        <row r="3930">
          <cell r="K3930">
            <v>0</v>
          </cell>
          <cell r="M3930">
            <v>0</v>
          </cell>
          <cell r="P3930">
            <v>0</v>
          </cell>
        </row>
        <row r="3931">
          <cell r="K3931">
            <v>0</v>
          </cell>
          <cell r="M3931">
            <v>0</v>
          </cell>
          <cell r="P3931">
            <v>0</v>
          </cell>
        </row>
        <row r="3932">
          <cell r="K3932">
            <v>0</v>
          </cell>
          <cell r="M3932">
            <v>0</v>
          </cell>
          <cell r="P3932">
            <v>0</v>
          </cell>
        </row>
        <row r="3933">
          <cell r="K3933">
            <v>0</v>
          </cell>
          <cell r="M3933">
            <v>0</v>
          </cell>
          <cell r="P3933">
            <v>0</v>
          </cell>
        </row>
        <row r="3934">
          <cell r="K3934">
            <v>0</v>
          </cell>
          <cell r="M3934">
            <v>0</v>
          </cell>
          <cell r="P3934">
            <v>0</v>
          </cell>
        </row>
        <row r="3935">
          <cell r="K3935">
            <v>0</v>
          </cell>
          <cell r="M3935">
            <v>0</v>
          </cell>
          <cell r="P3935">
            <v>0</v>
          </cell>
        </row>
        <row r="3936">
          <cell r="K3936">
            <v>0</v>
          </cell>
          <cell r="M3936">
            <v>0</v>
          </cell>
          <cell r="P3936">
            <v>0</v>
          </cell>
        </row>
        <row r="3937">
          <cell r="K3937">
            <v>0</v>
          </cell>
          <cell r="M3937">
            <v>0</v>
          </cell>
          <cell r="P3937">
            <v>0</v>
          </cell>
        </row>
        <row r="3938">
          <cell r="K3938">
            <v>0</v>
          </cell>
          <cell r="M3938">
            <v>0</v>
          </cell>
          <cell r="P3938">
            <v>0</v>
          </cell>
        </row>
        <row r="3939">
          <cell r="K3939">
            <v>0</v>
          </cell>
          <cell r="M3939">
            <v>0</v>
          </cell>
          <cell r="P3939">
            <v>0</v>
          </cell>
        </row>
        <row r="3940">
          <cell r="K3940">
            <v>0</v>
          </cell>
          <cell r="M3940">
            <v>0</v>
          </cell>
          <cell r="P3940">
            <v>0</v>
          </cell>
        </row>
        <row r="3941">
          <cell r="K3941">
            <v>0</v>
          </cell>
          <cell r="M3941">
            <v>0</v>
          </cell>
          <cell r="P3941">
            <v>0</v>
          </cell>
        </row>
        <row r="3942">
          <cell r="K3942">
            <v>0</v>
          </cell>
          <cell r="M3942">
            <v>0</v>
          </cell>
          <cell r="P3942">
            <v>0</v>
          </cell>
        </row>
        <row r="3943">
          <cell r="K3943">
            <v>0</v>
          </cell>
          <cell r="M3943">
            <v>0</v>
          </cell>
          <cell r="P3943">
            <v>0</v>
          </cell>
        </row>
        <row r="3944">
          <cell r="K3944">
            <v>0</v>
          </cell>
          <cell r="M3944">
            <v>0</v>
          </cell>
          <cell r="P3944">
            <v>0</v>
          </cell>
        </row>
        <row r="3945">
          <cell r="K3945">
            <v>0</v>
          </cell>
          <cell r="M3945">
            <v>0</v>
          </cell>
          <cell r="P3945">
            <v>0</v>
          </cell>
        </row>
        <row r="3946">
          <cell r="K3946">
            <v>0</v>
          </cell>
          <cell r="M3946">
            <v>0</v>
          </cell>
          <cell r="P3946">
            <v>0</v>
          </cell>
        </row>
        <row r="3947">
          <cell r="K3947">
            <v>0</v>
          </cell>
          <cell r="M3947">
            <v>0</v>
          </cell>
          <cell r="P3947">
            <v>0</v>
          </cell>
        </row>
        <row r="3948">
          <cell r="K3948">
            <v>0</v>
          </cell>
          <cell r="M3948">
            <v>0</v>
          </cell>
          <cell r="P3948">
            <v>0</v>
          </cell>
        </row>
        <row r="3949">
          <cell r="K3949">
            <v>0</v>
          </cell>
          <cell r="M3949">
            <v>0</v>
          </cell>
          <cell r="P3949">
            <v>0</v>
          </cell>
        </row>
        <row r="3950">
          <cell r="K3950">
            <v>0</v>
          </cell>
          <cell r="M3950">
            <v>0</v>
          </cell>
          <cell r="P3950">
            <v>0</v>
          </cell>
        </row>
        <row r="3951">
          <cell r="K3951">
            <v>0</v>
          </cell>
          <cell r="M3951">
            <v>0</v>
          </cell>
          <cell r="P3951">
            <v>0</v>
          </cell>
        </row>
        <row r="3952">
          <cell r="K3952">
            <v>0</v>
          </cell>
          <cell r="M3952">
            <v>0</v>
          </cell>
          <cell r="P3952">
            <v>0</v>
          </cell>
        </row>
        <row r="3953">
          <cell r="K3953">
            <v>0</v>
          </cell>
          <cell r="M3953">
            <v>0</v>
          </cell>
          <cell r="P3953">
            <v>0</v>
          </cell>
        </row>
        <row r="3954">
          <cell r="K3954">
            <v>0</v>
          </cell>
          <cell r="M3954">
            <v>0</v>
          </cell>
          <cell r="P3954">
            <v>0</v>
          </cell>
        </row>
        <row r="3955">
          <cell r="K3955">
            <v>0</v>
          </cell>
          <cell r="M3955">
            <v>0</v>
          </cell>
          <cell r="P3955">
            <v>0</v>
          </cell>
        </row>
        <row r="3956">
          <cell r="K3956">
            <v>0</v>
          </cell>
          <cell r="M3956">
            <v>0</v>
          </cell>
          <cell r="P3956">
            <v>0</v>
          </cell>
        </row>
        <row r="3957">
          <cell r="K3957">
            <v>0</v>
          </cell>
          <cell r="M3957">
            <v>0</v>
          </cell>
          <cell r="P3957">
            <v>0</v>
          </cell>
        </row>
        <row r="3958">
          <cell r="K3958">
            <v>0</v>
          </cell>
          <cell r="M3958">
            <v>0</v>
          </cell>
          <cell r="P3958">
            <v>0</v>
          </cell>
        </row>
        <row r="3959">
          <cell r="K3959">
            <v>0</v>
          </cell>
          <cell r="M3959">
            <v>0</v>
          </cell>
          <cell r="P3959">
            <v>0</v>
          </cell>
        </row>
        <row r="3960">
          <cell r="K3960">
            <v>0</v>
          </cell>
          <cell r="M3960">
            <v>0</v>
          </cell>
          <cell r="P3960">
            <v>0</v>
          </cell>
        </row>
        <row r="3961">
          <cell r="K3961">
            <v>0</v>
          </cell>
          <cell r="M3961">
            <v>0</v>
          </cell>
          <cell r="P3961">
            <v>0</v>
          </cell>
        </row>
        <row r="3962">
          <cell r="K3962">
            <v>0</v>
          </cell>
          <cell r="M3962">
            <v>0</v>
          </cell>
          <cell r="P3962">
            <v>0</v>
          </cell>
        </row>
        <row r="3963">
          <cell r="K3963">
            <v>0</v>
          </cell>
          <cell r="M3963">
            <v>0</v>
          </cell>
          <cell r="P3963">
            <v>0</v>
          </cell>
        </row>
        <row r="3964">
          <cell r="K3964">
            <v>0</v>
          </cell>
          <cell r="M3964">
            <v>0</v>
          </cell>
          <cell r="P3964">
            <v>0</v>
          </cell>
        </row>
        <row r="3965">
          <cell r="K3965">
            <v>0</v>
          </cell>
          <cell r="M3965">
            <v>0</v>
          </cell>
          <cell r="P3965">
            <v>0</v>
          </cell>
        </row>
        <row r="3966">
          <cell r="K3966">
            <v>0</v>
          </cell>
          <cell r="M3966">
            <v>0</v>
          </cell>
          <cell r="P3966">
            <v>0</v>
          </cell>
        </row>
        <row r="3967">
          <cell r="K3967">
            <v>0</v>
          </cell>
          <cell r="M3967">
            <v>0</v>
          </cell>
          <cell r="P3967">
            <v>0</v>
          </cell>
        </row>
        <row r="3968">
          <cell r="K3968">
            <v>0</v>
          </cell>
          <cell r="M3968">
            <v>0</v>
          </cell>
          <cell r="P3968">
            <v>0</v>
          </cell>
        </row>
        <row r="3969">
          <cell r="K3969">
            <v>0</v>
          </cell>
          <cell r="M3969">
            <v>0</v>
          </cell>
          <cell r="P3969">
            <v>0</v>
          </cell>
        </row>
        <row r="3970">
          <cell r="K3970">
            <v>0</v>
          </cell>
          <cell r="M3970">
            <v>0</v>
          </cell>
          <cell r="P3970">
            <v>0</v>
          </cell>
        </row>
        <row r="3971">
          <cell r="K3971">
            <v>0</v>
          </cell>
          <cell r="M3971">
            <v>0</v>
          </cell>
          <cell r="P3971">
            <v>0</v>
          </cell>
        </row>
        <row r="3972">
          <cell r="K3972">
            <v>0</v>
          </cell>
          <cell r="M3972">
            <v>0</v>
          </cell>
          <cell r="P3972">
            <v>0</v>
          </cell>
        </row>
        <row r="3973">
          <cell r="K3973">
            <v>0</v>
          </cell>
          <cell r="M3973">
            <v>0</v>
          </cell>
          <cell r="P3973">
            <v>0</v>
          </cell>
        </row>
        <row r="3974">
          <cell r="K3974">
            <v>0</v>
          </cell>
          <cell r="M3974">
            <v>0</v>
          </cell>
          <cell r="P3974">
            <v>0</v>
          </cell>
        </row>
        <row r="3975">
          <cell r="K3975">
            <v>0</v>
          </cell>
          <cell r="M3975">
            <v>0</v>
          </cell>
          <cell r="P3975">
            <v>0</v>
          </cell>
        </row>
        <row r="3976">
          <cell r="K3976">
            <v>0</v>
          </cell>
          <cell r="M3976">
            <v>0</v>
          </cell>
          <cell r="P3976">
            <v>0</v>
          </cell>
        </row>
        <row r="3977">
          <cell r="K3977">
            <v>0</v>
          </cell>
          <cell r="M3977">
            <v>0</v>
          </cell>
          <cell r="P3977">
            <v>0</v>
          </cell>
        </row>
        <row r="3978">
          <cell r="K3978">
            <v>0</v>
          </cell>
          <cell r="M3978">
            <v>0</v>
          </cell>
          <cell r="P3978">
            <v>0</v>
          </cell>
        </row>
        <row r="3979">
          <cell r="K3979">
            <v>0</v>
          </cell>
          <cell r="M3979">
            <v>0</v>
          </cell>
          <cell r="P3979">
            <v>0</v>
          </cell>
        </row>
        <row r="3980">
          <cell r="K3980">
            <v>0</v>
          </cell>
          <cell r="M3980">
            <v>0</v>
          </cell>
          <cell r="P3980">
            <v>0</v>
          </cell>
        </row>
        <row r="3981">
          <cell r="K3981">
            <v>0</v>
          </cell>
          <cell r="M3981">
            <v>0</v>
          </cell>
          <cell r="P3981">
            <v>0</v>
          </cell>
        </row>
        <row r="3982">
          <cell r="K3982">
            <v>0</v>
          </cell>
          <cell r="M3982">
            <v>0</v>
          </cell>
          <cell r="P3982">
            <v>0</v>
          </cell>
        </row>
        <row r="3983">
          <cell r="K3983">
            <v>0</v>
          </cell>
          <cell r="M3983">
            <v>0</v>
          </cell>
          <cell r="P3983">
            <v>0</v>
          </cell>
        </row>
        <row r="3984">
          <cell r="K3984">
            <v>0</v>
          </cell>
          <cell r="M3984">
            <v>0</v>
          </cell>
          <cell r="P3984">
            <v>0</v>
          </cell>
        </row>
        <row r="3985">
          <cell r="K3985">
            <v>0</v>
          </cell>
          <cell r="M3985">
            <v>0</v>
          </cell>
          <cell r="P3985">
            <v>0</v>
          </cell>
        </row>
        <row r="3986">
          <cell r="K3986">
            <v>0</v>
          </cell>
          <cell r="M3986">
            <v>0</v>
          </cell>
          <cell r="P3986">
            <v>0</v>
          </cell>
        </row>
        <row r="3987">
          <cell r="K3987">
            <v>0</v>
          </cell>
          <cell r="M3987">
            <v>0</v>
          </cell>
          <cell r="P3987">
            <v>0</v>
          </cell>
        </row>
        <row r="3988">
          <cell r="K3988">
            <v>0</v>
          </cell>
          <cell r="M3988">
            <v>0</v>
          </cell>
          <cell r="P3988">
            <v>0</v>
          </cell>
        </row>
        <row r="3989">
          <cell r="K3989">
            <v>0</v>
          </cell>
          <cell r="M3989">
            <v>0</v>
          </cell>
          <cell r="P3989">
            <v>0</v>
          </cell>
        </row>
        <row r="3990">
          <cell r="K3990">
            <v>0</v>
          </cell>
          <cell r="M3990">
            <v>0</v>
          </cell>
          <cell r="P3990">
            <v>0</v>
          </cell>
        </row>
        <row r="3991">
          <cell r="K3991">
            <v>0</v>
          </cell>
          <cell r="M3991">
            <v>0</v>
          </cell>
          <cell r="P3991">
            <v>0</v>
          </cell>
        </row>
        <row r="3992">
          <cell r="K3992">
            <v>0</v>
          </cell>
          <cell r="M3992">
            <v>0</v>
          </cell>
          <cell r="P3992">
            <v>0</v>
          </cell>
        </row>
        <row r="3993">
          <cell r="K3993">
            <v>0</v>
          </cell>
          <cell r="M3993">
            <v>0</v>
          </cell>
          <cell r="P3993">
            <v>0</v>
          </cell>
        </row>
        <row r="3994">
          <cell r="K3994">
            <v>0</v>
          </cell>
          <cell r="M3994">
            <v>0</v>
          </cell>
          <cell r="P3994">
            <v>0</v>
          </cell>
        </row>
        <row r="3995">
          <cell r="K3995">
            <v>0</v>
          </cell>
          <cell r="M3995">
            <v>0</v>
          </cell>
          <cell r="P3995">
            <v>0</v>
          </cell>
        </row>
        <row r="3996">
          <cell r="K3996">
            <v>0</v>
          </cell>
          <cell r="M3996">
            <v>0</v>
          </cell>
          <cell r="P3996">
            <v>0</v>
          </cell>
        </row>
        <row r="3997">
          <cell r="K3997">
            <v>0</v>
          </cell>
          <cell r="M3997">
            <v>0</v>
          </cell>
          <cell r="P3997">
            <v>0</v>
          </cell>
        </row>
        <row r="3998">
          <cell r="K3998">
            <v>0</v>
          </cell>
          <cell r="M3998">
            <v>0</v>
          </cell>
          <cell r="P3998">
            <v>0</v>
          </cell>
        </row>
        <row r="3999">
          <cell r="K3999">
            <v>0</v>
          </cell>
          <cell r="M3999">
            <v>0</v>
          </cell>
          <cell r="P3999">
            <v>0</v>
          </cell>
        </row>
        <row r="4000">
          <cell r="K4000">
            <v>0</v>
          </cell>
          <cell r="M4000">
            <v>0</v>
          </cell>
          <cell r="P4000">
            <v>0</v>
          </cell>
        </row>
        <row r="4001">
          <cell r="K4001">
            <v>0</v>
          </cell>
          <cell r="M4001">
            <v>0</v>
          </cell>
          <cell r="P4001">
            <v>0</v>
          </cell>
        </row>
        <row r="4002">
          <cell r="K4002">
            <v>0</v>
          </cell>
          <cell r="M4002">
            <v>0</v>
          </cell>
          <cell r="P4002">
            <v>0</v>
          </cell>
        </row>
        <row r="4003">
          <cell r="K4003">
            <v>0</v>
          </cell>
          <cell r="M4003">
            <v>0</v>
          </cell>
          <cell r="P4003">
            <v>0</v>
          </cell>
        </row>
        <row r="4004">
          <cell r="K4004">
            <v>0</v>
          </cell>
          <cell r="M4004">
            <v>0</v>
          </cell>
          <cell r="P4004">
            <v>0</v>
          </cell>
        </row>
        <row r="4005">
          <cell r="K4005">
            <v>0</v>
          </cell>
          <cell r="M4005">
            <v>0</v>
          </cell>
          <cell r="P4005">
            <v>0</v>
          </cell>
        </row>
        <row r="4006">
          <cell r="K4006">
            <v>0</v>
          </cell>
          <cell r="M4006">
            <v>0</v>
          </cell>
          <cell r="P4006">
            <v>0</v>
          </cell>
        </row>
        <row r="4007">
          <cell r="K4007">
            <v>0</v>
          </cell>
          <cell r="M4007">
            <v>0</v>
          </cell>
          <cell r="P4007">
            <v>0</v>
          </cell>
        </row>
        <row r="4008">
          <cell r="K4008">
            <v>0</v>
          </cell>
          <cell r="M4008">
            <v>0</v>
          </cell>
          <cell r="P4008">
            <v>0</v>
          </cell>
        </row>
        <row r="4009">
          <cell r="K4009">
            <v>0</v>
          </cell>
          <cell r="M4009">
            <v>0</v>
          </cell>
          <cell r="P4009">
            <v>0</v>
          </cell>
        </row>
        <row r="4010">
          <cell r="K4010">
            <v>0</v>
          </cell>
          <cell r="M4010">
            <v>0</v>
          </cell>
          <cell r="P4010">
            <v>0</v>
          </cell>
        </row>
        <row r="4011">
          <cell r="K4011">
            <v>0</v>
          </cell>
          <cell r="M4011">
            <v>0</v>
          </cell>
          <cell r="P4011">
            <v>0</v>
          </cell>
        </row>
        <row r="4012">
          <cell r="K4012">
            <v>0</v>
          </cell>
          <cell r="M4012">
            <v>0</v>
          </cell>
          <cell r="P4012">
            <v>0</v>
          </cell>
        </row>
        <row r="4013">
          <cell r="K4013">
            <v>0</v>
          </cell>
          <cell r="M4013">
            <v>0</v>
          </cell>
          <cell r="P4013">
            <v>0</v>
          </cell>
        </row>
        <row r="4014">
          <cell r="K4014">
            <v>0</v>
          </cell>
          <cell r="M4014">
            <v>0</v>
          </cell>
          <cell r="P4014">
            <v>0</v>
          </cell>
        </row>
        <row r="4015">
          <cell r="K4015">
            <v>0</v>
          </cell>
          <cell r="M4015">
            <v>0</v>
          </cell>
          <cell r="P4015">
            <v>0</v>
          </cell>
        </row>
        <row r="4016">
          <cell r="K4016">
            <v>0</v>
          </cell>
          <cell r="M4016">
            <v>0</v>
          </cell>
          <cell r="P4016">
            <v>0</v>
          </cell>
        </row>
        <row r="4017">
          <cell r="K4017">
            <v>0</v>
          </cell>
          <cell r="M4017">
            <v>0</v>
          </cell>
          <cell r="P4017">
            <v>0</v>
          </cell>
        </row>
        <row r="4018">
          <cell r="K4018">
            <v>0</v>
          </cell>
          <cell r="M4018">
            <v>0</v>
          </cell>
          <cell r="P4018">
            <v>0</v>
          </cell>
        </row>
        <row r="4019">
          <cell r="K4019">
            <v>0</v>
          </cell>
          <cell r="M4019">
            <v>0</v>
          </cell>
          <cell r="P4019">
            <v>0</v>
          </cell>
        </row>
        <row r="4020">
          <cell r="K4020">
            <v>0</v>
          </cell>
          <cell r="M4020">
            <v>0</v>
          </cell>
          <cell r="P4020">
            <v>0</v>
          </cell>
        </row>
        <row r="4021">
          <cell r="K4021">
            <v>0</v>
          </cell>
          <cell r="M4021">
            <v>0</v>
          </cell>
          <cell r="P4021">
            <v>0</v>
          </cell>
        </row>
        <row r="4022">
          <cell r="K4022">
            <v>0</v>
          </cell>
          <cell r="M4022">
            <v>0</v>
          </cell>
          <cell r="P4022">
            <v>0</v>
          </cell>
        </row>
        <row r="4023">
          <cell r="K4023">
            <v>0</v>
          </cell>
          <cell r="M4023">
            <v>0</v>
          </cell>
          <cell r="P4023">
            <v>0</v>
          </cell>
        </row>
        <row r="4024">
          <cell r="K4024">
            <v>0</v>
          </cell>
          <cell r="M4024">
            <v>0</v>
          </cell>
          <cell r="P4024">
            <v>0</v>
          </cell>
        </row>
        <row r="4025">
          <cell r="K4025">
            <v>0</v>
          </cell>
          <cell r="M4025">
            <v>0</v>
          </cell>
          <cell r="P4025">
            <v>0</v>
          </cell>
        </row>
        <row r="4026">
          <cell r="K4026">
            <v>0</v>
          </cell>
          <cell r="M4026">
            <v>0</v>
          </cell>
          <cell r="P4026">
            <v>0</v>
          </cell>
        </row>
        <row r="4027">
          <cell r="K4027">
            <v>0</v>
          </cell>
          <cell r="M4027">
            <v>0</v>
          </cell>
          <cell r="P4027">
            <v>0</v>
          </cell>
        </row>
        <row r="4028">
          <cell r="K4028">
            <v>0</v>
          </cell>
          <cell r="M4028">
            <v>0</v>
          </cell>
          <cell r="P4028">
            <v>0</v>
          </cell>
        </row>
        <row r="4029">
          <cell r="K4029">
            <v>0</v>
          </cell>
          <cell r="M4029">
            <v>0</v>
          </cell>
          <cell r="P4029">
            <v>0</v>
          </cell>
        </row>
        <row r="4030">
          <cell r="K4030">
            <v>0</v>
          </cell>
          <cell r="M4030">
            <v>0</v>
          </cell>
          <cell r="P4030">
            <v>0</v>
          </cell>
        </row>
        <row r="4031">
          <cell r="K4031">
            <v>0</v>
          </cell>
          <cell r="M4031">
            <v>0</v>
          </cell>
          <cell r="P4031">
            <v>0</v>
          </cell>
        </row>
        <row r="4032">
          <cell r="K4032">
            <v>0</v>
          </cell>
          <cell r="M4032">
            <v>0</v>
          </cell>
          <cell r="P4032">
            <v>0</v>
          </cell>
        </row>
        <row r="4033">
          <cell r="K4033">
            <v>0</v>
          </cell>
          <cell r="M4033">
            <v>0</v>
          </cell>
          <cell r="P4033">
            <v>0</v>
          </cell>
        </row>
        <row r="4034">
          <cell r="K4034">
            <v>0</v>
          </cell>
          <cell r="M4034">
            <v>0</v>
          </cell>
          <cell r="P4034">
            <v>0</v>
          </cell>
        </row>
        <row r="4035">
          <cell r="K4035">
            <v>0</v>
          </cell>
          <cell r="M4035">
            <v>0</v>
          </cell>
          <cell r="P4035">
            <v>0</v>
          </cell>
        </row>
        <row r="4036">
          <cell r="K4036">
            <v>0</v>
          </cell>
          <cell r="M4036">
            <v>0</v>
          </cell>
          <cell r="P4036">
            <v>0</v>
          </cell>
        </row>
        <row r="4037">
          <cell r="K4037">
            <v>0</v>
          </cell>
          <cell r="M4037">
            <v>0</v>
          </cell>
          <cell r="P4037">
            <v>0</v>
          </cell>
        </row>
        <row r="4038">
          <cell r="K4038">
            <v>0</v>
          </cell>
          <cell r="M4038">
            <v>0</v>
          </cell>
          <cell r="P4038">
            <v>0</v>
          </cell>
        </row>
        <row r="4039">
          <cell r="K4039">
            <v>0</v>
          </cell>
          <cell r="M4039">
            <v>0</v>
          </cell>
          <cell r="P4039">
            <v>0</v>
          </cell>
        </row>
        <row r="4040">
          <cell r="K4040">
            <v>0</v>
          </cell>
          <cell r="M4040">
            <v>0</v>
          </cell>
          <cell r="P4040">
            <v>0</v>
          </cell>
        </row>
        <row r="4041">
          <cell r="K4041">
            <v>0</v>
          </cell>
          <cell r="M4041">
            <v>0</v>
          </cell>
          <cell r="P4041">
            <v>0</v>
          </cell>
        </row>
        <row r="4042">
          <cell r="K4042">
            <v>0</v>
          </cell>
          <cell r="M4042">
            <v>0</v>
          </cell>
          <cell r="P4042">
            <v>0</v>
          </cell>
        </row>
        <row r="4043">
          <cell r="K4043">
            <v>0</v>
          </cell>
          <cell r="M4043">
            <v>0</v>
          </cell>
          <cell r="P4043">
            <v>0</v>
          </cell>
        </row>
        <row r="4044">
          <cell r="K4044">
            <v>0</v>
          </cell>
          <cell r="M4044">
            <v>0</v>
          </cell>
          <cell r="P4044">
            <v>0</v>
          </cell>
        </row>
        <row r="4045">
          <cell r="K4045">
            <v>0</v>
          </cell>
          <cell r="M4045">
            <v>0</v>
          </cell>
          <cell r="P4045">
            <v>0</v>
          </cell>
        </row>
        <row r="4046">
          <cell r="K4046">
            <v>0</v>
          </cell>
          <cell r="M4046">
            <v>0</v>
          </cell>
          <cell r="P4046">
            <v>0</v>
          </cell>
        </row>
        <row r="4047">
          <cell r="K4047">
            <v>0</v>
          </cell>
          <cell r="M4047">
            <v>0</v>
          </cell>
          <cell r="P4047">
            <v>0</v>
          </cell>
        </row>
        <row r="4048">
          <cell r="K4048">
            <v>0</v>
          </cell>
          <cell r="M4048">
            <v>0</v>
          </cell>
          <cell r="P4048">
            <v>0</v>
          </cell>
        </row>
        <row r="4049">
          <cell r="K4049">
            <v>0</v>
          </cell>
          <cell r="M4049">
            <v>0</v>
          </cell>
          <cell r="P4049">
            <v>0</v>
          </cell>
        </row>
        <row r="4050">
          <cell r="K4050">
            <v>0</v>
          </cell>
          <cell r="M4050">
            <v>0</v>
          </cell>
          <cell r="P4050">
            <v>0</v>
          </cell>
        </row>
        <row r="4051">
          <cell r="K4051">
            <v>0</v>
          </cell>
          <cell r="M4051">
            <v>0</v>
          </cell>
          <cell r="P4051">
            <v>0</v>
          </cell>
        </row>
        <row r="4052">
          <cell r="K4052">
            <v>0</v>
          </cell>
          <cell r="M4052">
            <v>0</v>
          </cell>
          <cell r="P4052">
            <v>0</v>
          </cell>
        </row>
        <row r="4053">
          <cell r="K4053">
            <v>0</v>
          </cell>
          <cell r="M4053">
            <v>0</v>
          </cell>
          <cell r="P4053">
            <v>0</v>
          </cell>
        </row>
        <row r="4054">
          <cell r="K4054">
            <v>0</v>
          </cell>
          <cell r="M4054">
            <v>0</v>
          </cell>
          <cell r="P4054">
            <v>0</v>
          </cell>
        </row>
        <row r="4055">
          <cell r="K4055">
            <v>0</v>
          </cell>
          <cell r="M4055">
            <v>0</v>
          </cell>
          <cell r="P4055">
            <v>0</v>
          </cell>
        </row>
        <row r="4056">
          <cell r="K4056">
            <v>0</v>
          </cell>
          <cell r="M4056">
            <v>0</v>
          </cell>
          <cell r="P4056">
            <v>0</v>
          </cell>
        </row>
        <row r="4057">
          <cell r="K4057">
            <v>0</v>
          </cell>
          <cell r="M4057">
            <v>0</v>
          </cell>
          <cell r="P4057">
            <v>0</v>
          </cell>
        </row>
        <row r="4058">
          <cell r="K4058">
            <v>0</v>
          </cell>
          <cell r="M4058">
            <v>0</v>
          </cell>
          <cell r="P4058">
            <v>0</v>
          </cell>
        </row>
        <row r="4059">
          <cell r="K4059">
            <v>0</v>
          </cell>
          <cell r="M4059">
            <v>0</v>
          </cell>
          <cell r="P4059">
            <v>0</v>
          </cell>
        </row>
        <row r="4060">
          <cell r="K4060">
            <v>0</v>
          </cell>
          <cell r="M4060">
            <v>0</v>
          </cell>
          <cell r="P4060">
            <v>0</v>
          </cell>
        </row>
        <row r="4061">
          <cell r="K4061">
            <v>0</v>
          </cell>
          <cell r="M4061">
            <v>0</v>
          </cell>
          <cell r="P4061">
            <v>0</v>
          </cell>
        </row>
        <row r="4062">
          <cell r="K4062">
            <v>0</v>
          </cell>
          <cell r="M4062">
            <v>0</v>
          </cell>
          <cell r="P4062">
            <v>0</v>
          </cell>
        </row>
        <row r="4063">
          <cell r="K4063">
            <v>0</v>
          </cell>
          <cell r="M4063">
            <v>0</v>
          </cell>
          <cell r="P4063">
            <v>0</v>
          </cell>
        </row>
        <row r="4064">
          <cell r="K4064">
            <v>0</v>
          </cell>
          <cell r="M4064">
            <v>0</v>
          </cell>
          <cell r="P4064">
            <v>0</v>
          </cell>
        </row>
        <row r="4065">
          <cell r="K4065">
            <v>0</v>
          </cell>
          <cell r="M4065">
            <v>0</v>
          </cell>
          <cell r="P4065">
            <v>0</v>
          </cell>
        </row>
        <row r="4066">
          <cell r="K4066">
            <v>0</v>
          </cell>
          <cell r="M4066">
            <v>0</v>
          </cell>
          <cell r="P4066">
            <v>0</v>
          </cell>
        </row>
        <row r="4067">
          <cell r="K4067">
            <v>0</v>
          </cell>
          <cell r="M4067">
            <v>0</v>
          </cell>
          <cell r="P4067">
            <v>0</v>
          </cell>
        </row>
        <row r="4068">
          <cell r="K4068">
            <v>0</v>
          </cell>
          <cell r="M4068">
            <v>0</v>
          </cell>
          <cell r="P4068">
            <v>0</v>
          </cell>
        </row>
        <row r="4069">
          <cell r="K4069">
            <v>0</v>
          </cell>
          <cell r="M4069">
            <v>0</v>
          </cell>
          <cell r="P4069">
            <v>0</v>
          </cell>
        </row>
        <row r="4070">
          <cell r="K4070">
            <v>0</v>
          </cell>
          <cell r="M4070">
            <v>0</v>
          </cell>
          <cell r="P4070">
            <v>0</v>
          </cell>
        </row>
        <row r="4071">
          <cell r="K4071">
            <v>0</v>
          </cell>
          <cell r="M4071">
            <v>0</v>
          </cell>
          <cell r="P4071">
            <v>0</v>
          </cell>
        </row>
        <row r="4072">
          <cell r="K4072">
            <v>0</v>
          </cell>
          <cell r="M4072">
            <v>0</v>
          </cell>
          <cell r="P4072">
            <v>0</v>
          </cell>
        </row>
        <row r="4073">
          <cell r="K4073">
            <v>0</v>
          </cell>
          <cell r="M4073">
            <v>0</v>
          </cell>
          <cell r="P4073">
            <v>0</v>
          </cell>
        </row>
        <row r="4074">
          <cell r="K4074">
            <v>0</v>
          </cell>
          <cell r="M4074">
            <v>0</v>
          </cell>
          <cell r="P4074">
            <v>0</v>
          </cell>
        </row>
        <row r="4075">
          <cell r="K4075">
            <v>0</v>
          </cell>
          <cell r="M4075">
            <v>0</v>
          </cell>
          <cell r="P4075">
            <v>0</v>
          </cell>
        </row>
        <row r="4076">
          <cell r="K4076">
            <v>0</v>
          </cell>
          <cell r="M4076">
            <v>0</v>
          </cell>
          <cell r="P4076">
            <v>0</v>
          </cell>
        </row>
        <row r="4077">
          <cell r="K4077">
            <v>0</v>
          </cell>
          <cell r="M4077">
            <v>0</v>
          </cell>
          <cell r="P4077">
            <v>0</v>
          </cell>
        </row>
        <row r="4078">
          <cell r="K4078">
            <v>0</v>
          </cell>
          <cell r="M4078">
            <v>0</v>
          </cell>
          <cell r="P4078">
            <v>0</v>
          </cell>
        </row>
        <row r="4079">
          <cell r="K4079">
            <v>0</v>
          </cell>
          <cell r="M4079">
            <v>0</v>
          </cell>
          <cell r="P4079">
            <v>0</v>
          </cell>
        </row>
        <row r="4080">
          <cell r="K4080">
            <v>0</v>
          </cell>
          <cell r="M4080">
            <v>0</v>
          </cell>
          <cell r="P4080">
            <v>0</v>
          </cell>
        </row>
        <row r="4081">
          <cell r="K4081">
            <v>0</v>
          </cell>
          <cell r="M4081">
            <v>0</v>
          </cell>
          <cell r="P4081">
            <v>0</v>
          </cell>
        </row>
        <row r="4082">
          <cell r="K4082">
            <v>0</v>
          </cell>
          <cell r="M4082">
            <v>0</v>
          </cell>
          <cell r="P4082">
            <v>0</v>
          </cell>
        </row>
        <row r="4083">
          <cell r="K4083">
            <v>0</v>
          </cell>
          <cell r="M4083">
            <v>0</v>
          </cell>
          <cell r="P4083">
            <v>0</v>
          </cell>
        </row>
        <row r="4084">
          <cell r="K4084">
            <v>0</v>
          </cell>
          <cell r="M4084">
            <v>0</v>
          </cell>
          <cell r="P4084">
            <v>0</v>
          </cell>
        </row>
        <row r="4085">
          <cell r="K4085">
            <v>0</v>
          </cell>
          <cell r="M4085">
            <v>0</v>
          </cell>
          <cell r="P4085">
            <v>0</v>
          </cell>
        </row>
        <row r="4086">
          <cell r="K4086">
            <v>0</v>
          </cell>
          <cell r="M4086">
            <v>0</v>
          </cell>
          <cell r="P4086">
            <v>0</v>
          </cell>
        </row>
        <row r="4087">
          <cell r="K4087">
            <v>0</v>
          </cell>
          <cell r="M4087">
            <v>0</v>
          </cell>
          <cell r="P4087">
            <v>0</v>
          </cell>
        </row>
        <row r="4088">
          <cell r="K4088">
            <v>0</v>
          </cell>
          <cell r="M4088">
            <v>0</v>
          </cell>
          <cell r="P4088">
            <v>0</v>
          </cell>
        </row>
        <row r="4089">
          <cell r="K4089">
            <v>0</v>
          </cell>
          <cell r="M4089">
            <v>0</v>
          </cell>
          <cell r="P4089">
            <v>0</v>
          </cell>
        </row>
        <row r="4090">
          <cell r="K4090">
            <v>0</v>
          </cell>
          <cell r="M4090">
            <v>0</v>
          </cell>
          <cell r="P4090">
            <v>0</v>
          </cell>
        </row>
        <row r="4091">
          <cell r="K4091">
            <v>0</v>
          </cell>
          <cell r="M4091">
            <v>0</v>
          </cell>
          <cell r="P4091">
            <v>0</v>
          </cell>
        </row>
        <row r="4092">
          <cell r="K4092">
            <v>0</v>
          </cell>
          <cell r="M4092">
            <v>0</v>
          </cell>
          <cell r="P4092">
            <v>0</v>
          </cell>
        </row>
        <row r="4093">
          <cell r="K4093">
            <v>0</v>
          </cell>
          <cell r="M4093">
            <v>0</v>
          </cell>
          <cell r="P4093">
            <v>0</v>
          </cell>
        </row>
        <row r="4094">
          <cell r="K4094">
            <v>0</v>
          </cell>
          <cell r="M4094">
            <v>0</v>
          </cell>
          <cell r="P4094">
            <v>0</v>
          </cell>
        </row>
        <row r="4095">
          <cell r="K4095">
            <v>0</v>
          </cell>
          <cell r="M4095">
            <v>0</v>
          </cell>
          <cell r="P4095">
            <v>0</v>
          </cell>
        </row>
        <row r="4096">
          <cell r="K4096">
            <v>0</v>
          </cell>
          <cell r="M4096">
            <v>0</v>
          </cell>
          <cell r="P4096">
            <v>0</v>
          </cell>
        </row>
        <row r="4097">
          <cell r="K4097">
            <v>0</v>
          </cell>
          <cell r="M4097">
            <v>0</v>
          </cell>
          <cell r="P4097">
            <v>0</v>
          </cell>
        </row>
        <row r="4098">
          <cell r="K4098">
            <v>0</v>
          </cell>
          <cell r="M4098">
            <v>0</v>
          </cell>
          <cell r="P4098">
            <v>0</v>
          </cell>
        </row>
        <row r="4099">
          <cell r="K4099">
            <v>0</v>
          </cell>
          <cell r="M4099">
            <v>0</v>
          </cell>
          <cell r="P4099">
            <v>0</v>
          </cell>
        </row>
        <row r="4100">
          <cell r="K4100">
            <v>0</v>
          </cell>
          <cell r="M4100">
            <v>0</v>
          </cell>
          <cell r="P4100">
            <v>0</v>
          </cell>
        </row>
        <row r="4101">
          <cell r="K4101">
            <v>0</v>
          </cell>
          <cell r="M4101">
            <v>0</v>
          </cell>
          <cell r="P4101">
            <v>0</v>
          </cell>
        </row>
        <row r="4102">
          <cell r="K4102">
            <v>0</v>
          </cell>
          <cell r="M4102">
            <v>0</v>
          </cell>
          <cell r="P4102">
            <v>0</v>
          </cell>
        </row>
        <row r="4103">
          <cell r="K4103">
            <v>0</v>
          </cell>
          <cell r="M4103">
            <v>0</v>
          </cell>
          <cell r="P4103">
            <v>0</v>
          </cell>
        </row>
        <row r="4104">
          <cell r="K4104">
            <v>0</v>
          </cell>
          <cell r="M4104">
            <v>0</v>
          </cell>
          <cell r="P4104">
            <v>0</v>
          </cell>
        </row>
        <row r="4105">
          <cell r="K4105">
            <v>0</v>
          </cell>
          <cell r="M4105">
            <v>0</v>
          </cell>
          <cell r="P4105">
            <v>0</v>
          </cell>
        </row>
        <row r="4106">
          <cell r="K4106">
            <v>0</v>
          </cell>
          <cell r="M4106">
            <v>0</v>
          </cell>
          <cell r="P4106">
            <v>0</v>
          </cell>
        </row>
        <row r="4107">
          <cell r="K4107">
            <v>0</v>
          </cell>
          <cell r="M4107">
            <v>0</v>
          </cell>
          <cell r="P4107">
            <v>0</v>
          </cell>
        </row>
        <row r="4108">
          <cell r="K4108">
            <v>0</v>
          </cell>
          <cell r="M4108">
            <v>0</v>
          </cell>
          <cell r="P4108">
            <v>0</v>
          </cell>
        </row>
        <row r="4109">
          <cell r="K4109">
            <v>0</v>
          </cell>
          <cell r="M4109">
            <v>0</v>
          </cell>
          <cell r="P4109">
            <v>0</v>
          </cell>
        </row>
        <row r="4110">
          <cell r="K4110">
            <v>0</v>
          </cell>
          <cell r="M4110">
            <v>0</v>
          </cell>
          <cell r="P4110">
            <v>0</v>
          </cell>
        </row>
        <row r="4111">
          <cell r="K4111">
            <v>0</v>
          </cell>
          <cell r="M4111">
            <v>0</v>
          </cell>
          <cell r="P4111">
            <v>0</v>
          </cell>
        </row>
        <row r="4112">
          <cell r="K4112">
            <v>0</v>
          </cell>
          <cell r="M4112">
            <v>0</v>
          </cell>
          <cell r="P4112">
            <v>0</v>
          </cell>
        </row>
        <row r="4113">
          <cell r="K4113">
            <v>0</v>
          </cell>
          <cell r="M4113">
            <v>0</v>
          </cell>
          <cell r="P4113">
            <v>0</v>
          </cell>
        </row>
        <row r="4114">
          <cell r="K4114">
            <v>0</v>
          </cell>
          <cell r="M4114">
            <v>0</v>
          </cell>
          <cell r="P4114">
            <v>0</v>
          </cell>
        </row>
        <row r="4115">
          <cell r="K4115">
            <v>0</v>
          </cell>
          <cell r="M4115">
            <v>0</v>
          </cell>
          <cell r="P4115">
            <v>0</v>
          </cell>
        </row>
        <row r="4116">
          <cell r="K4116">
            <v>0</v>
          </cell>
          <cell r="M4116">
            <v>0</v>
          </cell>
          <cell r="P4116">
            <v>0</v>
          </cell>
        </row>
        <row r="4117">
          <cell r="K4117">
            <v>0</v>
          </cell>
          <cell r="M4117">
            <v>0</v>
          </cell>
          <cell r="P4117">
            <v>0</v>
          </cell>
        </row>
        <row r="4118">
          <cell r="K4118">
            <v>0</v>
          </cell>
          <cell r="M4118">
            <v>0</v>
          </cell>
          <cell r="P4118">
            <v>0</v>
          </cell>
        </row>
        <row r="4119">
          <cell r="K4119">
            <v>0</v>
          </cell>
          <cell r="M4119">
            <v>0</v>
          </cell>
          <cell r="P4119">
            <v>0</v>
          </cell>
        </row>
        <row r="4120">
          <cell r="K4120">
            <v>0</v>
          </cell>
          <cell r="M4120">
            <v>0</v>
          </cell>
          <cell r="P4120">
            <v>0</v>
          </cell>
        </row>
        <row r="4121">
          <cell r="K4121">
            <v>0</v>
          </cell>
          <cell r="M4121">
            <v>0</v>
          </cell>
          <cell r="P4121">
            <v>0</v>
          </cell>
        </row>
        <row r="4122">
          <cell r="K4122">
            <v>0</v>
          </cell>
          <cell r="M4122">
            <v>0</v>
          </cell>
          <cell r="P4122">
            <v>0</v>
          </cell>
        </row>
        <row r="4123">
          <cell r="K4123">
            <v>0</v>
          </cell>
          <cell r="M4123">
            <v>0</v>
          </cell>
          <cell r="P4123">
            <v>0</v>
          </cell>
        </row>
        <row r="4124">
          <cell r="K4124">
            <v>0</v>
          </cell>
          <cell r="M4124">
            <v>0</v>
          </cell>
          <cell r="P4124">
            <v>0</v>
          </cell>
        </row>
        <row r="4125">
          <cell r="K4125">
            <v>0</v>
          </cell>
          <cell r="M4125">
            <v>0</v>
          </cell>
          <cell r="P4125">
            <v>0</v>
          </cell>
        </row>
        <row r="4126">
          <cell r="K4126">
            <v>0</v>
          </cell>
          <cell r="M4126">
            <v>0</v>
          </cell>
          <cell r="P4126">
            <v>0</v>
          </cell>
        </row>
        <row r="4127">
          <cell r="K4127">
            <v>0</v>
          </cell>
          <cell r="M4127">
            <v>0</v>
          </cell>
          <cell r="P4127">
            <v>0</v>
          </cell>
        </row>
        <row r="4128">
          <cell r="K4128">
            <v>0</v>
          </cell>
          <cell r="M4128">
            <v>0</v>
          </cell>
          <cell r="P4128">
            <v>0</v>
          </cell>
        </row>
        <row r="4129">
          <cell r="K4129">
            <v>0</v>
          </cell>
          <cell r="M4129">
            <v>0</v>
          </cell>
          <cell r="P4129">
            <v>0</v>
          </cell>
        </row>
        <row r="4130">
          <cell r="K4130">
            <v>0</v>
          </cell>
          <cell r="M4130">
            <v>0</v>
          </cell>
          <cell r="P4130">
            <v>0</v>
          </cell>
        </row>
        <row r="4131">
          <cell r="K4131">
            <v>0</v>
          </cell>
          <cell r="M4131">
            <v>0</v>
          </cell>
          <cell r="P4131">
            <v>0</v>
          </cell>
        </row>
        <row r="4132">
          <cell r="K4132">
            <v>0</v>
          </cell>
          <cell r="M4132">
            <v>0</v>
          </cell>
          <cell r="P4132">
            <v>0</v>
          </cell>
        </row>
        <row r="4133">
          <cell r="K4133">
            <v>0</v>
          </cell>
          <cell r="M4133">
            <v>0</v>
          </cell>
          <cell r="P4133">
            <v>0</v>
          </cell>
        </row>
        <row r="4134">
          <cell r="K4134">
            <v>0</v>
          </cell>
          <cell r="M4134">
            <v>0</v>
          </cell>
          <cell r="P4134">
            <v>0</v>
          </cell>
        </row>
        <row r="4135">
          <cell r="K4135">
            <v>0</v>
          </cell>
          <cell r="M4135">
            <v>0</v>
          </cell>
          <cell r="P4135">
            <v>0</v>
          </cell>
        </row>
        <row r="4136">
          <cell r="K4136">
            <v>0</v>
          </cell>
          <cell r="M4136">
            <v>0</v>
          </cell>
          <cell r="P4136">
            <v>0</v>
          </cell>
        </row>
        <row r="4137">
          <cell r="K4137">
            <v>0</v>
          </cell>
          <cell r="M4137">
            <v>0</v>
          </cell>
          <cell r="P4137">
            <v>0</v>
          </cell>
        </row>
        <row r="4138">
          <cell r="K4138">
            <v>0</v>
          </cell>
          <cell r="M4138">
            <v>0</v>
          </cell>
          <cell r="P4138">
            <v>0</v>
          </cell>
        </row>
        <row r="4139">
          <cell r="K4139">
            <v>0</v>
          </cell>
          <cell r="M4139">
            <v>0</v>
          </cell>
          <cell r="P4139">
            <v>0</v>
          </cell>
        </row>
        <row r="4140">
          <cell r="K4140">
            <v>0</v>
          </cell>
          <cell r="M4140">
            <v>0</v>
          </cell>
          <cell r="P4140">
            <v>0</v>
          </cell>
        </row>
        <row r="4141">
          <cell r="K4141">
            <v>0</v>
          </cell>
          <cell r="M4141">
            <v>0</v>
          </cell>
          <cell r="P4141">
            <v>0</v>
          </cell>
        </row>
        <row r="4142">
          <cell r="K4142">
            <v>0</v>
          </cell>
          <cell r="M4142">
            <v>0</v>
          </cell>
          <cell r="P4142">
            <v>0</v>
          </cell>
        </row>
        <row r="4143">
          <cell r="K4143">
            <v>0</v>
          </cell>
          <cell r="M4143">
            <v>0</v>
          </cell>
          <cell r="P4143">
            <v>0</v>
          </cell>
        </row>
        <row r="4144">
          <cell r="K4144">
            <v>0</v>
          </cell>
          <cell r="M4144">
            <v>0</v>
          </cell>
          <cell r="P4144">
            <v>0</v>
          </cell>
        </row>
        <row r="4145">
          <cell r="K4145">
            <v>0</v>
          </cell>
          <cell r="M4145">
            <v>0</v>
          </cell>
          <cell r="P4145">
            <v>0</v>
          </cell>
        </row>
        <row r="4146">
          <cell r="K4146">
            <v>0</v>
          </cell>
          <cell r="M4146">
            <v>0</v>
          </cell>
          <cell r="P4146">
            <v>0</v>
          </cell>
        </row>
        <row r="4147">
          <cell r="K4147">
            <v>0</v>
          </cell>
          <cell r="M4147">
            <v>0</v>
          </cell>
          <cell r="P4147">
            <v>0</v>
          </cell>
        </row>
        <row r="4148">
          <cell r="K4148">
            <v>0</v>
          </cell>
          <cell r="M4148">
            <v>0</v>
          </cell>
          <cell r="P4148">
            <v>0</v>
          </cell>
        </row>
        <row r="4149">
          <cell r="K4149">
            <v>0</v>
          </cell>
          <cell r="M4149">
            <v>0</v>
          </cell>
          <cell r="P4149">
            <v>0</v>
          </cell>
        </row>
        <row r="4150">
          <cell r="K4150">
            <v>0</v>
          </cell>
          <cell r="M4150">
            <v>0</v>
          </cell>
          <cell r="P4150">
            <v>0</v>
          </cell>
        </row>
        <row r="4151">
          <cell r="K4151">
            <v>0</v>
          </cell>
          <cell r="M4151">
            <v>0</v>
          </cell>
          <cell r="P4151">
            <v>0</v>
          </cell>
        </row>
        <row r="4152">
          <cell r="K4152">
            <v>0</v>
          </cell>
          <cell r="M4152">
            <v>0</v>
          </cell>
          <cell r="P4152">
            <v>0</v>
          </cell>
        </row>
        <row r="4153">
          <cell r="K4153">
            <v>0</v>
          </cell>
          <cell r="M4153">
            <v>0</v>
          </cell>
          <cell r="P4153">
            <v>0</v>
          </cell>
        </row>
        <row r="4154">
          <cell r="K4154">
            <v>0</v>
          </cell>
          <cell r="M4154">
            <v>0</v>
          </cell>
          <cell r="P4154">
            <v>0</v>
          </cell>
        </row>
        <row r="4155">
          <cell r="K4155">
            <v>0</v>
          </cell>
          <cell r="M4155">
            <v>0</v>
          </cell>
          <cell r="P4155">
            <v>0</v>
          </cell>
        </row>
        <row r="4156">
          <cell r="K4156">
            <v>0</v>
          </cell>
          <cell r="M4156">
            <v>0</v>
          </cell>
          <cell r="P4156">
            <v>0</v>
          </cell>
        </row>
        <row r="4157">
          <cell r="K4157">
            <v>0</v>
          </cell>
          <cell r="M4157">
            <v>0</v>
          </cell>
          <cell r="P4157">
            <v>0</v>
          </cell>
        </row>
        <row r="4158">
          <cell r="K4158">
            <v>0</v>
          </cell>
          <cell r="M4158">
            <v>0</v>
          </cell>
          <cell r="P4158">
            <v>0</v>
          </cell>
        </row>
        <row r="4159">
          <cell r="K4159">
            <v>0</v>
          </cell>
          <cell r="M4159">
            <v>0</v>
          </cell>
          <cell r="P4159">
            <v>0</v>
          </cell>
        </row>
        <row r="4160">
          <cell r="K4160">
            <v>0</v>
          </cell>
          <cell r="M4160">
            <v>0</v>
          </cell>
          <cell r="P4160">
            <v>0</v>
          </cell>
        </row>
        <row r="4161">
          <cell r="K4161">
            <v>0</v>
          </cell>
          <cell r="M4161">
            <v>0</v>
          </cell>
          <cell r="P4161">
            <v>0</v>
          </cell>
        </row>
        <row r="4162">
          <cell r="K4162">
            <v>0</v>
          </cell>
          <cell r="M4162">
            <v>0</v>
          </cell>
          <cell r="P4162">
            <v>0</v>
          </cell>
        </row>
        <row r="4163">
          <cell r="K4163">
            <v>0</v>
          </cell>
          <cell r="M4163">
            <v>0</v>
          </cell>
          <cell r="P4163">
            <v>0</v>
          </cell>
        </row>
        <row r="4164">
          <cell r="K4164">
            <v>0</v>
          </cell>
          <cell r="M4164">
            <v>0</v>
          </cell>
          <cell r="P4164">
            <v>0</v>
          </cell>
        </row>
        <row r="4165">
          <cell r="K4165">
            <v>0</v>
          </cell>
          <cell r="M4165">
            <v>0</v>
          </cell>
          <cell r="P4165">
            <v>0</v>
          </cell>
        </row>
        <row r="4166">
          <cell r="K4166">
            <v>0</v>
          </cell>
          <cell r="M4166">
            <v>0</v>
          </cell>
          <cell r="P4166">
            <v>0</v>
          </cell>
        </row>
        <row r="4167">
          <cell r="K4167">
            <v>0</v>
          </cell>
          <cell r="M4167">
            <v>0</v>
          </cell>
          <cell r="P4167">
            <v>0</v>
          </cell>
        </row>
        <row r="4168">
          <cell r="K4168">
            <v>0</v>
          </cell>
          <cell r="M4168">
            <v>0</v>
          </cell>
          <cell r="P4168">
            <v>0</v>
          </cell>
        </row>
        <row r="4169">
          <cell r="K4169">
            <v>0</v>
          </cell>
          <cell r="M4169">
            <v>0</v>
          </cell>
          <cell r="P4169">
            <v>0</v>
          </cell>
        </row>
        <row r="4170">
          <cell r="K4170">
            <v>0</v>
          </cell>
          <cell r="M4170">
            <v>0</v>
          </cell>
          <cell r="P4170">
            <v>0</v>
          </cell>
        </row>
        <row r="4171">
          <cell r="K4171">
            <v>0</v>
          </cell>
          <cell r="M4171">
            <v>0</v>
          </cell>
          <cell r="P4171">
            <v>0</v>
          </cell>
        </row>
        <row r="4172">
          <cell r="K4172">
            <v>0</v>
          </cell>
          <cell r="M4172">
            <v>0</v>
          </cell>
          <cell r="P4172">
            <v>0</v>
          </cell>
        </row>
        <row r="4173">
          <cell r="K4173">
            <v>0</v>
          </cell>
          <cell r="M4173">
            <v>0</v>
          </cell>
          <cell r="P4173">
            <v>0</v>
          </cell>
        </row>
        <row r="4174">
          <cell r="K4174">
            <v>0</v>
          </cell>
          <cell r="M4174">
            <v>0</v>
          </cell>
          <cell r="P4174">
            <v>0</v>
          </cell>
        </row>
        <row r="4175">
          <cell r="K4175">
            <v>0</v>
          </cell>
          <cell r="M4175">
            <v>0</v>
          </cell>
          <cell r="P4175">
            <v>0</v>
          </cell>
        </row>
        <row r="4176">
          <cell r="K4176">
            <v>0</v>
          </cell>
          <cell r="M4176">
            <v>0</v>
          </cell>
          <cell r="P4176">
            <v>0</v>
          </cell>
        </row>
        <row r="4177">
          <cell r="K4177">
            <v>0</v>
          </cell>
          <cell r="M4177">
            <v>0</v>
          </cell>
          <cell r="P4177">
            <v>0</v>
          </cell>
        </row>
        <row r="4178">
          <cell r="K4178">
            <v>0</v>
          </cell>
          <cell r="M4178">
            <v>0</v>
          </cell>
          <cell r="P4178">
            <v>0</v>
          </cell>
        </row>
        <row r="4179">
          <cell r="K4179">
            <v>0</v>
          </cell>
          <cell r="M4179">
            <v>0</v>
          </cell>
          <cell r="P4179">
            <v>0</v>
          </cell>
        </row>
        <row r="4180">
          <cell r="K4180">
            <v>0</v>
          </cell>
          <cell r="M4180">
            <v>0</v>
          </cell>
          <cell r="P4180">
            <v>0</v>
          </cell>
        </row>
        <row r="4181">
          <cell r="K4181">
            <v>0</v>
          </cell>
          <cell r="M4181">
            <v>0</v>
          </cell>
          <cell r="P4181">
            <v>0</v>
          </cell>
        </row>
        <row r="4182">
          <cell r="K4182">
            <v>0</v>
          </cell>
          <cell r="M4182">
            <v>0</v>
          </cell>
          <cell r="P4182">
            <v>0</v>
          </cell>
        </row>
        <row r="4183">
          <cell r="K4183">
            <v>0</v>
          </cell>
          <cell r="M4183">
            <v>0</v>
          </cell>
          <cell r="P4183">
            <v>0</v>
          </cell>
        </row>
        <row r="4184">
          <cell r="K4184">
            <v>0</v>
          </cell>
          <cell r="M4184">
            <v>0</v>
          </cell>
          <cell r="P4184">
            <v>0</v>
          </cell>
        </row>
        <row r="4185">
          <cell r="K4185">
            <v>0</v>
          </cell>
          <cell r="M4185">
            <v>0</v>
          </cell>
          <cell r="P4185">
            <v>0</v>
          </cell>
        </row>
        <row r="4186">
          <cell r="K4186">
            <v>0</v>
          </cell>
          <cell r="M4186">
            <v>0</v>
          </cell>
          <cell r="P4186">
            <v>0</v>
          </cell>
        </row>
        <row r="4187">
          <cell r="K4187">
            <v>0</v>
          </cell>
          <cell r="M4187">
            <v>0</v>
          </cell>
          <cell r="P4187">
            <v>0</v>
          </cell>
        </row>
        <row r="4188">
          <cell r="K4188">
            <v>0</v>
          </cell>
          <cell r="M4188">
            <v>0</v>
          </cell>
          <cell r="P4188">
            <v>0</v>
          </cell>
        </row>
        <row r="4189">
          <cell r="K4189">
            <v>0</v>
          </cell>
          <cell r="M4189">
            <v>0</v>
          </cell>
          <cell r="P4189">
            <v>0</v>
          </cell>
        </row>
        <row r="4190">
          <cell r="K4190">
            <v>0</v>
          </cell>
          <cell r="M4190">
            <v>0</v>
          </cell>
          <cell r="P4190">
            <v>0</v>
          </cell>
        </row>
        <row r="4191">
          <cell r="K4191">
            <v>0</v>
          </cell>
          <cell r="M4191">
            <v>0</v>
          </cell>
          <cell r="P4191">
            <v>0</v>
          </cell>
        </row>
        <row r="4192">
          <cell r="K4192">
            <v>0</v>
          </cell>
          <cell r="M4192">
            <v>0</v>
          </cell>
          <cell r="P4192">
            <v>0</v>
          </cell>
        </row>
        <row r="4193">
          <cell r="K4193">
            <v>0</v>
          </cell>
          <cell r="M4193">
            <v>0</v>
          </cell>
          <cell r="P4193">
            <v>0</v>
          </cell>
        </row>
        <row r="4194">
          <cell r="K4194">
            <v>0</v>
          </cell>
          <cell r="M4194">
            <v>0</v>
          </cell>
          <cell r="P4194">
            <v>0</v>
          </cell>
        </row>
        <row r="4195">
          <cell r="K4195">
            <v>0</v>
          </cell>
          <cell r="M4195">
            <v>0</v>
          </cell>
          <cell r="P4195">
            <v>0</v>
          </cell>
        </row>
        <row r="4196">
          <cell r="K4196">
            <v>0</v>
          </cell>
          <cell r="M4196">
            <v>0</v>
          </cell>
          <cell r="P4196">
            <v>0</v>
          </cell>
        </row>
        <row r="4197">
          <cell r="K4197">
            <v>0</v>
          </cell>
          <cell r="M4197">
            <v>0</v>
          </cell>
          <cell r="P4197">
            <v>0</v>
          </cell>
        </row>
        <row r="4198">
          <cell r="K4198">
            <v>0</v>
          </cell>
          <cell r="M4198">
            <v>0</v>
          </cell>
          <cell r="P4198">
            <v>0</v>
          </cell>
        </row>
        <row r="4199">
          <cell r="K4199">
            <v>0</v>
          </cell>
          <cell r="M4199">
            <v>0</v>
          </cell>
          <cell r="P4199">
            <v>0</v>
          </cell>
        </row>
        <row r="4200">
          <cell r="K4200">
            <v>0</v>
          </cell>
          <cell r="M4200">
            <v>0</v>
          </cell>
          <cell r="P4200">
            <v>0</v>
          </cell>
        </row>
        <row r="4201">
          <cell r="K4201">
            <v>0</v>
          </cell>
          <cell r="M4201">
            <v>0</v>
          </cell>
          <cell r="P4201">
            <v>0</v>
          </cell>
        </row>
        <row r="4202">
          <cell r="K4202">
            <v>0</v>
          </cell>
          <cell r="M4202">
            <v>0</v>
          </cell>
          <cell r="P4202">
            <v>0</v>
          </cell>
        </row>
        <row r="4203">
          <cell r="K4203">
            <v>0</v>
          </cell>
          <cell r="M4203">
            <v>0</v>
          </cell>
          <cell r="P4203">
            <v>0</v>
          </cell>
        </row>
        <row r="4204">
          <cell r="K4204">
            <v>0</v>
          </cell>
          <cell r="M4204">
            <v>0</v>
          </cell>
          <cell r="P4204">
            <v>0</v>
          </cell>
        </row>
        <row r="4205">
          <cell r="K4205">
            <v>0</v>
          </cell>
          <cell r="M4205">
            <v>0</v>
          </cell>
          <cell r="P4205">
            <v>0</v>
          </cell>
        </row>
        <row r="4206">
          <cell r="K4206">
            <v>0</v>
          </cell>
          <cell r="M4206">
            <v>0</v>
          </cell>
          <cell r="P4206">
            <v>0</v>
          </cell>
        </row>
        <row r="4207">
          <cell r="K4207">
            <v>0</v>
          </cell>
          <cell r="M4207">
            <v>0</v>
          </cell>
          <cell r="P4207">
            <v>0</v>
          </cell>
        </row>
        <row r="4208">
          <cell r="K4208">
            <v>0</v>
          </cell>
          <cell r="M4208">
            <v>0</v>
          </cell>
          <cell r="P4208">
            <v>0</v>
          </cell>
        </row>
        <row r="4209">
          <cell r="K4209">
            <v>0</v>
          </cell>
          <cell r="M4209">
            <v>0</v>
          </cell>
          <cell r="P4209">
            <v>0</v>
          </cell>
        </row>
        <row r="4210">
          <cell r="K4210">
            <v>0</v>
          </cell>
          <cell r="M4210">
            <v>0</v>
          </cell>
          <cell r="P4210">
            <v>0</v>
          </cell>
        </row>
        <row r="4211">
          <cell r="K4211">
            <v>0</v>
          </cell>
          <cell r="M4211">
            <v>0</v>
          </cell>
          <cell r="P4211">
            <v>0</v>
          </cell>
        </row>
        <row r="4212">
          <cell r="K4212">
            <v>0</v>
          </cell>
          <cell r="M4212">
            <v>0</v>
          </cell>
          <cell r="P4212">
            <v>0</v>
          </cell>
        </row>
        <row r="4213">
          <cell r="K4213">
            <v>0</v>
          </cell>
          <cell r="M4213">
            <v>0</v>
          </cell>
          <cell r="P4213">
            <v>0</v>
          </cell>
        </row>
        <row r="4214">
          <cell r="K4214">
            <v>0</v>
          </cell>
          <cell r="M4214">
            <v>0</v>
          </cell>
          <cell r="P4214">
            <v>0</v>
          </cell>
        </row>
        <row r="4215">
          <cell r="K4215">
            <v>0</v>
          </cell>
          <cell r="M4215">
            <v>0</v>
          </cell>
          <cell r="P4215">
            <v>0</v>
          </cell>
        </row>
        <row r="4216">
          <cell r="K4216">
            <v>0</v>
          </cell>
          <cell r="M4216">
            <v>0</v>
          </cell>
          <cell r="P4216">
            <v>0</v>
          </cell>
        </row>
        <row r="4217">
          <cell r="K4217">
            <v>0</v>
          </cell>
          <cell r="M4217">
            <v>0</v>
          </cell>
          <cell r="P4217">
            <v>0</v>
          </cell>
        </row>
        <row r="4218">
          <cell r="K4218">
            <v>0</v>
          </cell>
          <cell r="M4218">
            <v>0</v>
          </cell>
          <cell r="P4218">
            <v>0</v>
          </cell>
        </row>
        <row r="4219">
          <cell r="K4219">
            <v>0</v>
          </cell>
          <cell r="M4219">
            <v>0</v>
          </cell>
          <cell r="P4219">
            <v>0</v>
          </cell>
        </row>
        <row r="4220">
          <cell r="K4220">
            <v>0</v>
          </cell>
          <cell r="M4220">
            <v>0</v>
          </cell>
          <cell r="P4220">
            <v>0</v>
          </cell>
        </row>
        <row r="4221">
          <cell r="K4221">
            <v>0</v>
          </cell>
          <cell r="M4221">
            <v>0</v>
          </cell>
          <cell r="P4221">
            <v>0</v>
          </cell>
        </row>
        <row r="4222">
          <cell r="K4222">
            <v>0</v>
          </cell>
          <cell r="M4222">
            <v>0</v>
          </cell>
          <cell r="P4222">
            <v>0</v>
          </cell>
        </row>
        <row r="4223">
          <cell r="K4223">
            <v>0</v>
          </cell>
          <cell r="M4223">
            <v>0</v>
          </cell>
          <cell r="P4223">
            <v>0</v>
          </cell>
        </row>
        <row r="4224">
          <cell r="K4224">
            <v>0</v>
          </cell>
          <cell r="M4224">
            <v>0</v>
          </cell>
          <cell r="P4224">
            <v>0</v>
          </cell>
        </row>
        <row r="4225">
          <cell r="K4225">
            <v>0</v>
          </cell>
          <cell r="M4225">
            <v>0</v>
          </cell>
          <cell r="P4225">
            <v>0</v>
          </cell>
        </row>
        <row r="4226">
          <cell r="K4226">
            <v>0</v>
          </cell>
          <cell r="M4226">
            <v>0</v>
          </cell>
          <cell r="P4226">
            <v>0</v>
          </cell>
        </row>
        <row r="4227">
          <cell r="K4227">
            <v>0</v>
          </cell>
          <cell r="M4227">
            <v>0</v>
          </cell>
          <cell r="P4227">
            <v>0</v>
          </cell>
        </row>
        <row r="4228">
          <cell r="K4228">
            <v>0</v>
          </cell>
          <cell r="M4228">
            <v>0</v>
          </cell>
          <cell r="P4228">
            <v>0</v>
          </cell>
        </row>
        <row r="4229">
          <cell r="K4229">
            <v>0</v>
          </cell>
          <cell r="M4229">
            <v>0</v>
          </cell>
          <cell r="P4229">
            <v>0</v>
          </cell>
        </row>
        <row r="4230">
          <cell r="K4230">
            <v>0</v>
          </cell>
          <cell r="M4230">
            <v>0</v>
          </cell>
          <cell r="P4230">
            <v>0</v>
          </cell>
        </row>
        <row r="4231">
          <cell r="K4231">
            <v>0</v>
          </cell>
          <cell r="M4231">
            <v>0</v>
          </cell>
          <cell r="P4231">
            <v>0</v>
          </cell>
        </row>
        <row r="4232">
          <cell r="K4232">
            <v>0</v>
          </cell>
          <cell r="M4232">
            <v>0</v>
          </cell>
          <cell r="P4232">
            <v>0</v>
          </cell>
        </row>
        <row r="4233">
          <cell r="K4233">
            <v>0</v>
          </cell>
          <cell r="M4233">
            <v>0</v>
          </cell>
          <cell r="P4233">
            <v>0</v>
          </cell>
        </row>
        <row r="4234">
          <cell r="K4234">
            <v>0</v>
          </cell>
          <cell r="M4234">
            <v>0</v>
          </cell>
          <cell r="P4234">
            <v>0</v>
          </cell>
        </row>
        <row r="4235">
          <cell r="K4235">
            <v>0</v>
          </cell>
          <cell r="M4235">
            <v>0</v>
          </cell>
          <cell r="P4235">
            <v>0</v>
          </cell>
        </row>
        <row r="4236">
          <cell r="K4236">
            <v>0</v>
          </cell>
          <cell r="M4236">
            <v>0</v>
          </cell>
          <cell r="P4236">
            <v>0</v>
          </cell>
        </row>
        <row r="4237">
          <cell r="K4237">
            <v>0</v>
          </cell>
          <cell r="M4237">
            <v>0</v>
          </cell>
          <cell r="P4237">
            <v>0</v>
          </cell>
        </row>
        <row r="4238">
          <cell r="K4238">
            <v>0</v>
          </cell>
          <cell r="M4238">
            <v>0</v>
          </cell>
          <cell r="P4238">
            <v>0</v>
          </cell>
        </row>
        <row r="4239">
          <cell r="K4239">
            <v>0</v>
          </cell>
          <cell r="M4239">
            <v>0</v>
          </cell>
          <cell r="P4239">
            <v>0</v>
          </cell>
        </row>
        <row r="4240">
          <cell r="K4240">
            <v>0</v>
          </cell>
          <cell r="M4240">
            <v>0</v>
          </cell>
          <cell r="P4240">
            <v>0</v>
          </cell>
        </row>
        <row r="4241">
          <cell r="K4241">
            <v>0</v>
          </cell>
          <cell r="M4241">
            <v>0</v>
          </cell>
          <cell r="P4241">
            <v>0</v>
          </cell>
        </row>
        <row r="4242">
          <cell r="K4242">
            <v>0</v>
          </cell>
          <cell r="M4242">
            <v>0</v>
          </cell>
          <cell r="P4242">
            <v>0</v>
          </cell>
        </row>
        <row r="4243">
          <cell r="K4243">
            <v>0</v>
          </cell>
          <cell r="M4243">
            <v>0</v>
          </cell>
          <cell r="P4243">
            <v>0</v>
          </cell>
        </row>
        <row r="4244">
          <cell r="K4244">
            <v>0</v>
          </cell>
          <cell r="M4244">
            <v>0</v>
          </cell>
          <cell r="P4244">
            <v>0</v>
          </cell>
        </row>
        <row r="4245">
          <cell r="K4245">
            <v>0</v>
          </cell>
          <cell r="M4245">
            <v>0</v>
          </cell>
          <cell r="P4245">
            <v>0</v>
          </cell>
        </row>
        <row r="4246">
          <cell r="K4246">
            <v>0</v>
          </cell>
          <cell r="M4246">
            <v>0</v>
          </cell>
          <cell r="P4246">
            <v>0</v>
          </cell>
        </row>
        <row r="4247">
          <cell r="K4247">
            <v>0</v>
          </cell>
          <cell r="M4247">
            <v>0</v>
          </cell>
          <cell r="P4247">
            <v>0</v>
          </cell>
        </row>
        <row r="4248">
          <cell r="K4248">
            <v>0</v>
          </cell>
          <cell r="M4248">
            <v>0</v>
          </cell>
          <cell r="P4248">
            <v>0</v>
          </cell>
        </row>
        <row r="4249">
          <cell r="K4249">
            <v>0</v>
          </cell>
          <cell r="M4249">
            <v>0</v>
          </cell>
          <cell r="P4249">
            <v>0</v>
          </cell>
        </row>
        <row r="4250">
          <cell r="K4250">
            <v>0</v>
          </cell>
          <cell r="M4250">
            <v>0</v>
          </cell>
          <cell r="P4250">
            <v>0</v>
          </cell>
        </row>
        <row r="4251">
          <cell r="K4251">
            <v>0</v>
          </cell>
          <cell r="M4251">
            <v>0</v>
          </cell>
          <cell r="P4251">
            <v>0</v>
          </cell>
        </row>
        <row r="4252">
          <cell r="K4252">
            <v>0</v>
          </cell>
          <cell r="M4252">
            <v>0</v>
          </cell>
          <cell r="P4252">
            <v>0</v>
          </cell>
        </row>
        <row r="4253">
          <cell r="K4253">
            <v>0</v>
          </cell>
          <cell r="M4253">
            <v>0</v>
          </cell>
          <cell r="P4253">
            <v>0</v>
          </cell>
        </row>
        <row r="4254">
          <cell r="K4254">
            <v>0</v>
          </cell>
          <cell r="M4254">
            <v>0</v>
          </cell>
          <cell r="P4254">
            <v>0</v>
          </cell>
        </row>
        <row r="4255">
          <cell r="K4255">
            <v>0</v>
          </cell>
          <cell r="M4255">
            <v>0</v>
          </cell>
          <cell r="P4255">
            <v>0</v>
          </cell>
        </row>
        <row r="4256">
          <cell r="K4256">
            <v>0</v>
          </cell>
          <cell r="M4256">
            <v>0</v>
          </cell>
          <cell r="P4256">
            <v>0</v>
          </cell>
        </row>
        <row r="4257">
          <cell r="K4257">
            <v>0</v>
          </cell>
          <cell r="M4257">
            <v>0</v>
          </cell>
          <cell r="P4257">
            <v>0</v>
          </cell>
        </row>
        <row r="4258">
          <cell r="K4258">
            <v>0</v>
          </cell>
          <cell r="M4258">
            <v>0</v>
          </cell>
          <cell r="P4258">
            <v>0</v>
          </cell>
        </row>
        <row r="4259">
          <cell r="K4259">
            <v>0</v>
          </cell>
          <cell r="M4259">
            <v>0</v>
          </cell>
          <cell r="P4259">
            <v>0</v>
          </cell>
        </row>
        <row r="4260">
          <cell r="K4260">
            <v>0</v>
          </cell>
          <cell r="M4260">
            <v>0</v>
          </cell>
          <cell r="P4260">
            <v>0</v>
          </cell>
        </row>
        <row r="4261">
          <cell r="K4261">
            <v>0</v>
          </cell>
          <cell r="M4261">
            <v>0</v>
          </cell>
          <cell r="P4261">
            <v>0</v>
          </cell>
        </row>
        <row r="4262">
          <cell r="K4262">
            <v>0</v>
          </cell>
          <cell r="M4262">
            <v>0</v>
          </cell>
          <cell r="P4262">
            <v>0</v>
          </cell>
        </row>
        <row r="4263">
          <cell r="K4263">
            <v>0</v>
          </cell>
          <cell r="M4263">
            <v>0</v>
          </cell>
          <cell r="P4263">
            <v>0</v>
          </cell>
        </row>
        <row r="4264">
          <cell r="K4264">
            <v>0</v>
          </cell>
          <cell r="M4264">
            <v>0</v>
          </cell>
          <cell r="P4264">
            <v>0</v>
          </cell>
        </row>
        <row r="4265">
          <cell r="K4265">
            <v>0</v>
          </cell>
          <cell r="M4265">
            <v>0</v>
          </cell>
          <cell r="P4265">
            <v>0</v>
          </cell>
        </row>
        <row r="4266">
          <cell r="K4266">
            <v>0</v>
          </cell>
          <cell r="M4266">
            <v>0</v>
          </cell>
          <cell r="P4266">
            <v>0</v>
          </cell>
        </row>
        <row r="4267">
          <cell r="K4267">
            <v>0</v>
          </cell>
          <cell r="M4267">
            <v>0</v>
          </cell>
          <cell r="P4267">
            <v>0</v>
          </cell>
        </row>
        <row r="4268">
          <cell r="K4268">
            <v>0</v>
          </cell>
          <cell r="M4268">
            <v>0</v>
          </cell>
          <cell r="P4268">
            <v>0</v>
          </cell>
        </row>
        <row r="4269">
          <cell r="K4269">
            <v>0</v>
          </cell>
          <cell r="M4269">
            <v>0</v>
          </cell>
          <cell r="P4269">
            <v>0</v>
          </cell>
        </row>
        <row r="4270">
          <cell r="K4270">
            <v>0</v>
          </cell>
          <cell r="M4270">
            <v>0</v>
          </cell>
          <cell r="P4270">
            <v>0</v>
          </cell>
        </row>
        <row r="4271">
          <cell r="K4271">
            <v>0</v>
          </cell>
          <cell r="M4271">
            <v>0</v>
          </cell>
          <cell r="P4271">
            <v>0</v>
          </cell>
        </row>
        <row r="4272">
          <cell r="K4272">
            <v>0</v>
          </cell>
          <cell r="M4272">
            <v>0</v>
          </cell>
          <cell r="P4272">
            <v>0</v>
          </cell>
        </row>
        <row r="4273">
          <cell r="K4273">
            <v>0</v>
          </cell>
          <cell r="M4273">
            <v>0</v>
          </cell>
          <cell r="P4273">
            <v>0</v>
          </cell>
        </row>
        <row r="4274">
          <cell r="K4274">
            <v>0</v>
          </cell>
          <cell r="M4274">
            <v>0</v>
          </cell>
          <cell r="P4274">
            <v>0</v>
          </cell>
        </row>
        <row r="4275">
          <cell r="K4275">
            <v>0</v>
          </cell>
          <cell r="M4275">
            <v>0</v>
          </cell>
          <cell r="P4275">
            <v>0</v>
          </cell>
        </row>
        <row r="4276">
          <cell r="K4276">
            <v>0</v>
          </cell>
          <cell r="M4276">
            <v>0</v>
          </cell>
          <cell r="P4276">
            <v>0</v>
          </cell>
        </row>
        <row r="4277">
          <cell r="K4277">
            <v>0</v>
          </cell>
          <cell r="M4277">
            <v>0</v>
          </cell>
          <cell r="P4277">
            <v>0</v>
          </cell>
        </row>
        <row r="4278">
          <cell r="K4278">
            <v>0</v>
          </cell>
          <cell r="M4278">
            <v>0</v>
          </cell>
          <cell r="P4278">
            <v>0</v>
          </cell>
        </row>
        <row r="4279">
          <cell r="K4279">
            <v>0</v>
          </cell>
          <cell r="M4279">
            <v>0</v>
          </cell>
          <cell r="P4279">
            <v>0</v>
          </cell>
        </row>
        <row r="4280">
          <cell r="K4280">
            <v>0</v>
          </cell>
          <cell r="M4280">
            <v>0</v>
          </cell>
          <cell r="P4280">
            <v>0</v>
          </cell>
        </row>
        <row r="4281">
          <cell r="K4281">
            <v>0</v>
          </cell>
          <cell r="M4281">
            <v>0</v>
          </cell>
          <cell r="P4281">
            <v>0</v>
          </cell>
        </row>
        <row r="4282">
          <cell r="K4282">
            <v>0</v>
          </cell>
          <cell r="M4282">
            <v>0</v>
          </cell>
          <cell r="P4282">
            <v>0</v>
          </cell>
        </row>
        <row r="4283">
          <cell r="K4283">
            <v>0</v>
          </cell>
          <cell r="M4283">
            <v>0</v>
          </cell>
          <cell r="P4283">
            <v>0</v>
          </cell>
        </row>
        <row r="4284">
          <cell r="K4284">
            <v>0</v>
          </cell>
          <cell r="M4284">
            <v>0</v>
          </cell>
          <cell r="P4284">
            <v>0</v>
          </cell>
        </row>
        <row r="4285">
          <cell r="K4285">
            <v>0</v>
          </cell>
          <cell r="M4285">
            <v>0</v>
          </cell>
          <cell r="P4285">
            <v>0</v>
          </cell>
        </row>
        <row r="4286">
          <cell r="K4286">
            <v>0</v>
          </cell>
          <cell r="M4286">
            <v>0</v>
          </cell>
          <cell r="P4286">
            <v>0</v>
          </cell>
        </row>
        <row r="4287">
          <cell r="K4287">
            <v>0</v>
          </cell>
          <cell r="M4287">
            <v>0</v>
          </cell>
          <cell r="P4287">
            <v>0</v>
          </cell>
        </row>
        <row r="4288">
          <cell r="K4288">
            <v>0</v>
          </cell>
          <cell r="M4288">
            <v>0</v>
          </cell>
          <cell r="P4288">
            <v>0</v>
          </cell>
        </row>
        <row r="4289">
          <cell r="K4289">
            <v>0</v>
          </cell>
          <cell r="M4289">
            <v>0</v>
          </cell>
          <cell r="P4289">
            <v>0</v>
          </cell>
        </row>
        <row r="4290">
          <cell r="K4290">
            <v>0</v>
          </cell>
          <cell r="M4290">
            <v>0</v>
          </cell>
          <cell r="P4290">
            <v>0</v>
          </cell>
        </row>
        <row r="4291">
          <cell r="K4291">
            <v>0</v>
          </cell>
          <cell r="M4291">
            <v>0</v>
          </cell>
          <cell r="P4291">
            <v>0</v>
          </cell>
        </row>
        <row r="4292">
          <cell r="K4292">
            <v>0</v>
          </cell>
          <cell r="M4292">
            <v>0</v>
          </cell>
          <cell r="P4292">
            <v>0</v>
          </cell>
        </row>
        <row r="4293">
          <cell r="K4293">
            <v>0</v>
          </cell>
          <cell r="M4293">
            <v>0</v>
          </cell>
          <cell r="P4293">
            <v>0</v>
          </cell>
        </row>
        <row r="4294">
          <cell r="K4294">
            <v>0</v>
          </cell>
          <cell r="M4294">
            <v>0</v>
          </cell>
          <cell r="P4294">
            <v>0</v>
          </cell>
        </row>
        <row r="4295">
          <cell r="K4295">
            <v>0</v>
          </cell>
          <cell r="M4295">
            <v>0</v>
          </cell>
          <cell r="P4295">
            <v>0</v>
          </cell>
        </row>
        <row r="4296">
          <cell r="K4296">
            <v>0</v>
          </cell>
          <cell r="M4296">
            <v>0</v>
          </cell>
          <cell r="P4296">
            <v>0</v>
          </cell>
        </row>
        <row r="4297">
          <cell r="K4297">
            <v>0</v>
          </cell>
          <cell r="M4297">
            <v>0</v>
          </cell>
          <cell r="P4297">
            <v>0</v>
          </cell>
        </row>
        <row r="4298">
          <cell r="K4298">
            <v>0</v>
          </cell>
          <cell r="M4298">
            <v>0</v>
          </cell>
          <cell r="P4298">
            <v>0</v>
          </cell>
        </row>
        <row r="4299">
          <cell r="K4299">
            <v>0</v>
          </cell>
          <cell r="M4299">
            <v>0</v>
          </cell>
          <cell r="P4299">
            <v>0</v>
          </cell>
        </row>
        <row r="4300">
          <cell r="K4300">
            <v>0</v>
          </cell>
          <cell r="M4300">
            <v>0</v>
          </cell>
          <cell r="P4300">
            <v>0</v>
          </cell>
        </row>
        <row r="4301">
          <cell r="K4301">
            <v>0</v>
          </cell>
          <cell r="M4301">
            <v>0</v>
          </cell>
          <cell r="P4301">
            <v>0</v>
          </cell>
        </row>
        <row r="4302">
          <cell r="K4302">
            <v>0</v>
          </cell>
          <cell r="M4302">
            <v>0</v>
          </cell>
          <cell r="P4302">
            <v>0</v>
          </cell>
        </row>
        <row r="4303">
          <cell r="K4303">
            <v>0</v>
          </cell>
          <cell r="M4303">
            <v>0</v>
          </cell>
          <cell r="P4303">
            <v>0</v>
          </cell>
        </row>
        <row r="4304">
          <cell r="K4304">
            <v>0</v>
          </cell>
          <cell r="M4304">
            <v>0</v>
          </cell>
          <cell r="P4304">
            <v>0</v>
          </cell>
        </row>
        <row r="4305">
          <cell r="K4305">
            <v>0</v>
          </cell>
          <cell r="M4305">
            <v>0</v>
          </cell>
          <cell r="P4305">
            <v>0</v>
          </cell>
        </row>
        <row r="4306">
          <cell r="K4306">
            <v>0</v>
          </cell>
          <cell r="M4306">
            <v>0</v>
          </cell>
          <cell r="P4306">
            <v>0</v>
          </cell>
        </row>
        <row r="4307">
          <cell r="K4307">
            <v>0</v>
          </cell>
          <cell r="M4307">
            <v>0</v>
          </cell>
          <cell r="P4307">
            <v>0</v>
          </cell>
        </row>
        <row r="4308">
          <cell r="K4308">
            <v>0</v>
          </cell>
          <cell r="M4308">
            <v>0</v>
          </cell>
          <cell r="P4308">
            <v>0</v>
          </cell>
        </row>
        <row r="4309">
          <cell r="K4309">
            <v>0</v>
          </cell>
          <cell r="M4309">
            <v>0</v>
          </cell>
          <cell r="P4309">
            <v>0</v>
          </cell>
        </row>
        <row r="4310">
          <cell r="K4310">
            <v>0</v>
          </cell>
          <cell r="M4310">
            <v>0</v>
          </cell>
          <cell r="P4310">
            <v>0</v>
          </cell>
        </row>
        <row r="4311">
          <cell r="K4311">
            <v>0</v>
          </cell>
          <cell r="M4311">
            <v>0</v>
          </cell>
          <cell r="P4311">
            <v>0</v>
          </cell>
        </row>
        <row r="4312">
          <cell r="K4312">
            <v>0</v>
          </cell>
          <cell r="M4312">
            <v>0</v>
          </cell>
          <cell r="P4312">
            <v>0</v>
          </cell>
        </row>
        <row r="4313">
          <cell r="K4313">
            <v>0</v>
          </cell>
          <cell r="M4313">
            <v>0</v>
          </cell>
          <cell r="P4313">
            <v>0</v>
          </cell>
        </row>
        <row r="4314">
          <cell r="K4314">
            <v>0</v>
          </cell>
          <cell r="M4314">
            <v>0</v>
          </cell>
          <cell r="P4314">
            <v>0</v>
          </cell>
        </row>
        <row r="4315">
          <cell r="K4315">
            <v>0</v>
          </cell>
          <cell r="M4315">
            <v>0</v>
          </cell>
          <cell r="P4315">
            <v>0</v>
          </cell>
        </row>
        <row r="4316">
          <cell r="K4316">
            <v>0</v>
          </cell>
          <cell r="M4316">
            <v>0</v>
          </cell>
          <cell r="P4316">
            <v>0</v>
          </cell>
        </row>
        <row r="4317">
          <cell r="K4317">
            <v>0</v>
          </cell>
          <cell r="M4317">
            <v>0</v>
          </cell>
          <cell r="P4317">
            <v>0</v>
          </cell>
        </row>
        <row r="4318">
          <cell r="K4318">
            <v>0</v>
          </cell>
          <cell r="M4318">
            <v>0</v>
          </cell>
          <cell r="P4318">
            <v>0</v>
          </cell>
        </row>
        <row r="4319">
          <cell r="K4319">
            <v>0</v>
          </cell>
          <cell r="M4319">
            <v>0</v>
          </cell>
          <cell r="P4319">
            <v>0</v>
          </cell>
        </row>
        <row r="4320">
          <cell r="K4320">
            <v>0</v>
          </cell>
          <cell r="M4320">
            <v>0</v>
          </cell>
          <cell r="P4320">
            <v>0</v>
          </cell>
        </row>
        <row r="4321">
          <cell r="K4321">
            <v>0</v>
          </cell>
          <cell r="M4321">
            <v>0</v>
          </cell>
          <cell r="P4321">
            <v>0</v>
          </cell>
        </row>
        <row r="4322">
          <cell r="K4322">
            <v>0</v>
          </cell>
          <cell r="M4322">
            <v>0</v>
          </cell>
          <cell r="P4322">
            <v>0</v>
          </cell>
        </row>
        <row r="4323">
          <cell r="K4323">
            <v>0</v>
          </cell>
          <cell r="M4323">
            <v>0</v>
          </cell>
          <cell r="P4323">
            <v>0</v>
          </cell>
        </row>
        <row r="4324">
          <cell r="K4324">
            <v>0</v>
          </cell>
          <cell r="M4324">
            <v>0</v>
          </cell>
          <cell r="P4324">
            <v>0</v>
          </cell>
        </row>
        <row r="4325">
          <cell r="K4325">
            <v>0</v>
          </cell>
          <cell r="M4325">
            <v>0</v>
          </cell>
          <cell r="P4325">
            <v>0</v>
          </cell>
        </row>
        <row r="4326">
          <cell r="K4326">
            <v>0</v>
          </cell>
          <cell r="M4326">
            <v>0</v>
          </cell>
          <cell r="P4326">
            <v>0</v>
          </cell>
        </row>
        <row r="4327">
          <cell r="K4327">
            <v>0</v>
          </cell>
          <cell r="M4327">
            <v>0</v>
          </cell>
          <cell r="P4327">
            <v>0</v>
          </cell>
        </row>
        <row r="4328">
          <cell r="K4328">
            <v>0</v>
          </cell>
          <cell r="M4328">
            <v>0</v>
          </cell>
          <cell r="P4328">
            <v>0</v>
          </cell>
        </row>
        <row r="4329">
          <cell r="K4329">
            <v>0</v>
          </cell>
          <cell r="M4329">
            <v>0</v>
          </cell>
          <cell r="P4329">
            <v>0</v>
          </cell>
        </row>
        <row r="4330">
          <cell r="K4330">
            <v>0</v>
          </cell>
          <cell r="M4330">
            <v>0</v>
          </cell>
          <cell r="P4330">
            <v>0</v>
          </cell>
        </row>
        <row r="4331">
          <cell r="K4331">
            <v>0</v>
          </cell>
          <cell r="M4331">
            <v>0</v>
          </cell>
          <cell r="P4331">
            <v>0</v>
          </cell>
        </row>
        <row r="4332">
          <cell r="K4332">
            <v>0</v>
          </cell>
          <cell r="M4332">
            <v>0</v>
          </cell>
          <cell r="P4332">
            <v>0</v>
          </cell>
        </row>
        <row r="4333">
          <cell r="K4333">
            <v>0</v>
          </cell>
          <cell r="M4333">
            <v>0</v>
          </cell>
          <cell r="P4333">
            <v>0</v>
          </cell>
        </row>
        <row r="4334">
          <cell r="K4334">
            <v>0</v>
          </cell>
          <cell r="M4334">
            <v>0</v>
          </cell>
          <cell r="P4334">
            <v>0</v>
          </cell>
        </row>
        <row r="4335">
          <cell r="K4335">
            <v>0</v>
          </cell>
          <cell r="M4335">
            <v>0</v>
          </cell>
          <cell r="P4335">
            <v>0</v>
          </cell>
        </row>
        <row r="4336">
          <cell r="K4336">
            <v>0</v>
          </cell>
          <cell r="M4336">
            <v>0</v>
          </cell>
          <cell r="P4336">
            <v>0</v>
          </cell>
        </row>
        <row r="4337">
          <cell r="K4337">
            <v>0</v>
          </cell>
          <cell r="M4337">
            <v>0</v>
          </cell>
          <cell r="P4337">
            <v>0</v>
          </cell>
        </row>
        <row r="4338">
          <cell r="K4338">
            <v>0</v>
          </cell>
          <cell r="M4338">
            <v>0</v>
          </cell>
          <cell r="P4338">
            <v>0</v>
          </cell>
        </row>
        <row r="4339">
          <cell r="K4339">
            <v>0</v>
          </cell>
          <cell r="M4339">
            <v>0</v>
          </cell>
          <cell r="P4339">
            <v>0</v>
          </cell>
        </row>
        <row r="4340">
          <cell r="K4340">
            <v>0</v>
          </cell>
          <cell r="M4340">
            <v>0</v>
          </cell>
          <cell r="P4340">
            <v>0</v>
          </cell>
        </row>
        <row r="4341">
          <cell r="K4341">
            <v>0</v>
          </cell>
          <cell r="M4341">
            <v>0</v>
          </cell>
          <cell r="P4341">
            <v>0</v>
          </cell>
        </row>
        <row r="4342">
          <cell r="K4342">
            <v>0</v>
          </cell>
          <cell r="M4342">
            <v>0</v>
          </cell>
          <cell r="P4342">
            <v>0</v>
          </cell>
        </row>
        <row r="4343">
          <cell r="K4343">
            <v>0</v>
          </cell>
          <cell r="M4343">
            <v>0</v>
          </cell>
          <cell r="P4343">
            <v>0</v>
          </cell>
        </row>
        <row r="4344">
          <cell r="K4344">
            <v>0</v>
          </cell>
          <cell r="M4344">
            <v>0</v>
          </cell>
          <cell r="P4344">
            <v>0</v>
          </cell>
        </row>
        <row r="4345">
          <cell r="K4345">
            <v>0</v>
          </cell>
          <cell r="M4345">
            <v>0</v>
          </cell>
          <cell r="P4345">
            <v>0</v>
          </cell>
        </row>
        <row r="4346">
          <cell r="K4346">
            <v>0</v>
          </cell>
          <cell r="M4346">
            <v>0</v>
          </cell>
          <cell r="P4346">
            <v>0</v>
          </cell>
        </row>
        <row r="4347">
          <cell r="K4347">
            <v>0</v>
          </cell>
          <cell r="M4347">
            <v>0</v>
          </cell>
          <cell r="P4347">
            <v>0</v>
          </cell>
        </row>
        <row r="4348">
          <cell r="K4348">
            <v>0</v>
          </cell>
          <cell r="M4348">
            <v>0</v>
          </cell>
          <cell r="P4348">
            <v>0</v>
          </cell>
        </row>
        <row r="4349">
          <cell r="K4349">
            <v>0</v>
          </cell>
          <cell r="M4349">
            <v>0</v>
          </cell>
          <cell r="P4349">
            <v>0</v>
          </cell>
        </row>
        <row r="4350">
          <cell r="K4350">
            <v>0</v>
          </cell>
          <cell r="M4350">
            <v>0</v>
          </cell>
          <cell r="P4350">
            <v>0</v>
          </cell>
        </row>
        <row r="4351">
          <cell r="K4351">
            <v>0</v>
          </cell>
          <cell r="M4351">
            <v>0</v>
          </cell>
          <cell r="P4351">
            <v>0</v>
          </cell>
        </row>
        <row r="4352">
          <cell r="K4352">
            <v>0</v>
          </cell>
          <cell r="M4352">
            <v>0</v>
          </cell>
          <cell r="P4352">
            <v>0</v>
          </cell>
        </row>
        <row r="4353">
          <cell r="K4353">
            <v>0</v>
          </cell>
          <cell r="M4353">
            <v>0</v>
          </cell>
          <cell r="P4353">
            <v>0</v>
          </cell>
        </row>
        <row r="4354">
          <cell r="K4354">
            <v>0</v>
          </cell>
          <cell r="M4354">
            <v>0</v>
          </cell>
          <cell r="P4354">
            <v>0</v>
          </cell>
        </row>
        <row r="4355">
          <cell r="K4355">
            <v>0</v>
          </cell>
          <cell r="M4355">
            <v>0</v>
          </cell>
          <cell r="P4355">
            <v>0</v>
          </cell>
        </row>
        <row r="4356">
          <cell r="K4356">
            <v>0</v>
          </cell>
          <cell r="M4356">
            <v>0</v>
          </cell>
          <cell r="P4356">
            <v>0</v>
          </cell>
        </row>
        <row r="4357">
          <cell r="K4357">
            <v>0</v>
          </cell>
          <cell r="M4357">
            <v>0</v>
          </cell>
          <cell r="P4357">
            <v>0</v>
          </cell>
        </row>
        <row r="4358">
          <cell r="K4358">
            <v>0</v>
          </cell>
          <cell r="M4358">
            <v>0</v>
          </cell>
          <cell r="P4358">
            <v>0</v>
          </cell>
        </row>
        <row r="4359">
          <cell r="K4359">
            <v>0</v>
          </cell>
          <cell r="M4359">
            <v>0</v>
          </cell>
          <cell r="P4359">
            <v>0</v>
          </cell>
        </row>
        <row r="4360">
          <cell r="K4360">
            <v>0</v>
          </cell>
          <cell r="M4360">
            <v>0</v>
          </cell>
          <cell r="P4360">
            <v>0</v>
          </cell>
        </row>
        <row r="4361">
          <cell r="K4361">
            <v>0</v>
          </cell>
          <cell r="M4361">
            <v>0</v>
          </cell>
          <cell r="P4361">
            <v>0</v>
          </cell>
        </row>
        <row r="4362">
          <cell r="K4362">
            <v>0</v>
          </cell>
          <cell r="M4362">
            <v>0</v>
          </cell>
          <cell r="P4362">
            <v>0</v>
          </cell>
        </row>
        <row r="4363">
          <cell r="K4363">
            <v>0</v>
          </cell>
          <cell r="M4363">
            <v>0</v>
          </cell>
          <cell r="P4363">
            <v>0</v>
          </cell>
        </row>
        <row r="4364">
          <cell r="K4364">
            <v>0</v>
          </cell>
          <cell r="M4364">
            <v>0</v>
          </cell>
          <cell r="P4364">
            <v>0</v>
          </cell>
        </row>
        <row r="4365">
          <cell r="K4365">
            <v>0</v>
          </cell>
          <cell r="M4365">
            <v>0</v>
          </cell>
          <cell r="P4365">
            <v>0</v>
          </cell>
        </row>
        <row r="4366">
          <cell r="K4366">
            <v>0</v>
          </cell>
          <cell r="M4366">
            <v>0</v>
          </cell>
          <cell r="P4366">
            <v>0</v>
          </cell>
        </row>
        <row r="4367">
          <cell r="K4367">
            <v>0</v>
          </cell>
          <cell r="M4367">
            <v>0</v>
          </cell>
          <cell r="P4367">
            <v>0</v>
          </cell>
        </row>
        <row r="4368">
          <cell r="K4368">
            <v>0</v>
          </cell>
          <cell r="M4368">
            <v>0</v>
          </cell>
          <cell r="P4368">
            <v>0</v>
          </cell>
        </row>
        <row r="4369">
          <cell r="K4369">
            <v>0</v>
          </cell>
          <cell r="M4369">
            <v>0</v>
          </cell>
          <cell r="P4369">
            <v>0</v>
          </cell>
        </row>
        <row r="4370">
          <cell r="K4370">
            <v>0</v>
          </cell>
          <cell r="M4370">
            <v>0</v>
          </cell>
          <cell r="P4370">
            <v>0</v>
          </cell>
        </row>
        <row r="4371">
          <cell r="K4371">
            <v>0</v>
          </cell>
          <cell r="M4371">
            <v>0</v>
          </cell>
          <cell r="P4371">
            <v>0</v>
          </cell>
        </row>
        <row r="4372">
          <cell r="K4372">
            <v>0</v>
          </cell>
          <cell r="M4372">
            <v>0</v>
          </cell>
          <cell r="P4372">
            <v>0</v>
          </cell>
        </row>
        <row r="4373">
          <cell r="K4373">
            <v>0</v>
          </cell>
          <cell r="M4373">
            <v>0</v>
          </cell>
          <cell r="P4373">
            <v>0</v>
          </cell>
        </row>
        <row r="4374">
          <cell r="K4374">
            <v>0</v>
          </cell>
          <cell r="M4374">
            <v>0</v>
          </cell>
          <cell r="P4374">
            <v>0</v>
          </cell>
        </row>
        <row r="4375">
          <cell r="K4375">
            <v>0</v>
          </cell>
          <cell r="M4375">
            <v>0</v>
          </cell>
          <cell r="P4375">
            <v>0</v>
          </cell>
        </row>
        <row r="4376">
          <cell r="K4376">
            <v>0</v>
          </cell>
          <cell r="M4376">
            <v>0</v>
          </cell>
          <cell r="P4376">
            <v>0</v>
          </cell>
        </row>
        <row r="4377">
          <cell r="K4377">
            <v>0</v>
          </cell>
          <cell r="M4377">
            <v>0</v>
          </cell>
          <cell r="P4377">
            <v>0</v>
          </cell>
        </row>
        <row r="4378">
          <cell r="K4378">
            <v>0</v>
          </cell>
          <cell r="M4378">
            <v>0</v>
          </cell>
          <cell r="P4378">
            <v>0</v>
          </cell>
        </row>
        <row r="4379">
          <cell r="K4379">
            <v>0</v>
          </cell>
          <cell r="M4379">
            <v>0</v>
          </cell>
          <cell r="P4379">
            <v>0</v>
          </cell>
        </row>
        <row r="4380">
          <cell r="K4380">
            <v>0</v>
          </cell>
          <cell r="M4380">
            <v>0</v>
          </cell>
          <cell r="P4380">
            <v>0</v>
          </cell>
        </row>
        <row r="4381">
          <cell r="K4381">
            <v>0</v>
          </cell>
          <cell r="M4381">
            <v>0</v>
          </cell>
          <cell r="P4381">
            <v>0</v>
          </cell>
        </row>
        <row r="4382">
          <cell r="K4382">
            <v>0</v>
          </cell>
          <cell r="M4382">
            <v>0</v>
          </cell>
          <cell r="P4382">
            <v>0</v>
          </cell>
        </row>
        <row r="4383">
          <cell r="K4383">
            <v>0</v>
          </cell>
          <cell r="M4383">
            <v>0</v>
          </cell>
          <cell r="P4383">
            <v>0</v>
          </cell>
        </row>
        <row r="4384">
          <cell r="K4384">
            <v>0</v>
          </cell>
          <cell r="M4384">
            <v>0</v>
          </cell>
          <cell r="P4384">
            <v>0</v>
          </cell>
        </row>
        <row r="4385">
          <cell r="K4385">
            <v>0</v>
          </cell>
          <cell r="M4385">
            <v>0</v>
          </cell>
          <cell r="P4385">
            <v>0</v>
          </cell>
        </row>
        <row r="4386">
          <cell r="K4386">
            <v>0</v>
          </cell>
          <cell r="M4386">
            <v>0</v>
          </cell>
          <cell r="P4386">
            <v>0</v>
          </cell>
        </row>
        <row r="4387">
          <cell r="K4387">
            <v>0</v>
          </cell>
          <cell r="M4387">
            <v>0</v>
          </cell>
          <cell r="P4387">
            <v>0</v>
          </cell>
        </row>
        <row r="4388">
          <cell r="K4388">
            <v>0</v>
          </cell>
          <cell r="M4388">
            <v>0</v>
          </cell>
          <cell r="P4388">
            <v>0</v>
          </cell>
        </row>
        <row r="4389">
          <cell r="K4389">
            <v>0</v>
          </cell>
          <cell r="M4389">
            <v>0</v>
          </cell>
          <cell r="P4389">
            <v>0</v>
          </cell>
        </row>
        <row r="4390">
          <cell r="K4390">
            <v>0</v>
          </cell>
          <cell r="M4390">
            <v>0</v>
          </cell>
          <cell r="P4390">
            <v>0</v>
          </cell>
        </row>
        <row r="4391">
          <cell r="K4391">
            <v>0</v>
          </cell>
          <cell r="M4391">
            <v>0</v>
          </cell>
          <cell r="P4391">
            <v>0</v>
          </cell>
        </row>
        <row r="4392">
          <cell r="K4392">
            <v>0</v>
          </cell>
          <cell r="M4392">
            <v>0</v>
          </cell>
          <cell r="P4392">
            <v>0</v>
          </cell>
        </row>
        <row r="4393">
          <cell r="K4393">
            <v>0</v>
          </cell>
          <cell r="M4393">
            <v>0</v>
          </cell>
          <cell r="P4393">
            <v>0</v>
          </cell>
        </row>
        <row r="4394">
          <cell r="K4394">
            <v>0</v>
          </cell>
          <cell r="M4394">
            <v>0</v>
          </cell>
          <cell r="P4394">
            <v>0</v>
          </cell>
        </row>
        <row r="4395">
          <cell r="K4395">
            <v>0</v>
          </cell>
          <cell r="M4395">
            <v>0</v>
          </cell>
          <cell r="P4395">
            <v>0</v>
          </cell>
        </row>
        <row r="4396">
          <cell r="K4396">
            <v>0</v>
          </cell>
          <cell r="M4396">
            <v>0</v>
          </cell>
          <cell r="P4396">
            <v>0</v>
          </cell>
        </row>
        <row r="4397">
          <cell r="K4397">
            <v>0</v>
          </cell>
          <cell r="M4397">
            <v>0</v>
          </cell>
          <cell r="P4397">
            <v>0</v>
          </cell>
        </row>
        <row r="4398">
          <cell r="K4398">
            <v>0</v>
          </cell>
          <cell r="M4398">
            <v>0</v>
          </cell>
          <cell r="P4398">
            <v>0</v>
          </cell>
        </row>
        <row r="4399">
          <cell r="K4399">
            <v>0</v>
          </cell>
          <cell r="M4399">
            <v>0</v>
          </cell>
          <cell r="P4399">
            <v>0</v>
          </cell>
        </row>
        <row r="4400">
          <cell r="K4400">
            <v>0</v>
          </cell>
          <cell r="M4400">
            <v>0</v>
          </cell>
          <cell r="P4400">
            <v>0</v>
          </cell>
        </row>
        <row r="4401">
          <cell r="K4401">
            <v>0</v>
          </cell>
          <cell r="M4401">
            <v>0</v>
          </cell>
          <cell r="P4401">
            <v>0</v>
          </cell>
        </row>
        <row r="4402">
          <cell r="K4402">
            <v>0</v>
          </cell>
          <cell r="M4402">
            <v>0</v>
          </cell>
          <cell r="P4402">
            <v>0</v>
          </cell>
        </row>
        <row r="4403">
          <cell r="K4403">
            <v>0</v>
          </cell>
          <cell r="M4403">
            <v>0</v>
          </cell>
          <cell r="P4403">
            <v>0</v>
          </cell>
        </row>
        <row r="4404">
          <cell r="K4404">
            <v>0</v>
          </cell>
          <cell r="M4404">
            <v>0</v>
          </cell>
          <cell r="P4404">
            <v>0</v>
          </cell>
        </row>
        <row r="4405">
          <cell r="K4405">
            <v>0</v>
          </cell>
          <cell r="M4405">
            <v>0</v>
          </cell>
          <cell r="P4405">
            <v>0</v>
          </cell>
        </row>
        <row r="4406">
          <cell r="K4406">
            <v>0</v>
          </cell>
          <cell r="M4406">
            <v>0</v>
          </cell>
          <cell r="P4406">
            <v>0</v>
          </cell>
        </row>
        <row r="4407">
          <cell r="K4407">
            <v>0</v>
          </cell>
          <cell r="M4407">
            <v>0</v>
          </cell>
          <cell r="P4407">
            <v>0</v>
          </cell>
        </row>
        <row r="4408">
          <cell r="K4408">
            <v>0</v>
          </cell>
          <cell r="M4408">
            <v>0</v>
          </cell>
          <cell r="P4408">
            <v>0</v>
          </cell>
        </row>
        <row r="4409">
          <cell r="K4409">
            <v>0</v>
          </cell>
          <cell r="M4409">
            <v>0</v>
          </cell>
          <cell r="P4409">
            <v>0</v>
          </cell>
        </row>
        <row r="4410">
          <cell r="K4410">
            <v>0</v>
          </cell>
          <cell r="M4410">
            <v>0</v>
          </cell>
          <cell r="P4410">
            <v>0</v>
          </cell>
        </row>
        <row r="4411">
          <cell r="K4411">
            <v>0</v>
          </cell>
          <cell r="M4411">
            <v>0</v>
          </cell>
          <cell r="P4411">
            <v>0</v>
          </cell>
        </row>
        <row r="4412">
          <cell r="K4412">
            <v>0</v>
          </cell>
          <cell r="M4412">
            <v>0</v>
          </cell>
          <cell r="P4412">
            <v>0</v>
          </cell>
        </row>
        <row r="4413">
          <cell r="K4413">
            <v>0</v>
          </cell>
          <cell r="M4413">
            <v>0</v>
          </cell>
          <cell r="P4413">
            <v>0</v>
          </cell>
        </row>
        <row r="4414">
          <cell r="K4414">
            <v>0</v>
          </cell>
          <cell r="M4414">
            <v>0</v>
          </cell>
          <cell r="P4414">
            <v>0</v>
          </cell>
        </row>
        <row r="4415">
          <cell r="K4415">
            <v>0</v>
          </cell>
          <cell r="M4415">
            <v>0</v>
          </cell>
          <cell r="P4415">
            <v>0</v>
          </cell>
        </row>
        <row r="4416">
          <cell r="K4416">
            <v>0</v>
          </cell>
          <cell r="M4416">
            <v>0</v>
          </cell>
          <cell r="P4416">
            <v>0</v>
          </cell>
        </row>
        <row r="4417">
          <cell r="K4417">
            <v>0</v>
          </cell>
          <cell r="M4417">
            <v>0</v>
          </cell>
          <cell r="P4417">
            <v>0</v>
          </cell>
        </row>
        <row r="4418">
          <cell r="K4418">
            <v>0</v>
          </cell>
          <cell r="M4418">
            <v>0</v>
          </cell>
          <cell r="P4418">
            <v>0</v>
          </cell>
        </row>
        <row r="4419">
          <cell r="K4419">
            <v>0</v>
          </cell>
          <cell r="M4419">
            <v>0</v>
          </cell>
          <cell r="P4419">
            <v>0</v>
          </cell>
        </row>
        <row r="4420">
          <cell r="K4420">
            <v>0</v>
          </cell>
          <cell r="M4420">
            <v>0</v>
          </cell>
          <cell r="P4420">
            <v>0</v>
          </cell>
        </row>
        <row r="4421">
          <cell r="K4421">
            <v>0</v>
          </cell>
          <cell r="M4421">
            <v>0</v>
          </cell>
          <cell r="P4421">
            <v>0</v>
          </cell>
        </row>
        <row r="4422">
          <cell r="K4422">
            <v>0</v>
          </cell>
          <cell r="M4422">
            <v>0</v>
          </cell>
          <cell r="P4422">
            <v>0</v>
          </cell>
        </row>
        <row r="4423">
          <cell r="K4423">
            <v>0</v>
          </cell>
          <cell r="M4423">
            <v>0</v>
          </cell>
          <cell r="P4423">
            <v>0</v>
          </cell>
        </row>
        <row r="4424">
          <cell r="K4424">
            <v>0</v>
          </cell>
          <cell r="M4424">
            <v>0</v>
          </cell>
          <cell r="P4424">
            <v>0</v>
          </cell>
        </row>
        <row r="4425">
          <cell r="K4425">
            <v>0</v>
          </cell>
          <cell r="M4425">
            <v>0</v>
          </cell>
          <cell r="P4425">
            <v>0</v>
          </cell>
        </row>
        <row r="4426">
          <cell r="K4426">
            <v>0</v>
          </cell>
          <cell r="M4426">
            <v>0</v>
          </cell>
          <cell r="P4426">
            <v>0</v>
          </cell>
        </row>
        <row r="4427">
          <cell r="K4427">
            <v>0</v>
          </cell>
          <cell r="M4427">
            <v>0</v>
          </cell>
          <cell r="P4427">
            <v>0</v>
          </cell>
        </row>
        <row r="4428">
          <cell r="K4428">
            <v>0</v>
          </cell>
          <cell r="M4428">
            <v>0</v>
          </cell>
          <cell r="P4428">
            <v>0</v>
          </cell>
        </row>
        <row r="4429">
          <cell r="K4429">
            <v>0</v>
          </cell>
          <cell r="M4429">
            <v>0</v>
          </cell>
          <cell r="P4429">
            <v>0</v>
          </cell>
        </row>
        <row r="4430">
          <cell r="K4430">
            <v>0</v>
          </cell>
          <cell r="M4430">
            <v>0</v>
          </cell>
          <cell r="P4430">
            <v>0</v>
          </cell>
        </row>
        <row r="4431">
          <cell r="K4431">
            <v>0</v>
          </cell>
          <cell r="M4431">
            <v>0</v>
          </cell>
          <cell r="P4431">
            <v>0</v>
          </cell>
        </row>
        <row r="4432">
          <cell r="K4432">
            <v>0</v>
          </cell>
          <cell r="M4432">
            <v>0</v>
          </cell>
          <cell r="P4432">
            <v>0</v>
          </cell>
        </row>
        <row r="4433">
          <cell r="K4433">
            <v>0</v>
          </cell>
          <cell r="M4433">
            <v>0</v>
          </cell>
          <cell r="P4433">
            <v>0</v>
          </cell>
        </row>
        <row r="4434">
          <cell r="K4434">
            <v>0</v>
          </cell>
          <cell r="M4434">
            <v>0</v>
          </cell>
          <cell r="P4434">
            <v>0</v>
          </cell>
        </row>
        <row r="4435">
          <cell r="K4435">
            <v>0</v>
          </cell>
          <cell r="M4435">
            <v>0</v>
          </cell>
          <cell r="P4435">
            <v>0</v>
          </cell>
        </row>
        <row r="4436">
          <cell r="K4436">
            <v>0</v>
          </cell>
          <cell r="M4436">
            <v>0</v>
          </cell>
          <cell r="P4436">
            <v>0</v>
          </cell>
        </row>
        <row r="4437">
          <cell r="K4437">
            <v>0</v>
          </cell>
          <cell r="M4437">
            <v>0</v>
          </cell>
          <cell r="P4437">
            <v>0</v>
          </cell>
        </row>
        <row r="4438">
          <cell r="K4438">
            <v>0</v>
          </cell>
          <cell r="M4438">
            <v>0</v>
          </cell>
          <cell r="P4438">
            <v>0</v>
          </cell>
        </row>
        <row r="4439">
          <cell r="K4439">
            <v>0</v>
          </cell>
          <cell r="M4439">
            <v>0</v>
          </cell>
          <cell r="P4439">
            <v>0</v>
          </cell>
        </row>
        <row r="4440">
          <cell r="K4440">
            <v>0</v>
          </cell>
          <cell r="M4440">
            <v>0</v>
          </cell>
          <cell r="P4440">
            <v>0</v>
          </cell>
        </row>
        <row r="4441">
          <cell r="K4441">
            <v>0</v>
          </cell>
          <cell r="M4441">
            <v>0</v>
          </cell>
          <cell r="P4441">
            <v>0</v>
          </cell>
        </row>
        <row r="4442">
          <cell r="K4442">
            <v>0</v>
          </cell>
          <cell r="M4442">
            <v>0</v>
          </cell>
          <cell r="P4442">
            <v>0</v>
          </cell>
        </row>
        <row r="4443">
          <cell r="K4443">
            <v>0</v>
          </cell>
          <cell r="M4443">
            <v>0</v>
          </cell>
          <cell r="P4443">
            <v>0</v>
          </cell>
        </row>
        <row r="4444">
          <cell r="K4444">
            <v>0</v>
          </cell>
          <cell r="M4444">
            <v>0</v>
          </cell>
          <cell r="P4444">
            <v>0</v>
          </cell>
        </row>
        <row r="4445">
          <cell r="K4445">
            <v>0</v>
          </cell>
          <cell r="M4445">
            <v>0</v>
          </cell>
          <cell r="P4445">
            <v>0</v>
          </cell>
        </row>
        <row r="4446">
          <cell r="K4446">
            <v>0</v>
          </cell>
          <cell r="M4446">
            <v>0</v>
          </cell>
          <cell r="P4446">
            <v>0</v>
          </cell>
        </row>
        <row r="4447">
          <cell r="K4447">
            <v>0</v>
          </cell>
          <cell r="M4447">
            <v>0</v>
          </cell>
          <cell r="P4447">
            <v>0</v>
          </cell>
        </row>
        <row r="4448">
          <cell r="K4448">
            <v>0</v>
          </cell>
          <cell r="M4448">
            <v>0</v>
          </cell>
          <cell r="P4448">
            <v>0</v>
          </cell>
        </row>
        <row r="4449">
          <cell r="K4449">
            <v>0</v>
          </cell>
          <cell r="M4449">
            <v>0</v>
          </cell>
          <cell r="P4449">
            <v>0</v>
          </cell>
        </row>
        <row r="4450">
          <cell r="K4450">
            <v>0</v>
          </cell>
          <cell r="M4450">
            <v>0</v>
          </cell>
          <cell r="P4450">
            <v>0</v>
          </cell>
        </row>
        <row r="4451">
          <cell r="K4451">
            <v>0</v>
          </cell>
          <cell r="M4451">
            <v>0</v>
          </cell>
          <cell r="P4451">
            <v>0</v>
          </cell>
        </row>
        <row r="4452">
          <cell r="K4452">
            <v>0</v>
          </cell>
          <cell r="M4452">
            <v>0</v>
          </cell>
          <cell r="P4452">
            <v>0</v>
          </cell>
        </row>
        <row r="4453">
          <cell r="K4453">
            <v>0</v>
          </cell>
          <cell r="M4453">
            <v>0</v>
          </cell>
          <cell r="P4453">
            <v>0</v>
          </cell>
        </row>
        <row r="4454">
          <cell r="K4454">
            <v>0</v>
          </cell>
          <cell r="M4454">
            <v>0</v>
          </cell>
          <cell r="P4454">
            <v>0</v>
          </cell>
        </row>
        <row r="4455">
          <cell r="K4455">
            <v>0</v>
          </cell>
          <cell r="M4455">
            <v>0</v>
          </cell>
          <cell r="P4455">
            <v>0</v>
          </cell>
        </row>
        <row r="4456">
          <cell r="K4456">
            <v>0</v>
          </cell>
          <cell r="M4456">
            <v>0</v>
          </cell>
          <cell r="P4456">
            <v>0</v>
          </cell>
        </row>
        <row r="4457">
          <cell r="K4457">
            <v>0</v>
          </cell>
          <cell r="M4457">
            <v>0</v>
          </cell>
          <cell r="P4457">
            <v>0</v>
          </cell>
        </row>
        <row r="4458">
          <cell r="K4458">
            <v>0</v>
          </cell>
          <cell r="M4458">
            <v>0</v>
          </cell>
          <cell r="P4458">
            <v>0</v>
          </cell>
        </row>
        <row r="4459">
          <cell r="K4459">
            <v>0</v>
          </cell>
          <cell r="M4459">
            <v>0</v>
          </cell>
          <cell r="P4459">
            <v>0</v>
          </cell>
        </row>
        <row r="4460">
          <cell r="K4460">
            <v>0</v>
          </cell>
          <cell r="M4460">
            <v>0</v>
          </cell>
          <cell r="P4460">
            <v>0</v>
          </cell>
        </row>
        <row r="4461">
          <cell r="K4461">
            <v>0</v>
          </cell>
          <cell r="M4461">
            <v>0</v>
          </cell>
          <cell r="P4461">
            <v>0</v>
          </cell>
        </row>
        <row r="4462">
          <cell r="K4462">
            <v>0</v>
          </cell>
          <cell r="M4462">
            <v>0</v>
          </cell>
          <cell r="P4462">
            <v>0</v>
          </cell>
        </row>
        <row r="4463">
          <cell r="K4463">
            <v>0</v>
          </cell>
          <cell r="M4463">
            <v>0</v>
          </cell>
          <cell r="P4463">
            <v>0</v>
          </cell>
        </row>
        <row r="4464">
          <cell r="K4464">
            <v>0</v>
          </cell>
          <cell r="M4464">
            <v>0</v>
          </cell>
          <cell r="P4464">
            <v>0</v>
          </cell>
        </row>
        <row r="4465">
          <cell r="K4465">
            <v>0</v>
          </cell>
          <cell r="M4465">
            <v>0</v>
          </cell>
          <cell r="P4465">
            <v>0</v>
          </cell>
        </row>
        <row r="4466">
          <cell r="K4466">
            <v>0</v>
          </cell>
          <cell r="M4466">
            <v>0</v>
          </cell>
          <cell r="P4466">
            <v>0</v>
          </cell>
        </row>
        <row r="4467">
          <cell r="K4467">
            <v>0</v>
          </cell>
          <cell r="M4467">
            <v>0</v>
          </cell>
          <cell r="P4467">
            <v>0</v>
          </cell>
        </row>
        <row r="4468">
          <cell r="K4468">
            <v>0</v>
          </cell>
          <cell r="M4468">
            <v>0</v>
          </cell>
          <cell r="P4468">
            <v>0</v>
          </cell>
        </row>
        <row r="4469">
          <cell r="K4469">
            <v>0</v>
          </cell>
          <cell r="M4469">
            <v>0</v>
          </cell>
          <cell r="P4469">
            <v>0</v>
          </cell>
        </row>
        <row r="4470">
          <cell r="K4470">
            <v>0</v>
          </cell>
          <cell r="M4470">
            <v>0</v>
          </cell>
          <cell r="P4470">
            <v>0</v>
          </cell>
        </row>
        <row r="4471">
          <cell r="K4471">
            <v>0</v>
          </cell>
          <cell r="M4471">
            <v>0</v>
          </cell>
          <cell r="P4471">
            <v>0</v>
          </cell>
        </row>
        <row r="4472">
          <cell r="K4472">
            <v>0</v>
          </cell>
          <cell r="M4472">
            <v>0</v>
          </cell>
          <cell r="P4472">
            <v>0</v>
          </cell>
        </row>
        <row r="4473">
          <cell r="K4473">
            <v>0</v>
          </cell>
          <cell r="M4473">
            <v>0</v>
          </cell>
          <cell r="P4473">
            <v>0</v>
          </cell>
        </row>
        <row r="4474">
          <cell r="K4474">
            <v>0</v>
          </cell>
          <cell r="M4474">
            <v>0</v>
          </cell>
          <cell r="P4474">
            <v>0</v>
          </cell>
        </row>
        <row r="4475">
          <cell r="K4475">
            <v>0</v>
          </cell>
          <cell r="M4475">
            <v>0</v>
          </cell>
          <cell r="P4475">
            <v>0</v>
          </cell>
        </row>
        <row r="4476">
          <cell r="K4476">
            <v>0</v>
          </cell>
          <cell r="M4476">
            <v>0</v>
          </cell>
          <cell r="P4476">
            <v>0</v>
          </cell>
        </row>
        <row r="4477">
          <cell r="K4477">
            <v>0</v>
          </cell>
          <cell r="M4477">
            <v>0</v>
          </cell>
          <cell r="P4477">
            <v>0</v>
          </cell>
        </row>
        <row r="4478">
          <cell r="K4478">
            <v>0</v>
          </cell>
          <cell r="M4478">
            <v>0</v>
          </cell>
          <cell r="P4478">
            <v>0</v>
          </cell>
        </row>
        <row r="4479">
          <cell r="K4479">
            <v>0</v>
          </cell>
          <cell r="M4479">
            <v>0</v>
          </cell>
          <cell r="P4479">
            <v>0</v>
          </cell>
        </row>
        <row r="4480">
          <cell r="K4480">
            <v>0</v>
          </cell>
          <cell r="M4480">
            <v>0</v>
          </cell>
          <cell r="P4480">
            <v>0</v>
          </cell>
        </row>
        <row r="4481">
          <cell r="K4481">
            <v>0</v>
          </cell>
          <cell r="M4481">
            <v>0</v>
          </cell>
          <cell r="P4481">
            <v>0</v>
          </cell>
        </row>
        <row r="4482">
          <cell r="K4482">
            <v>0</v>
          </cell>
          <cell r="M4482">
            <v>0</v>
          </cell>
          <cell r="P4482">
            <v>0</v>
          </cell>
        </row>
        <row r="4483">
          <cell r="K4483">
            <v>0</v>
          </cell>
          <cell r="M4483">
            <v>0</v>
          </cell>
          <cell r="P4483">
            <v>0</v>
          </cell>
        </row>
        <row r="4484">
          <cell r="K4484">
            <v>0</v>
          </cell>
          <cell r="M4484">
            <v>0</v>
          </cell>
          <cell r="P4484">
            <v>0</v>
          </cell>
        </row>
        <row r="4485">
          <cell r="K4485">
            <v>0</v>
          </cell>
          <cell r="M4485">
            <v>0</v>
          </cell>
          <cell r="P4485">
            <v>0</v>
          </cell>
        </row>
        <row r="4486">
          <cell r="K4486">
            <v>0</v>
          </cell>
          <cell r="M4486">
            <v>0</v>
          </cell>
          <cell r="P4486">
            <v>0</v>
          </cell>
        </row>
        <row r="4487">
          <cell r="K4487">
            <v>0</v>
          </cell>
          <cell r="M4487">
            <v>0</v>
          </cell>
          <cell r="P4487">
            <v>0</v>
          </cell>
        </row>
        <row r="4488">
          <cell r="K4488">
            <v>0</v>
          </cell>
          <cell r="M4488">
            <v>0</v>
          </cell>
          <cell r="P4488">
            <v>0</v>
          </cell>
        </row>
        <row r="4489">
          <cell r="K4489">
            <v>0</v>
          </cell>
          <cell r="M4489">
            <v>0</v>
          </cell>
          <cell r="P4489">
            <v>0</v>
          </cell>
        </row>
        <row r="4490">
          <cell r="K4490">
            <v>0</v>
          </cell>
          <cell r="M4490">
            <v>0</v>
          </cell>
          <cell r="P4490">
            <v>0</v>
          </cell>
        </row>
        <row r="4491">
          <cell r="K4491">
            <v>0</v>
          </cell>
          <cell r="M4491">
            <v>0</v>
          </cell>
          <cell r="P4491">
            <v>0</v>
          </cell>
        </row>
        <row r="4492">
          <cell r="K4492">
            <v>0</v>
          </cell>
          <cell r="M4492">
            <v>0</v>
          </cell>
          <cell r="P4492">
            <v>0</v>
          </cell>
        </row>
        <row r="4493">
          <cell r="K4493">
            <v>0</v>
          </cell>
          <cell r="M4493">
            <v>0</v>
          </cell>
          <cell r="P4493">
            <v>0</v>
          </cell>
        </row>
        <row r="4494">
          <cell r="K4494">
            <v>0</v>
          </cell>
          <cell r="M4494">
            <v>0</v>
          </cell>
          <cell r="P4494">
            <v>0</v>
          </cell>
        </row>
        <row r="4495">
          <cell r="K4495">
            <v>0</v>
          </cell>
          <cell r="M4495">
            <v>0</v>
          </cell>
          <cell r="P4495">
            <v>0</v>
          </cell>
        </row>
        <row r="4496">
          <cell r="K4496">
            <v>0</v>
          </cell>
          <cell r="M4496">
            <v>0</v>
          </cell>
          <cell r="P4496">
            <v>0</v>
          </cell>
        </row>
        <row r="4497">
          <cell r="K4497">
            <v>0</v>
          </cell>
          <cell r="M4497">
            <v>0</v>
          </cell>
          <cell r="P4497">
            <v>0</v>
          </cell>
        </row>
        <row r="4498">
          <cell r="K4498">
            <v>0</v>
          </cell>
          <cell r="M4498">
            <v>0</v>
          </cell>
          <cell r="P4498">
            <v>0</v>
          </cell>
        </row>
        <row r="4499">
          <cell r="K4499">
            <v>0</v>
          </cell>
          <cell r="M4499">
            <v>0</v>
          </cell>
          <cell r="P4499">
            <v>0</v>
          </cell>
        </row>
        <row r="4500">
          <cell r="K4500">
            <v>0</v>
          </cell>
          <cell r="M4500">
            <v>0</v>
          </cell>
          <cell r="P4500">
            <v>0</v>
          </cell>
        </row>
        <row r="4501">
          <cell r="K4501">
            <v>0</v>
          </cell>
          <cell r="M4501">
            <v>0</v>
          </cell>
          <cell r="P4501">
            <v>0</v>
          </cell>
        </row>
        <row r="4502">
          <cell r="K4502">
            <v>0</v>
          </cell>
          <cell r="M4502">
            <v>0</v>
          </cell>
          <cell r="P4502">
            <v>0</v>
          </cell>
        </row>
        <row r="4503">
          <cell r="K4503">
            <v>0</v>
          </cell>
          <cell r="M4503">
            <v>0</v>
          </cell>
          <cell r="P4503">
            <v>0</v>
          </cell>
        </row>
        <row r="4504">
          <cell r="K4504">
            <v>0</v>
          </cell>
          <cell r="M4504">
            <v>0</v>
          </cell>
          <cell r="P4504">
            <v>0</v>
          </cell>
        </row>
        <row r="4505">
          <cell r="K4505">
            <v>0</v>
          </cell>
          <cell r="M4505">
            <v>0</v>
          </cell>
          <cell r="P4505">
            <v>0</v>
          </cell>
        </row>
        <row r="4506">
          <cell r="K4506">
            <v>0</v>
          </cell>
          <cell r="M4506">
            <v>0</v>
          </cell>
          <cell r="P4506">
            <v>0</v>
          </cell>
        </row>
        <row r="4507">
          <cell r="K4507">
            <v>0</v>
          </cell>
          <cell r="M4507">
            <v>0</v>
          </cell>
          <cell r="P4507">
            <v>0</v>
          </cell>
        </row>
        <row r="4508">
          <cell r="K4508">
            <v>0</v>
          </cell>
          <cell r="M4508">
            <v>0</v>
          </cell>
          <cell r="P4508">
            <v>0</v>
          </cell>
        </row>
        <row r="4509">
          <cell r="K4509">
            <v>0</v>
          </cell>
          <cell r="M4509">
            <v>0</v>
          </cell>
          <cell r="P4509">
            <v>0</v>
          </cell>
        </row>
        <row r="4510">
          <cell r="K4510">
            <v>0</v>
          </cell>
          <cell r="M4510">
            <v>0</v>
          </cell>
          <cell r="P4510">
            <v>0</v>
          </cell>
        </row>
        <row r="4511">
          <cell r="K4511">
            <v>0</v>
          </cell>
          <cell r="M4511">
            <v>0</v>
          </cell>
          <cell r="P4511">
            <v>0</v>
          </cell>
        </row>
        <row r="4512">
          <cell r="K4512">
            <v>0</v>
          </cell>
          <cell r="M4512">
            <v>0</v>
          </cell>
          <cell r="P4512">
            <v>0</v>
          </cell>
        </row>
        <row r="4513">
          <cell r="K4513">
            <v>0</v>
          </cell>
          <cell r="M4513">
            <v>0</v>
          </cell>
          <cell r="P4513">
            <v>0</v>
          </cell>
        </row>
        <row r="4514">
          <cell r="K4514">
            <v>0</v>
          </cell>
          <cell r="M4514">
            <v>0</v>
          </cell>
          <cell r="P4514">
            <v>0</v>
          </cell>
        </row>
        <row r="4515">
          <cell r="K4515">
            <v>0</v>
          </cell>
          <cell r="M4515">
            <v>0</v>
          </cell>
          <cell r="P4515">
            <v>0</v>
          </cell>
        </row>
        <row r="4516">
          <cell r="K4516">
            <v>0</v>
          </cell>
          <cell r="M4516">
            <v>0</v>
          </cell>
          <cell r="P4516">
            <v>0</v>
          </cell>
        </row>
        <row r="4517">
          <cell r="K4517">
            <v>0</v>
          </cell>
          <cell r="M4517">
            <v>0</v>
          </cell>
          <cell r="P4517">
            <v>0</v>
          </cell>
        </row>
        <row r="4518">
          <cell r="K4518">
            <v>0</v>
          </cell>
          <cell r="M4518">
            <v>0</v>
          </cell>
          <cell r="P4518">
            <v>0</v>
          </cell>
        </row>
        <row r="4519">
          <cell r="K4519">
            <v>0</v>
          </cell>
          <cell r="M4519">
            <v>0</v>
          </cell>
          <cell r="P4519">
            <v>0</v>
          </cell>
        </row>
        <row r="4520">
          <cell r="K4520">
            <v>0</v>
          </cell>
          <cell r="M4520">
            <v>0</v>
          </cell>
          <cell r="P4520">
            <v>0</v>
          </cell>
        </row>
        <row r="4521">
          <cell r="K4521">
            <v>0</v>
          </cell>
          <cell r="M4521">
            <v>0</v>
          </cell>
          <cell r="P4521">
            <v>0</v>
          </cell>
        </row>
        <row r="4522">
          <cell r="K4522">
            <v>0</v>
          </cell>
          <cell r="M4522">
            <v>0</v>
          </cell>
          <cell r="P4522">
            <v>0</v>
          </cell>
        </row>
        <row r="4523">
          <cell r="K4523">
            <v>0</v>
          </cell>
          <cell r="M4523">
            <v>0</v>
          </cell>
          <cell r="P4523">
            <v>0</v>
          </cell>
        </row>
        <row r="4524">
          <cell r="K4524">
            <v>0</v>
          </cell>
          <cell r="M4524">
            <v>0</v>
          </cell>
          <cell r="P4524">
            <v>0</v>
          </cell>
        </row>
        <row r="4525">
          <cell r="K4525">
            <v>0</v>
          </cell>
          <cell r="M4525">
            <v>0</v>
          </cell>
          <cell r="P4525">
            <v>0</v>
          </cell>
        </row>
        <row r="4526">
          <cell r="K4526">
            <v>0</v>
          </cell>
          <cell r="M4526">
            <v>0</v>
          </cell>
          <cell r="P4526">
            <v>0</v>
          </cell>
        </row>
        <row r="4527">
          <cell r="K4527">
            <v>0</v>
          </cell>
          <cell r="M4527">
            <v>0</v>
          </cell>
          <cell r="P4527">
            <v>0</v>
          </cell>
        </row>
        <row r="4528">
          <cell r="K4528">
            <v>0</v>
          </cell>
          <cell r="M4528">
            <v>0</v>
          </cell>
          <cell r="P4528">
            <v>0</v>
          </cell>
        </row>
        <row r="4529">
          <cell r="K4529">
            <v>0</v>
          </cell>
          <cell r="M4529">
            <v>0</v>
          </cell>
          <cell r="P4529">
            <v>0</v>
          </cell>
        </row>
        <row r="4530">
          <cell r="K4530">
            <v>0</v>
          </cell>
          <cell r="M4530">
            <v>0</v>
          </cell>
          <cell r="P4530">
            <v>0</v>
          </cell>
        </row>
        <row r="4531">
          <cell r="K4531">
            <v>0</v>
          </cell>
          <cell r="M4531">
            <v>0</v>
          </cell>
          <cell r="P4531">
            <v>0</v>
          </cell>
        </row>
        <row r="4532">
          <cell r="K4532">
            <v>0</v>
          </cell>
          <cell r="M4532">
            <v>0</v>
          </cell>
          <cell r="P4532">
            <v>0</v>
          </cell>
        </row>
        <row r="4533">
          <cell r="K4533">
            <v>0</v>
          </cell>
          <cell r="M4533">
            <v>0</v>
          </cell>
          <cell r="P4533">
            <v>0</v>
          </cell>
        </row>
        <row r="4534">
          <cell r="K4534">
            <v>0</v>
          </cell>
          <cell r="M4534">
            <v>0</v>
          </cell>
          <cell r="P4534">
            <v>0</v>
          </cell>
        </row>
        <row r="4535">
          <cell r="K4535">
            <v>0</v>
          </cell>
          <cell r="M4535">
            <v>0</v>
          </cell>
          <cell r="P4535">
            <v>0</v>
          </cell>
        </row>
        <row r="4536">
          <cell r="K4536">
            <v>0</v>
          </cell>
          <cell r="M4536">
            <v>0</v>
          </cell>
          <cell r="P4536">
            <v>0</v>
          </cell>
        </row>
        <row r="4537">
          <cell r="K4537">
            <v>0</v>
          </cell>
          <cell r="M4537">
            <v>0</v>
          </cell>
          <cell r="P4537">
            <v>0</v>
          </cell>
        </row>
        <row r="4538">
          <cell r="K4538">
            <v>0</v>
          </cell>
          <cell r="M4538">
            <v>0</v>
          </cell>
          <cell r="P4538">
            <v>0</v>
          </cell>
        </row>
        <row r="4539">
          <cell r="K4539">
            <v>0</v>
          </cell>
          <cell r="M4539">
            <v>0</v>
          </cell>
          <cell r="P4539">
            <v>0</v>
          </cell>
        </row>
        <row r="4540">
          <cell r="K4540">
            <v>0</v>
          </cell>
          <cell r="M4540">
            <v>0</v>
          </cell>
          <cell r="P4540">
            <v>0</v>
          </cell>
        </row>
        <row r="4541">
          <cell r="K4541">
            <v>0</v>
          </cell>
          <cell r="M4541">
            <v>0</v>
          </cell>
          <cell r="P4541">
            <v>0</v>
          </cell>
        </row>
        <row r="4542">
          <cell r="K4542">
            <v>0</v>
          </cell>
          <cell r="M4542">
            <v>0</v>
          </cell>
          <cell r="P4542">
            <v>0</v>
          </cell>
        </row>
        <row r="4543">
          <cell r="K4543">
            <v>0</v>
          </cell>
          <cell r="M4543">
            <v>0</v>
          </cell>
          <cell r="P4543">
            <v>0</v>
          </cell>
        </row>
        <row r="4544">
          <cell r="K4544">
            <v>0</v>
          </cell>
          <cell r="M4544">
            <v>0</v>
          </cell>
          <cell r="P4544">
            <v>0</v>
          </cell>
        </row>
        <row r="4545">
          <cell r="K4545">
            <v>0</v>
          </cell>
          <cell r="M4545">
            <v>0</v>
          </cell>
          <cell r="P4545">
            <v>0</v>
          </cell>
        </row>
        <row r="4546">
          <cell r="K4546">
            <v>0</v>
          </cell>
          <cell r="M4546">
            <v>0</v>
          </cell>
          <cell r="P4546">
            <v>0</v>
          </cell>
        </row>
        <row r="4547">
          <cell r="K4547">
            <v>0</v>
          </cell>
          <cell r="M4547">
            <v>0</v>
          </cell>
          <cell r="P4547">
            <v>0</v>
          </cell>
        </row>
        <row r="4548">
          <cell r="K4548">
            <v>0</v>
          </cell>
          <cell r="M4548">
            <v>0</v>
          </cell>
          <cell r="P4548">
            <v>0</v>
          </cell>
        </row>
        <row r="4549">
          <cell r="K4549">
            <v>0</v>
          </cell>
          <cell r="M4549">
            <v>0</v>
          </cell>
          <cell r="P4549">
            <v>0</v>
          </cell>
        </row>
        <row r="4550">
          <cell r="K4550">
            <v>0</v>
          </cell>
          <cell r="M4550">
            <v>0</v>
          </cell>
          <cell r="P4550">
            <v>0</v>
          </cell>
        </row>
        <row r="4551">
          <cell r="K4551">
            <v>0</v>
          </cell>
          <cell r="M4551">
            <v>0</v>
          </cell>
          <cell r="P4551">
            <v>0</v>
          </cell>
        </row>
        <row r="4552">
          <cell r="K4552">
            <v>0</v>
          </cell>
          <cell r="M4552">
            <v>0</v>
          </cell>
          <cell r="P4552">
            <v>0</v>
          </cell>
        </row>
        <row r="4553">
          <cell r="K4553">
            <v>0</v>
          </cell>
          <cell r="M4553">
            <v>0</v>
          </cell>
          <cell r="P4553">
            <v>0</v>
          </cell>
        </row>
        <row r="4554">
          <cell r="K4554">
            <v>0</v>
          </cell>
          <cell r="M4554">
            <v>0</v>
          </cell>
          <cell r="P4554">
            <v>0</v>
          </cell>
        </row>
        <row r="4555">
          <cell r="K4555">
            <v>0</v>
          </cell>
          <cell r="M4555">
            <v>0</v>
          </cell>
          <cell r="P4555">
            <v>0</v>
          </cell>
        </row>
        <row r="4556">
          <cell r="K4556">
            <v>0</v>
          </cell>
          <cell r="M4556">
            <v>0</v>
          </cell>
          <cell r="P4556">
            <v>0</v>
          </cell>
        </row>
        <row r="4557">
          <cell r="K4557">
            <v>0</v>
          </cell>
          <cell r="M4557">
            <v>0</v>
          </cell>
          <cell r="P4557">
            <v>0</v>
          </cell>
        </row>
        <row r="4558">
          <cell r="K4558">
            <v>0</v>
          </cell>
          <cell r="M4558">
            <v>0</v>
          </cell>
          <cell r="P4558">
            <v>0</v>
          </cell>
        </row>
        <row r="4559">
          <cell r="K4559">
            <v>0</v>
          </cell>
          <cell r="M4559">
            <v>0</v>
          </cell>
          <cell r="P4559">
            <v>0</v>
          </cell>
        </row>
        <row r="4560">
          <cell r="K4560">
            <v>0</v>
          </cell>
          <cell r="M4560">
            <v>0</v>
          </cell>
          <cell r="P4560">
            <v>0</v>
          </cell>
        </row>
        <row r="4561">
          <cell r="K4561">
            <v>0</v>
          </cell>
          <cell r="M4561">
            <v>0</v>
          </cell>
          <cell r="P4561">
            <v>0</v>
          </cell>
        </row>
        <row r="4562">
          <cell r="K4562">
            <v>0</v>
          </cell>
          <cell r="M4562">
            <v>0</v>
          </cell>
          <cell r="P4562">
            <v>0</v>
          </cell>
        </row>
        <row r="4563">
          <cell r="K4563">
            <v>0</v>
          </cell>
          <cell r="M4563">
            <v>0</v>
          </cell>
          <cell r="P4563">
            <v>0</v>
          </cell>
        </row>
        <row r="4564">
          <cell r="K4564">
            <v>0</v>
          </cell>
          <cell r="M4564">
            <v>0</v>
          </cell>
          <cell r="P4564">
            <v>0</v>
          </cell>
        </row>
        <row r="4565">
          <cell r="K4565">
            <v>0</v>
          </cell>
          <cell r="M4565">
            <v>0</v>
          </cell>
          <cell r="P4565">
            <v>0</v>
          </cell>
        </row>
        <row r="4566">
          <cell r="K4566">
            <v>0</v>
          </cell>
          <cell r="M4566">
            <v>0</v>
          </cell>
          <cell r="P4566">
            <v>0</v>
          </cell>
        </row>
        <row r="4567">
          <cell r="K4567">
            <v>0</v>
          </cell>
          <cell r="M4567">
            <v>0</v>
          </cell>
          <cell r="P4567">
            <v>0</v>
          </cell>
        </row>
        <row r="4568">
          <cell r="K4568">
            <v>0</v>
          </cell>
          <cell r="M4568">
            <v>0</v>
          </cell>
          <cell r="P4568">
            <v>0</v>
          </cell>
        </row>
        <row r="4569">
          <cell r="K4569">
            <v>0</v>
          </cell>
          <cell r="M4569">
            <v>0</v>
          </cell>
          <cell r="P4569">
            <v>0</v>
          </cell>
        </row>
        <row r="4570">
          <cell r="K4570">
            <v>0</v>
          </cell>
          <cell r="M4570">
            <v>0</v>
          </cell>
          <cell r="P4570">
            <v>0</v>
          </cell>
        </row>
        <row r="4571">
          <cell r="K4571">
            <v>0</v>
          </cell>
          <cell r="M4571">
            <v>0</v>
          </cell>
          <cell r="P4571">
            <v>0</v>
          </cell>
        </row>
        <row r="4572">
          <cell r="K4572">
            <v>0</v>
          </cell>
          <cell r="M4572">
            <v>0</v>
          </cell>
          <cell r="P4572">
            <v>0</v>
          </cell>
        </row>
        <row r="4573">
          <cell r="K4573">
            <v>0</v>
          </cell>
          <cell r="M4573">
            <v>0</v>
          </cell>
          <cell r="P4573">
            <v>0</v>
          </cell>
        </row>
        <row r="4574">
          <cell r="K4574">
            <v>0</v>
          </cell>
          <cell r="M4574">
            <v>0</v>
          </cell>
          <cell r="P4574">
            <v>0</v>
          </cell>
        </row>
        <row r="4575">
          <cell r="K4575">
            <v>0</v>
          </cell>
          <cell r="M4575">
            <v>0</v>
          </cell>
          <cell r="P4575">
            <v>0</v>
          </cell>
        </row>
        <row r="4576">
          <cell r="K4576">
            <v>0</v>
          </cell>
          <cell r="M4576">
            <v>0</v>
          </cell>
          <cell r="P4576">
            <v>0</v>
          </cell>
        </row>
        <row r="4577">
          <cell r="K4577">
            <v>0</v>
          </cell>
          <cell r="M4577">
            <v>0</v>
          </cell>
          <cell r="P4577">
            <v>0</v>
          </cell>
        </row>
        <row r="4578">
          <cell r="K4578">
            <v>0</v>
          </cell>
          <cell r="M4578">
            <v>0</v>
          </cell>
          <cell r="P4578">
            <v>0</v>
          </cell>
        </row>
        <row r="4579">
          <cell r="K4579">
            <v>0</v>
          </cell>
          <cell r="M4579">
            <v>0</v>
          </cell>
          <cell r="P4579">
            <v>0</v>
          </cell>
        </row>
        <row r="4580">
          <cell r="K4580">
            <v>0</v>
          </cell>
          <cell r="M4580">
            <v>0</v>
          </cell>
          <cell r="P4580">
            <v>0</v>
          </cell>
        </row>
        <row r="4581">
          <cell r="K4581">
            <v>0</v>
          </cell>
          <cell r="M4581">
            <v>0</v>
          </cell>
          <cell r="P4581">
            <v>0</v>
          </cell>
        </row>
        <row r="4582">
          <cell r="K4582">
            <v>0</v>
          </cell>
          <cell r="M4582">
            <v>0</v>
          </cell>
          <cell r="P4582">
            <v>0</v>
          </cell>
        </row>
        <row r="4583">
          <cell r="K4583">
            <v>0</v>
          </cell>
          <cell r="M4583">
            <v>0</v>
          </cell>
          <cell r="P4583">
            <v>0</v>
          </cell>
        </row>
        <row r="4584">
          <cell r="K4584">
            <v>0</v>
          </cell>
          <cell r="M4584">
            <v>0</v>
          </cell>
          <cell r="P4584">
            <v>0</v>
          </cell>
        </row>
        <row r="4585">
          <cell r="K4585">
            <v>0</v>
          </cell>
          <cell r="M4585">
            <v>0</v>
          </cell>
          <cell r="P4585">
            <v>0</v>
          </cell>
        </row>
        <row r="4586">
          <cell r="K4586">
            <v>0</v>
          </cell>
          <cell r="M4586">
            <v>0</v>
          </cell>
          <cell r="P4586">
            <v>0</v>
          </cell>
        </row>
        <row r="4587">
          <cell r="K4587">
            <v>0</v>
          </cell>
          <cell r="M4587">
            <v>0</v>
          </cell>
          <cell r="P4587">
            <v>0</v>
          </cell>
        </row>
        <row r="4588">
          <cell r="K4588">
            <v>0</v>
          </cell>
          <cell r="M4588">
            <v>0</v>
          </cell>
          <cell r="P4588">
            <v>0</v>
          </cell>
        </row>
        <row r="4589">
          <cell r="K4589">
            <v>0</v>
          </cell>
          <cell r="M4589">
            <v>0</v>
          </cell>
          <cell r="P4589">
            <v>0</v>
          </cell>
        </row>
        <row r="4590">
          <cell r="K4590">
            <v>0</v>
          </cell>
          <cell r="M4590">
            <v>0</v>
          </cell>
          <cell r="P4590">
            <v>0</v>
          </cell>
        </row>
        <row r="4591">
          <cell r="K4591">
            <v>0</v>
          </cell>
          <cell r="M4591">
            <v>0</v>
          </cell>
          <cell r="P4591">
            <v>0</v>
          </cell>
        </row>
        <row r="4592">
          <cell r="K4592">
            <v>0</v>
          </cell>
          <cell r="M4592">
            <v>0</v>
          </cell>
          <cell r="P4592">
            <v>0</v>
          </cell>
        </row>
        <row r="4593">
          <cell r="K4593">
            <v>0</v>
          </cell>
          <cell r="M4593">
            <v>0</v>
          </cell>
          <cell r="P4593">
            <v>0</v>
          </cell>
        </row>
        <row r="4594">
          <cell r="K4594">
            <v>0</v>
          </cell>
          <cell r="M4594">
            <v>0</v>
          </cell>
          <cell r="P4594">
            <v>0</v>
          </cell>
        </row>
        <row r="4595">
          <cell r="K4595">
            <v>0</v>
          </cell>
          <cell r="M4595">
            <v>0</v>
          </cell>
          <cell r="P4595">
            <v>0</v>
          </cell>
        </row>
        <row r="4596">
          <cell r="K4596">
            <v>0</v>
          </cell>
          <cell r="M4596">
            <v>0</v>
          </cell>
          <cell r="P4596">
            <v>0</v>
          </cell>
        </row>
        <row r="4597">
          <cell r="K4597">
            <v>0</v>
          </cell>
          <cell r="M4597">
            <v>0</v>
          </cell>
          <cell r="P4597">
            <v>0</v>
          </cell>
        </row>
        <row r="4598">
          <cell r="K4598">
            <v>0</v>
          </cell>
          <cell r="M4598">
            <v>0</v>
          </cell>
          <cell r="P4598">
            <v>0</v>
          </cell>
        </row>
        <row r="4599">
          <cell r="K4599">
            <v>0</v>
          </cell>
          <cell r="M4599">
            <v>0</v>
          </cell>
          <cell r="P4599">
            <v>0</v>
          </cell>
        </row>
        <row r="4600">
          <cell r="K4600">
            <v>0</v>
          </cell>
          <cell r="M4600">
            <v>0</v>
          </cell>
          <cell r="P4600">
            <v>0</v>
          </cell>
        </row>
        <row r="4601">
          <cell r="K4601">
            <v>0</v>
          </cell>
          <cell r="M4601">
            <v>0</v>
          </cell>
          <cell r="P4601">
            <v>0</v>
          </cell>
        </row>
        <row r="4602">
          <cell r="K4602">
            <v>0</v>
          </cell>
          <cell r="M4602">
            <v>0</v>
          </cell>
          <cell r="P4602">
            <v>0</v>
          </cell>
        </row>
        <row r="4603">
          <cell r="K4603">
            <v>0</v>
          </cell>
          <cell r="M4603">
            <v>0</v>
          </cell>
          <cell r="P4603">
            <v>0</v>
          </cell>
        </row>
        <row r="4604">
          <cell r="K4604">
            <v>0</v>
          </cell>
          <cell r="M4604">
            <v>0</v>
          </cell>
          <cell r="P4604">
            <v>0</v>
          </cell>
        </row>
        <row r="4605">
          <cell r="K4605">
            <v>0</v>
          </cell>
          <cell r="M4605">
            <v>0</v>
          </cell>
          <cell r="P4605">
            <v>0</v>
          </cell>
        </row>
        <row r="4606">
          <cell r="K4606">
            <v>0</v>
          </cell>
          <cell r="M4606">
            <v>0</v>
          </cell>
          <cell r="P4606">
            <v>0</v>
          </cell>
        </row>
        <row r="4607">
          <cell r="K4607">
            <v>0</v>
          </cell>
          <cell r="M4607">
            <v>0</v>
          </cell>
          <cell r="P4607">
            <v>0</v>
          </cell>
        </row>
        <row r="4608">
          <cell r="K4608">
            <v>0</v>
          </cell>
          <cell r="M4608">
            <v>0</v>
          </cell>
          <cell r="P4608">
            <v>0</v>
          </cell>
        </row>
        <row r="4609">
          <cell r="K4609">
            <v>0</v>
          </cell>
          <cell r="M4609">
            <v>0</v>
          </cell>
          <cell r="P4609">
            <v>0</v>
          </cell>
        </row>
        <row r="4610">
          <cell r="K4610">
            <v>0</v>
          </cell>
          <cell r="M4610">
            <v>0</v>
          </cell>
          <cell r="P4610">
            <v>0</v>
          </cell>
        </row>
        <row r="4611">
          <cell r="K4611">
            <v>0</v>
          </cell>
          <cell r="M4611">
            <v>0</v>
          </cell>
          <cell r="P4611">
            <v>0</v>
          </cell>
        </row>
        <row r="4612">
          <cell r="K4612">
            <v>0</v>
          </cell>
          <cell r="M4612">
            <v>0</v>
          </cell>
          <cell r="P4612">
            <v>0</v>
          </cell>
        </row>
        <row r="4613">
          <cell r="K4613">
            <v>0</v>
          </cell>
          <cell r="M4613">
            <v>0</v>
          </cell>
          <cell r="P4613">
            <v>0</v>
          </cell>
        </row>
        <row r="4614">
          <cell r="K4614">
            <v>0</v>
          </cell>
          <cell r="M4614">
            <v>0</v>
          </cell>
          <cell r="P4614">
            <v>0</v>
          </cell>
        </row>
        <row r="4615">
          <cell r="K4615">
            <v>0</v>
          </cell>
          <cell r="M4615">
            <v>0</v>
          </cell>
          <cell r="P4615">
            <v>0</v>
          </cell>
        </row>
        <row r="4616">
          <cell r="K4616">
            <v>0</v>
          </cell>
          <cell r="M4616">
            <v>0</v>
          </cell>
          <cell r="P4616">
            <v>0</v>
          </cell>
        </row>
        <row r="4617">
          <cell r="K4617">
            <v>0</v>
          </cell>
          <cell r="M4617">
            <v>0</v>
          </cell>
          <cell r="P4617">
            <v>0</v>
          </cell>
        </row>
        <row r="4618">
          <cell r="K4618">
            <v>0</v>
          </cell>
          <cell r="M4618">
            <v>0</v>
          </cell>
          <cell r="P4618">
            <v>0</v>
          </cell>
        </row>
        <row r="4619">
          <cell r="K4619">
            <v>0</v>
          </cell>
          <cell r="M4619">
            <v>0</v>
          </cell>
          <cell r="P4619">
            <v>0</v>
          </cell>
        </row>
        <row r="4620">
          <cell r="K4620">
            <v>0</v>
          </cell>
          <cell r="M4620">
            <v>0</v>
          </cell>
          <cell r="P4620">
            <v>0</v>
          </cell>
        </row>
        <row r="4621">
          <cell r="K4621">
            <v>0</v>
          </cell>
          <cell r="M4621">
            <v>0</v>
          </cell>
          <cell r="P4621">
            <v>0</v>
          </cell>
        </row>
        <row r="4622">
          <cell r="K4622">
            <v>0</v>
          </cell>
          <cell r="M4622">
            <v>0</v>
          </cell>
          <cell r="P4622">
            <v>0</v>
          </cell>
        </row>
        <row r="4623">
          <cell r="K4623">
            <v>0</v>
          </cell>
          <cell r="M4623">
            <v>0</v>
          </cell>
          <cell r="P4623">
            <v>0</v>
          </cell>
        </row>
        <row r="4624">
          <cell r="K4624">
            <v>0</v>
          </cell>
          <cell r="M4624">
            <v>0</v>
          </cell>
          <cell r="P4624">
            <v>0</v>
          </cell>
        </row>
        <row r="4625">
          <cell r="K4625">
            <v>0</v>
          </cell>
          <cell r="M4625">
            <v>0</v>
          </cell>
          <cell r="P4625">
            <v>0</v>
          </cell>
        </row>
        <row r="4626">
          <cell r="K4626">
            <v>0</v>
          </cell>
          <cell r="M4626">
            <v>0</v>
          </cell>
          <cell r="P4626">
            <v>0</v>
          </cell>
        </row>
        <row r="4627">
          <cell r="K4627">
            <v>0</v>
          </cell>
          <cell r="M4627">
            <v>0</v>
          </cell>
          <cell r="P4627">
            <v>0</v>
          </cell>
        </row>
        <row r="4628">
          <cell r="K4628">
            <v>0</v>
          </cell>
          <cell r="M4628">
            <v>0</v>
          </cell>
          <cell r="P4628">
            <v>0</v>
          </cell>
        </row>
        <row r="4629">
          <cell r="K4629">
            <v>0</v>
          </cell>
          <cell r="M4629">
            <v>0</v>
          </cell>
          <cell r="P4629">
            <v>0</v>
          </cell>
        </row>
        <row r="4630">
          <cell r="K4630">
            <v>0</v>
          </cell>
          <cell r="M4630">
            <v>0</v>
          </cell>
          <cell r="P4630">
            <v>0</v>
          </cell>
        </row>
        <row r="4631">
          <cell r="K4631">
            <v>0</v>
          </cell>
          <cell r="M4631">
            <v>0</v>
          </cell>
          <cell r="P4631">
            <v>0</v>
          </cell>
        </row>
        <row r="4632">
          <cell r="K4632">
            <v>0</v>
          </cell>
          <cell r="M4632">
            <v>0</v>
          </cell>
          <cell r="P4632">
            <v>0</v>
          </cell>
        </row>
        <row r="4633">
          <cell r="K4633">
            <v>0</v>
          </cell>
          <cell r="M4633">
            <v>0</v>
          </cell>
          <cell r="P4633">
            <v>0</v>
          </cell>
        </row>
        <row r="4634">
          <cell r="K4634">
            <v>0</v>
          </cell>
          <cell r="M4634">
            <v>0</v>
          </cell>
          <cell r="P4634">
            <v>0</v>
          </cell>
        </row>
        <row r="4635">
          <cell r="K4635">
            <v>0</v>
          </cell>
          <cell r="M4635">
            <v>0</v>
          </cell>
          <cell r="P4635">
            <v>0</v>
          </cell>
        </row>
        <row r="4636">
          <cell r="K4636">
            <v>0</v>
          </cell>
          <cell r="M4636">
            <v>0</v>
          </cell>
          <cell r="P4636">
            <v>0</v>
          </cell>
        </row>
        <row r="4637">
          <cell r="K4637">
            <v>0</v>
          </cell>
          <cell r="M4637">
            <v>0</v>
          </cell>
          <cell r="P4637">
            <v>0</v>
          </cell>
        </row>
        <row r="4638">
          <cell r="K4638">
            <v>0</v>
          </cell>
          <cell r="M4638">
            <v>0</v>
          </cell>
          <cell r="P4638">
            <v>0</v>
          </cell>
        </row>
        <row r="4639">
          <cell r="K4639">
            <v>0</v>
          </cell>
          <cell r="M4639">
            <v>0</v>
          </cell>
          <cell r="P4639">
            <v>0</v>
          </cell>
        </row>
        <row r="4640">
          <cell r="K4640">
            <v>0</v>
          </cell>
          <cell r="M4640">
            <v>0</v>
          </cell>
          <cell r="P4640">
            <v>0</v>
          </cell>
        </row>
        <row r="4641">
          <cell r="K4641">
            <v>0</v>
          </cell>
          <cell r="M4641">
            <v>0</v>
          </cell>
          <cell r="P4641">
            <v>0</v>
          </cell>
        </row>
        <row r="4642">
          <cell r="K4642">
            <v>0</v>
          </cell>
          <cell r="M4642">
            <v>0</v>
          </cell>
          <cell r="P4642">
            <v>0</v>
          </cell>
        </row>
        <row r="4643">
          <cell r="K4643">
            <v>0</v>
          </cell>
          <cell r="M4643">
            <v>0</v>
          </cell>
          <cell r="P4643">
            <v>0</v>
          </cell>
        </row>
        <row r="4644">
          <cell r="K4644">
            <v>0</v>
          </cell>
          <cell r="M4644">
            <v>0</v>
          </cell>
          <cell r="P4644">
            <v>0</v>
          </cell>
        </row>
        <row r="4645">
          <cell r="K4645">
            <v>0</v>
          </cell>
          <cell r="M4645">
            <v>0</v>
          </cell>
          <cell r="P4645">
            <v>0</v>
          </cell>
        </row>
        <row r="4646">
          <cell r="K4646">
            <v>0</v>
          </cell>
          <cell r="M4646">
            <v>0</v>
          </cell>
          <cell r="P4646">
            <v>0</v>
          </cell>
        </row>
        <row r="4647">
          <cell r="K4647">
            <v>0</v>
          </cell>
          <cell r="M4647">
            <v>0</v>
          </cell>
          <cell r="P4647">
            <v>0</v>
          </cell>
        </row>
        <row r="4648">
          <cell r="K4648">
            <v>0</v>
          </cell>
          <cell r="M4648">
            <v>0</v>
          </cell>
          <cell r="P4648">
            <v>0</v>
          </cell>
        </row>
        <row r="4649">
          <cell r="K4649">
            <v>0</v>
          </cell>
          <cell r="M4649">
            <v>0</v>
          </cell>
          <cell r="P4649">
            <v>0</v>
          </cell>
        </row>
        <row r="4650">
          <cell r="K4650">
            <v>0</v>
          </cell>
          <cell r="M4650">
            <v>0</v>
          </cell>
          <cell r="P4650">
            <v>0</v>
          </cell>
        </row>
        <row r="4651">
          <cell r="K4651">
            <v>0</v>
          </cell>
          <cell r="M4651">
            <v>0</v>
          </cell>
          <cell r="P4651">
            <v>0</v>
          </cell>
        </row>
        <row r="4652">
          <cell r="K4652">
            <v>0</v>
          </cell>
          <cell r="M4652">
            <v>0</v>
          </cell>
          <cell r="P4652">
            <v>0</v>
          </cell>
        </row>
        <row r="4653">
          <cell r="K4653">
            <v>0</v>
          </cell>
          <cell r="M4653">
            <v>0</v>
          </cell>
          <cell r="P4653">
            <v>0</v>
          </cell>
        </row>
        <row r="4654">
          <cell r="K4654">
            <v>0</v>
          </cell>
          <cell r="M4654">
            <v>0</v>
          </cell>
          <cell r="P4654">
            <v>0</v>
          </cell>
        </row>
        <row r="4655">
          <cell r="K4655">
            <v>0</v>
          </cell>
          <cell r="M4655">
            <v>0</v>
          </cell>
          <cell r="P4655">
            <v>0</v>
          </cell>
        </row>
        <row r="4656">
          <cell r="K4656">
            <v>0</v>
          </cell>
          <cell r="M4656">
            <v>0</v>
          </cell>
          <cell r="P4656">
            <v>0</v>
          </cell>
        </row>
        <row r="4657">
          <cell r="K4657">
            <v>0</v>
          </cell>
          <cell r="M4657">
            <v>0</v>
          </cell>
          <cell r="P4657">
            <v>0</v>
          </cell>
        </row>
        <row r="4658">
          <cell r="K4658">
            <v>0</v>
          </cell>
          <cell r="M4658">
            <v>0</v>
          </cell>
          <cell r="P4658">
            <v>0</v>
          </cell>
        </row>
        <row r="4659">
          <cell r="K4659">
            <v>0</v>
          </cell>
          <cell r="M4659">
            <v>0</v>
          </cell>
          <cell r="P4659">
            <v>0</v>
          </cell>
        </row>
        <row r="4660">
          <cell r="K4660">
            <v>0</v>
          </cell>
          <cell r="M4660">
            <v>0</v>
          </cell>
          <cell r="P4660">
            <v>0</v>
          </cell>
        </row>
        <row r="4661">
          <cell r="K4661">
            <v>0</v>
          </cell>
          <cell r="M4661">
            <v>0</v>
          </cell>
          <cell r="P4661">
            <v>0</v>
          </cell>
        </row>
        <row r="4662">
          <cell r="K4662">
            <v>0</v>
          </cell>
          <cell r="M4662">
            <v>0</v>
          </cell>
          <cell r="P4662">
            <v>0</v>
          </cell>
        </row>
        <row r="4663">
          <cell r="K4663">
            <v>0</v>
          </cell>
          <cell r="M4663">
            <v>0</v>
          </cell>
          <cell r="P4663">
            <v>0</v>
          </cell>
        </row>
        <row r="4664">
          <cell r="K4664">
            <v>0</v>
          </cell>
          <cell r="M4664">
            <v>0</v>
          </cell>
          <cell r="P4664">
            <v>0</v>
          </cell>
        </row>
        <row r="4665">
          <cell r="K4665">
            <v>0</v>
          </cell>
          <cell r="M4665">
            <v>0</v>
          </cell>
          <cell r="P4665">
            <v>0</v>
          </cell>
        </row>
        <row r="4666">
          <cell r="K4666">
            <v>0</v>
          </cell>
          <cell r="M4666">
            <v>0</v>
          </cell>
          <cell r="P4666">
            <v>0</v>
          </cell>
        </row>
        <row r="4667">
          <cell r="K4667">
            <v>0</v>
          </cell>
          <cell r="M4667">
            <v>0</v>
          </cell>
          <cell r="P4667">
            <v>0</v>
          </cell>
        </row>
        <row r="4668">
          <cell r="K4668">
            <v>0</v>
          </cell>
          <cell r="M4668">
            <v>0</v>
          </cell>
          <cell r="P4668">
            <v>0</v>
          </cell>
        </row>
        <row r="4669">
          <cell r="K4669">
            <v>0</v>
          </cell>
          <cell r="M4669">
            <v>0</v>
          </cell>
          <cell r="P4669">
            <v>0</v>
          </cell>
        </row>
        <row r="4670">
          <cell r="K4670">
            <v>0</v>
          </cell>
          <cell r="M4670">
            <v>0</v>
          </cell>
          <cell r="P4670">
            <v>0</v>
          </cell>
        </row>
        <row r="4671">
          <cell r="K4671">
            <v>0</v>
          </cell>
          <cell r="M4671">
            <v>0</v>
          </cell>
          <cell r="P4671">
            <v>0</v>
          </cell>
        </row>
        <row r="4672">
          <cell r="K4672">
            <v>0</v>
          </cell>
          <cell r="M4672">
            <v>0</v>
          </cell>
          <cell r="P4672">
            <v>0</v>
          </cell>
        </row>
        <row r="4673">
          <cell r="K4673">
            <v>0</v>
          </cell>
          <cell r="M4673">
            <v>0</v>
          </cell>
          <cell r="P4673">
            <v>0</v>
          </cell>
        </row>
        <row r="4674">
          <cell r="K4674">
            <v>0</v>
          </cell>
          <cell r="M4674">
            <v>0</v>
          </cell>
          <cell r="P4674">
            <v>0</v>
          </cell>
        </row>
        <row r="4675">
          <cell r="K4675">
            <v>0</v>
          </cell>
          <cell r="M4675">
            <v>0</v>
          </cell>
          <cell r="P4675">
            <v>0</v>
          </cell>
        </row>
        <row r="4676">
          <cell r="K4676">
            <v>0</v>
          </cell>
          <cell r="M4676">
            <v>0</v>
          </cell>
          <cell r="P4676">
            <v>0</v>
          </cell>
        </row>
        <row r="4677">
          <cell r="K4677">
            <v>0</v>
          </cell>
          <cell r="M4677">
            <v>0</v>
          </cell>
          <cell r="P4677">
            <v>0</v>
          </cell>
        </row>
        <row r="4678">
          <cell r="K4678">
            <v>0</v>
          </cell>
          <cell r="M4678">
            <v>0</v>
          </cell>
          <cell r="P4678">
            <v>0</v>
          </cell>
        </row>
        <row r="4679">
          <cell r="K4679">
            <v>0</v>
          </cell>
          <cell r="M4679">
            <v>0</v>
          </cell>
          <cell r="P4679">
            <v>0</v>
          </cell>
        </row>
        <row r="4680">
          <cell r="K4680">
            <v>0</v>
          </cell>
          <cell r="M4680">
            <v>0</v>
          </cell>
          <cell r="P4680">
            <v>0</v>
          </cell>
        </row>
        <row r="4681">
          <cell r="K4681">
            <v>0</v>
          </cell>
          <cell r="M4681">
            <v>0</v>
          </cell>
          <cell r="P4681">
            <v>0</v>
          </cell>
        </row>
        <row r="4682">
          <cell r="K4682">
            <v>0</v>
          </cell>
          <cell r="M4682">
            <v>0</v>
          </cell>
          <cell r="P4682">
            <v>0</v>
          </cell>
        </row>
        <row r="4683">
          <cell r="K4683">
            <v>0</v>
          </cell>
          <cell r="M4683">
            <v>0</v>
          </cell>
          <cell r="P4683">
            <v>0</v>
          </cell>
        </row>
        <row r="4684">
          <cell r="K4684">
            <v>0</v>
          </cell>
          <cell r="M4684">
            <v>0</v>
          </cell>
          <cell r="P4684">
            <v>0</v>
          </cell>
        </row>
        <row r="4685">
          <cell r="K4685">
            <v>0</v>
          </cell>
          <cell r="M4685">
            <v>0</v>
          </cell>
          <cell r="P4685">
            <v>0</v>
          </cell>
        </row>
        <row r="4686">
          <cell r="K4686">
            <v>0</v>
          </cell>
          <cell r="M4686">
            <v>0</v>
          </cell>
          <cell r="P4686">
            <v>0</v>
          </cell>
        </row>
        <row r="4687">
          <cell r="K4687">
            <v>0</v>
          </cell>
          <cell r="M4687">
            <v>0</v>
          </cell>
          <cell r="P4687">
            <v>0</v>
          </cell>
        </row>
        <row r="4688">
          <cell r="K4688">
            <v>0</v>
          </cell>
          <cell r="M4688">
            <v>0</v>
          </cell>
          <cell r="P4688">
            <v>0</v>
          </cell>
        </row>
        <row r="4689">
          <cell r="K4689">
            <v>0</v>
          </cell>
          <cell r="M4689">
            <v>0</v>
          </cell>
          <cell r="P4689">
            <v>0</v>
          </cell>
        </row>
        <row r="4690">
          <cell r="K4690">
            <v>0</v>
          </cell>
          <cell r="M4690">
            <v>0</v>
          </cell>
          <cell r="P4690">
            <v>0</v>
          </cell>
        </row>
        <row r="4691">
          <cell r="K4691">
            <v>0</v>
          </cell>
          <cell r="M4691">
            <v>0</v>
          </cell>
          <cell r="P4691">
            <v>0</v>
          </cell>
        </row>
        <row r="4692">
          <cell r="K4692">
            <v>0</v>
          </cell>
          <cell r="M4692">
            <v>0</v>
          </cell>
          <cell r="P4692">
            <v>0</v>
          </cell>
        </row>
        <row r="4693">
          <cell r="K4693">
            <v>0</v>
          </cell>
          <cell r="M4693">
            <v>0</v>
          </cell>
          <cell r="P4693">
            <v>0</v>
          </cell>
        </row>
        <row r="4694">
          <cell r="K4694">
            <v>0</v>
          </cell>
          <cell r="M4694">
            <v>0</v>
          </cell>
          <cell r="P4694">
            <v>0</v>
          </cell>
        </row>
        <row r="4695">
          <cell r="K4695">
            <v>0</v>
          </cell>
          <cell r="M4695">
            <v>0</v>
          </cell>
          <cell r="P4695">
            <v>0</v>
          </cell>
        </row>
        <row r="4696">
          <cell r="K4696">
            <v>0</v>
          </cell>
          <cell r="M4696">
            <v>0</v>
          </cell>
          <cell r="P4696">
            <v>0</v>
          </cell>
        </row>
        <row r="4697">
          <cell r="K4697">
            <v>0</v>
          </cell>
          <cell r="M4697">
            <v>0</v>
          </cell>
          <cell r="P4697">
            <v>0</v>
          </cell>
        </row>
        <row r="4698">
          <cell r="K4698">
            <v>0</v>
          </cell>
          <cell r="M4698">
            <v>0</v>
          </cell>
          <cell r="P4698">
            <v>0</v>
          </cell>
        </row>
        <row r="4699">
          <cell r="K4699">
            <v>0</v>
          </cell>
          <cell r="M4699">
            <v>0</v>
          </cell>
          <cell r="P4699">
            <v>0</v>
          </cell>
        </row>
        <row r="4700">
          <cell r="K4700">
            <v>0</v>
          </cell>
          <cell r="M4700">
            <v>0</v>
          </cell>
          <cell r="P4700">
            <v>0</v>
          </cell>
        </row>
        <row r="4701">
          <cell r="K4701">
            <v>0</v>
          </cell>
          <cell r="M4701">
            <v>0</v>
          </cell>
          <cell r="P4701">
            <v>0</v>
          </cell>
        </row>
        <row r="4702">
          <cell r="K4702">
            <v>0</v>
          </cell>
          <cell r="M4702">
            <v>0</v>
          </cell>
          <cell r="P4702">
            <v>0</v>
          </cell>
        </row>
        <row r="4703">
          <cell r="K4703">
            <v>0</v>
          </cell>
          <cell r="M4703">
            <v>0</v>
          </cell>
          <cell r="P4703">
            <v>0</v>
          </cell>
        </row>
        <row r="4704">
          <cell r="K4704">
            <v>0</v>
          </cell>
          <cell r="M4704">
            <v>0</v>
          </cell>
          <cell r="P4704">
            <v>0</v>
          </cell>
        </row>
        <row r="4705">
          <cell r="K4705">
            <v>0</v>
          </cell>
          <cell r="M4705">
            <v>0</v>
          </cell>
          <cell r="P4705">
            <v>0</v>
          </cell>
        </row>
        <row r="4706">
          <cell r="K4706">
            <v>0</v>
          </cell>
          <cell r="M4706">
            <v>0</v>
          </cell>
          <cell r="P4706">
            <v>0</v>
          </cell>
        </row>
        <row r="4707">
          <cell r="K4707">
            <v>0</v>
          </cell>
          <cell r="M4707">
            <v>0</v>
          </cell>
          <cell r="P4707">
            <v>0</v>
          </cell>
        </row>
        <row r="4708">
          <cell r="K4708">
            <v>0</v>
          </cell>
          <cell r="M4708">
            <v>0</v>
          </cell>
          <cell r="P4708">
            <v>0</v>
          </cell>
        </row>
        <row r="4709">
          <cell r="K4709">
            <v>0</v>
          </cell>
          <cell r="M4709">
            <v>0</v>
          </cell>
          <cell r="P4709">
            <v>0</v>
          </cell>
        </row>
        <row r="4710">
          <cell r="K4710">
            <v>0</v>
          </cell>
          <cell r="M4710">
            <v>0</v>
          </cell>
          <cell r="P4710">
            <v>0</v>
          </cell>
        </row>
        <row r="4711">
          <cell r="K4711">
            <v>0</v>
          </cell>
          <cell r="M4711">
            <v>0</v>
          </cell>
          <cell r="P4711">
            <v>0</v>
          </cell>
        </row>
        <row r="4712">
          <cell r="K4712">
            <v>0</v>
          </cell>
          <cell r="M4712">
            <v>0</v>
          </cell>
          <cell r="P4712">
            <v>0</v>
          </cell>
        </row>
        <row r="4713">
          <cell r="K4713">
            <v>0</v>
          </cell>
          <cell r="M4713">
            <v>0</v>
          </cell>
          <cell r="P4713">
            <v>0</v>
          </cell>
        </row>
        <row r="4714">
          <cell r="K4714">
            <v>0</v>
          </cell>
          <cell r="M4714">
            <v>0</v>
          </cell>
          <cell r="P4714">
            <v>0</v>
          </cell>
        </row>
        <row r="4715">
          <cell r="K4715">
            <v>0</v>
          </cell>
          <cell r="M4715">
            <v>0</v>
          </cell>
          <cell r="P4715">
            <v>0</v>
          </cell>
        </row>
        <row r="4716">
          <cell r="K4716">
            <v>0</v>
          </cell>
          <cell r="M4716">
            <v>0</v>
          </cell>
          <cell r="P4716">
            <v>0</v>
          </cell>
        </row>
        <row r="4717">
          <cell r="K4717">
            <v>0</v>
          </cell>
          <cell r="M4717">
            <v>0</v>
          </cell>
          <cell r="P4717">
            <v>0</v>
          </cell>
        </row>
        <row r="4718">
          <cell r="K4718">
            <v>0</v>
          </cell>
          <cell r="M4718">
            <v>0</v>
          </cell>
          <cell r="P4718">
            <v>0</v>
          </cell>
        </row>
        <row r="4719">
          <cell r="K4719">
            <v>0</v>
          </cell>
          <cell r="M4719">
            <v>0</v>
          </cell>
          <cell r="P4719">
            <v>0</v>
          </cell>
        </row>
        <row r="4720">
          <cell r="K4720">
            <v>0</v>
          </cell>
          <cell r="M4720">
            <v>0</v>
          </cell>
          <cell r="P4720">
            <v>0</v>
          </cell>
        </row>
        <row r="4721">
          <cell r="K4721">
            <v>0</v>
          </cell>
          <cell r="M4721">
            <v>0</v>
          </cell>
          <cell r="P4721">
            <v>0</v>
          </cell>
        </row>
        <row r="4722">
          <cell r="K4722">
            <v>0</v>
          </cell>
          <cell r="M4722">
            <v>0</v>
          </cell>
          <cell r="P4722">
            <v>0</v>
          </cell>
        </row>
        <row r="4723">
          <cell r="K4723">
            <v>0</v>
          </cell>
          <cell r="M4723">
            <v>0</v>
          </cell>
          <cell r="P4723">
            <v>0</v>
          </cell>
        </row>
        <row r="4724">
          <cell r="K4724">
            <v>0</v>
          </cell>
          <cell r="M4724">
            <v>0</v>
          </cell>
          <cell r="P4724">
            <v>0</v>
          </cell>
        </row>
        <row r="4725">
          <cell r="K4725">
            <v>0</v>
          </cell>
          <cell r="M4725">
            <v>0</v>
          </cell>
          <cell r="P4725">
            <v>0</v>
          </cell>
        </row>
        <row r="4726">
          <cell r="K4726">
            <v>0</v>
          </cell>
          <cell r="M4726">
            <v>0</v>
          </cell>
          <cell r="P4726">
            <v>0</v>
          </cell>
        </row>
        <row r="4727">
          <cell r="K4727">
            <v>0</v>
          </cell>
          <cell r="M4727">
            <v>0</v>
          </cell>
          <cell r="P4727">
            <v>0</v>
          </cell>
        </row>
        <row r="4728">
          <cell r="K4728">
            <v>0</v>
          </cell>
          <cell r="M4728">
            <v>0</v>
          </cell>
          <cell r="P4728">
            <v>0</v>
          </cell>
        </row>
        <row r="4729">
          <cell r="K4729">
            <v>0</v>
          </cell>
          <cell r="M4729">
            <v>0</v>
          </cell>
          <cell r="P4729">
            <v>0</v>
          </cell>
        </row>
        <row r="4730">
          <cell r="K4730">
            <v>0</v>
          </cell>
          <cell r="M4730">
            <v>0</v>
          </cell>
          <cell r="P4730">
            <v>0</v>
          </cell>
        </row>
        <row r="4731">
          <cell r="K4731">
            <v>0</v>
          </cell>
          <cell r="M4731">
            <v>0</v>
          </cell>
          <cell r="P4731">
            <v>0</v>
          </cell>
        </row>
        <row r="4732">
          <cell r="K4732">
            <v>0</v>
          </cell>
          <cell r="M4732">
            <v>0</v>
          </cell>
          <cell r="P4732">
            <v>0</v>
          </cell>
        </row>
        <row r="4733">
          <cell r="K4733">
            <v>0</v>
          </cell>
          <cell r="M4733">
            <v>0</v>
          </cell>
          <cell r="P4733">
            <v>0</v>
          </cell>
        </row>
        <row r="4734">
          <cell r="K4734">
            <v>0</v>
          </cell>
          <cell r="M4734">
            <v>0</v>
          </cell>
          <cell r="P4734">
            <v>0</v>
          </cell>
        </row>
        <row r="4735">
          <cell r="K4735">
            <v>0</v>
          </cell>
          <cell r="M4735">
            <v>0</v>
          </cell>
          <cell r="P4735">
            <v>0</v>
          </cell>
        </row>
        <row r="4736">
          <cell r="K4736">
            <v>0</v>
          </cell>
          <cell r="M4736">
            <v>0</v>
          </cell>
          <cell r="P4736">
            <v>0</v>
          </cell>
        </row>
        <row r="4737">
          <cell r="K4737">
            <v>0</v>
          </cell>
          <cell r="M4737">
            <v>0</v>
          </cell>
          <cell r="P4737">
            <v>0</v>
          </cell>
        </row>
        <row r="4738">
          <cell r="K4738">
            <v>0</v>
          </cell>
          <cell r="M4738">
            <v>0</v>
          </cell>
          <cell r="P4738">
            <v>0</v>
          </cell>
        </row>
        <row r="4739">
          <cell r="K4739">
            <v>0</v>
          </cell>
          <cell r="M4739">
            <v>0</v>
          </cell>
          <cell r="P4739">
            <v>0</v>
          </cell>
        </row>
        <row r="4740">
          <cell r="K4740">
            <v>0</v>
          </cell>
          <cell r="M4740">
            <v>0</v>
          </cell>
          <cell r="P4740">
            <v>0</v>
          </cell>
        </row>
        <row r="4741">
          <cell r="K4741">
            <v>0</v>
          </cell>
          <cell r="M4741">
            <v>0</v>
          </cell>
          <cell r="P4741">
            <v>0</v>
          </cell>
        </row>
        <row r="4742">
          <cell r="K4742">
            <v>0</v>
          </cell>
          <cell r="M4742">
            <v>0</v>
          </cell>
          <cell r="P4742">
            <v>0</v>
          </cell>
        </row>
        <row r="4743">
          <cell r="K4743">
            <v>0</v>
          </cell>
          <cell r="M4743">
            <v>0</v>
          </cell>
          <cell r="P4743">
            <v>0</v>
          </cell>
        </row>
        <row r="4744">
          <cell r="K4744">
            <v>0</v>
          </cell>
          <cell r="M4744">
            <v>0</v>
          </cell>
          <cell r="P4744">
            <v>0</v>
          </cell>
        </row>
        <row r="4745">
          <cell r="K4745">
            <v>0</v>
          </cell>
          <cell r="M4745">
            <v>0</v>
          </cell>
          <cell r="P4745">
            <v>0</v>
          </cell>
        </row>
        <row r="4746">
          <cell r="K4746">
            <v>0</v>
          </cell>
          <cell r="M4746">
            <v>0</v>
          </cell>
          <cell r="P4746">
            <v>0</v>
          </cell>
        </row>
        <row r="4747">
          <cell r="K4747">
            <v>0</v>
          </cell>
          <cell r="M4747">
            <v>0</v>
          </cell>
          <cell r="P4747">
            <v>0</v>
          </cell>
        </row>
        <row r="4748">
          <cell r="K4748">
            <v>0</v>
          </cell>
          <cell r="M4748">
            <v>0</v>
          </cell>
          <cell r="P4748">
            <v>0</v>
          </cell>
        </row>
        <row r="4749">
          <cell r="K4749">
            <v>0</v>
          </cell>
          <cell r="M4749">
            <v>0</v>
          </cell>
          <cell r="P4749">
            <v>0</v>
          </cell>
        </row>
        <row r="4750">
          <cell r="K4750">
            <v>0</v>
          </cell>
          <cell r="M4750">
            <v>0</v>
          </cell>
          <cell r="P4750">
            <v>0</v>
          </cell>
        </row>
        <row r="4751">
          <cell r="K4751">
            <v>0</v>
          </cell>
          <cell r="M4751">
            <v>0</v>
          </cell>
          <cell r="P4751">
            <v>0</v>
          </cell>
        </row>
        <row r="4752">
          <cell r="K4752">
            <v>0</v>
          </cell>
          <cell r="M4752">
            <v>0</v>
          </cell>
          <cell r="P4752">
            <v>0</v>
          </cell>
        </row>
        <row r="4753">
          <cell r="K4753">
            <v>0</v>
          </cell>
          <cell r="M4753">
            <v>0</v>
          </cell>
          <cell r="P4753">
            <v>0</v>
          </cell>
        </row>
        <row r="4754">
          <cell r="K4754">
            <v>0</v>
          </cell>
          <cell r="M4754">
            <v>0</v>
          </cell>
          <cell r="P4754">
            <v>0</v>
          </cell>
        </row>
        <row r="4755">
          <cell r="K4755">
            <v>0</v>
          </cell>
          <cell r="M4755">
            <v>0</v>
          </cell>
          <cell r="P4755">
            <v>0</v>
          </cell>
        </row>
        <row r="4756">
          <cell r="K4756">
            <v>0</v>
          </cell>
          <cell r="M4756">
            <v>0</v>
          </cell>
          <cell r="P4756">
            <v>0</v>
          </cell>
        </row>
        <row r="4757">
          <cell r="K4757">
            <v>0</v>
          </cell>
          <cell r="M4757">
            <v>0</v>
          </cell>
          <cell r="P4757">
            <v>0</v>
          </cell>
        </row>
        <row r="4758">
          <cell r="K4758">
            <v>0</v>
          </cell>
          <cell r="M4758">
            <v>0</v>
          </cell>
          <cell r="P4758">
            <v>0</v>
          </cell>
        </row>
        <row r="4759">
          <cell r="K4759">
            <v>0</v>
          </cell>
          <cell r="M4759">
            <v>0</v>
          </cell>
          <cell r="P4759">
            <v>0</v>
          </cell>
        </row>
        <row r="4760">
          <cell r="K4760">
            <v>0</v>
          </cell>
          <cell r="M4760">
            <v>0</v>
          </cell>
          <cell r="P4760">
            <v>0</v>
          </cell>
        </row>
        <row r="4761">
          <cell r="K4761">
            <v>0</v>
          </cell>
          <cell r="M4761">
            <v>0</v>
          </cell>
          <cell r="P4761">
            <v>0</v>
          </cell>
        </row>
        <row r="4762">
          <cell r="K4762">
            <v>0</v>
          </cell>
          <cell r="M4762">
            <v>0</v>
          </cell>
          <cell r="P4762">
            <v>0</v>
          </cell>
        </row>
        <row r="4763">
          <cell r="K4763">
            <v>0</v>
          </cell>
          <cell r="M4763">
            <v>0</v>
          </cell>
          <cell r="P4763">
            <v>0</v>
          </cell>
        </row>
        <row r="4764">
          <cell r="K4764">
            <v>0</v>
          </cell>
          <cell r="M4764">
            <v>0</v>
          </cell>
          <cell r="P4764">
            <v>0</v>
          </cell>
        </row>
        <row r="4765">
          <cell r="K4765">
            <v>0</v>
          </cell>
          <cell r="M4765">
            <v>0</v>
          </cell>
          <cell r="P4765">
            <v>0</v>
          </cell>
        </row>
        <row r="4766">
          <cell r="K4766">
            <v>0</v>
          </cell>
          <cell r="M4766">
            <v>0</v>
          </cell>
          <cell r="P4766">
            <v>0</v>
          </cell>
        </row>
        <row r="4767">
          <cell r="K4767">
            <v>0</v>
          </cell>
          <cell r="M4767">
            <v>0</v>
          </cell>
          <cell r="P4767">
            <v>0</v>
          </cell>
        </row>
        <row r="4768">
          <cell r="K4768">
            <v>0</v>
          </cell>
          <cell r="M4768">
            <v>0</v>
          </cell>
          <cell r="P4768">
            <v>0</v>
          </cell>
        </row>
        <row r="4769">
          <cell r="K4769">
            <v>0</v>
          </cell>
          <cell r="M4769">
            <v>0</v>
          </cell>
          <cell r="P4769">
            <v>0</v>
          </cell>
        </row>
        <row r="4770">
          <cell r="K4770">
            <v>0</v>
          </cell>
          <cell r="M4770">
            <v>0</v>
          </cell>
          <cell r="P4770">
            <v>0</v>
          </cell>
        </row>
        <row r="4771">
          <cell r="K4771">
            <v>0</v>
          </cell>
          <cell r="M4771">
            <v>0</v>
          </cell>
          <cell r="P4771">
            <v>0</v>
          </cell>
        </row>
        <row r="4772">
          <cell r="K4772">
            <v>0</v>
          </cell>
          <cell r="M4772">
            <v>0</v>
          </cell>
          <cell r="P4772">
            <v>0</v>
          </cell>
        </row>
        <row r="4773">
          <cell r="K4773">
            <v>0</v>
          </cell>
          <cell r="M4773">
            <v>0</v>
          </cell>
          <cell r="P4773">
            <v>0</v>
          </cell>
        </row>
        <row r="4774">
          <cell r="K4774">
            <v>0</v>
          </cell>
          <cell r="M4774">
            <v>0</v>
          </cell>
          <cell r="P4774">
            <v>0</v>
          </cell>
        </row>
        <row r="4775">
          <cell r="K4775">
            <v>0</v>
          </cell>
          <cell r="M4775">
            <v>0</v>
          </cell>
          <cell r="P4775">
            <v>0</v>
          </cell>
        </row>
        <row r="4776">
          <cell r="K4776">
            <v>0</v>
          </cell>
          <cell r="M4776">
            <v>0</v>
          </cell>
          <cell r="P4776">
            <v>0</v>
          </cell>
        </row>
        <row r="4777">
          <cell r="K4777">
            <v>0</v>
          </cell>
          <cell r="M4777">
            <v>0</v>
          </cell>
          <cell r="P4777">
            <v>0</v>
          </cell>
        </row>
        <row r="4778">
          <cell r="K4778">
            <v>0</v>
          </cell>
          <cell r="M4778">
            <v>0</v>
          </cell>
          <cell r="P4778">
            <v>0</v>
          </cell>
        </row>
        <row r="4779">
          <cell r="K4779">
            <v>0</v>
          </cell>
          <cell r="M4779">
            <v>0</v>
          </cell>
          <cell r="P4779">
            <v>0</v>
          </cell>
        </row>
        <row r="4780">
          <cell r="K4780">
            <v>0</v>
          </cell>
          <cell r="M4780">
            <v>0</v>
          </cell>
          <cell r="P4780">
            <v>0</v>
          </cell>
        </row>
        <row r="4781">
          <cell r="K4781">
            <v>0</v>
          </cell>
          <cell r="M4781">
            <v>0</v>
          </cell>
          <cell r="P4781">
            <v>0</v>
          </cell>
        </row>
        <row r="4782">
          <cell r="K4782">
            <v>0</v>
          </cell>
          <cell r="M4782">
            <v>0</v>
          </cell>
          <cell r="P4782">
            <v>0</v>
          </cell>
        </row>
        <row r="4783">
          <cell r="K4783">
            <v>0</v>
          </cell>
          <cell r="M4783">
            <v>0</v>
          </cell>
          <cell r="P4783">
            <v>0</v>
          </cell>
        </row>
        <row r="4784">
          <cell r="K4784">
            <v>0</v>
          </cell>
          <cell r="M4784">
            <v>0</v>
          </cell>
          <cell r="P4784">
            <v>0</v>
          </cell>
        </row>
        <row r="4785">
          <cell r="K4785">
            <v>0</v>
          </cell>
          <cell r="M4785">
            <v>0</v>
          </cell>
          <cell r="P4785">
            <v>0</v>
          </cell>
        </row>
        <row r="4786">
          <cell r="K4786">
            <v>0</v>
          </cell>
          <cell r="M4786">
            <v>0</v>
          </cell>
          <cell r="P4786">
            <v>0</v>
          </cell>
        </row>
        <row r="4787">
          <cell r="K4787">
            <v>0</v>
          </cell>
          <cell r="M4787">
            <v>0</v>
          </cell>
          <cell r="P4787">
            <v>0</v>
          </cell>
        </row>
        <row r="4788">
          <cell r="K4788">
            <v>0</v>
          </cell>
          <cell r="M4788">
            <v>0</v>
          </cell>
          <cell r="P4788">
            <v>0</v>
          </cell>
        </row>
        <row r="4789">
          <cell r="K4789">
            <v>0</v>
          </cell>
          <cell r="M4789">
            <v>0</v>
          </cell>
          <cell r="P4789">
            <v>0</v>
          </cell>
        </row>
        <row r="4790">
          <cell r="K4790">
            <v>0</v>
          </cell>
          <cell r="M4790">
            <v>0</v>
          </cell>
          <cell r="P4790">
            <v>0</v>
          </cell>
        </row>
        <row r="4791">
          <cell r="K4791">
            <v>0</v>
          </cell>
          <cell r="M4791">
            <v>0</v>
          </cell>
          <cell r="P4791">
            <v>0</v>
          </cell>
        </row>
        <row r="4792">
          <cell r="K4792">
            <v>0</v>
          </cell>
          <cell r="M4792">
            <v>0</v>
          </cell>
          <cell r="P4792">
            <v>0</v>
          </cell>
        </row>
        <row r="4793">
          <cell r="K4793">
            <v>0</v>
          </cell>
          <cell r="M4793">
            <v>0</v>
          </cell>
          <cell r="P4793">
            <v>0</v>
          </cell>
        </row>
        <row r="4794">
          <cell r="K4794">
            <v>0</v>
          </cell>
          <cell r="M4794">
            <v>0</v>
          </cell>
          <cell r="P4794">
            <v>0</v>
          </cell>
        </row>
        <row r="4795">
          <cell r="K4795">
            <v>0</v>
          </cell>
          <cell r="M4795">
            <v>0</v>
          </cell>
          <cell r="P4795">
            <v>0</v>
          </cell>
        </row>
        <row r="4796">
          <cell r="K4796">
            <v>0</v>
          </cell>
          <cell r="M4796">
            <v>0</v>
          </cell>
          <cell r="P4796">
            <v>0</v>
          </cell>
        </row>
        <row r="4797">
          <cell r="K4797">
            <v>0</v>
          </cell>
          <cell r="M4797">
            <v>0</v>
          </cell>
          <cell r="P4797">
            <v>0</v>
          </cell>
        </row>
        <row r="4798">
          <cell r="K4798">
            <v>0</v>
          </cell>
          <cell r="M4798">
            <v>0</v>
          </cell>
          <cell r="P4798">
            <v>0</v>
          </cell>
        </row>
        <row r="4799">
          <cell r="K4799">
            <v>0</v>
          </cell>
          <cell r="M4799">
            <v>0</v>
          </cell>
          <cell r="P4799">
            <v>0</v>
          </cell>
        </row>
        <row r="4800">
          <cell r="K4800">
            <v>0</v>
          </cell>
          <cell r="M4800">
            <v>0</v>
          </cell>
          <cell r="P4800">
            <v>0</v>
          </cell>
        </row>
        <row r="4801">
          <cell r="K4801">
            <v>0</v>
          </cell>
          <cell r="M4801">
            <v>0</v>
          </cell>
          <cell r="P4801">
            <v>0</v>
          </cell>
        </row>
        <row r="4802">
          <cell r="K4802">
            <v>0</v>
          </cell>
          <cell r="M4802">
            <v>0</v>
          </cell>
          <cell r="P4802">
            <v>0</v>
          </cell>
        </row>
        <row r="4803">
          <cell r="K4803">
            <v>0</v>
          </cell>
          <cell r="M4803">
            <v>0</v>
          </cell>
          <cell r="P4803">
            <v>0</v>
          </cell>
        </row>
        <row r="4804">
          <cell r="K4804">
            <v>0</v>
          </cell>
          <cell r="M4804">
            <v>0</v>
          </cell>
          <cell r="P4804">
            <v>0</v>
          </cell>
        </row>
        <row r="4805">
          <cell r="K4805">
            <v>0</v>
          </cell>
          <cell r="M4805">
            <v>0</v>
          </cell>
          <cell r="P4805">
            <v>0</v>
          </cell>
        </row>
        <row r="4806">
          <cell r="K4806">
            <v>0</v>
          </cell>
          <cell r="M4806">
            <v>0</v>
          </cell>
          <cell r="P4806">
            <v>0</v>
          </cell>
        </row>
        <row r="4807">
          <cell r="K4807">
            <v>0</v>
          </cell>
          <cell r="M4807">
            <v>0</v>
          </cell>
          <cell r="P4807">
            <v>0</v>
          </cell>
        </row>
        <row r="4808">
          <cell r="K4808">
            <v>0</v>
          </cell>
          <cell r="M4808">
            <v>0</v>
          </cell>
          <cell r="P4808">
            <v>0</v>
          </cell>
        </row>
        <row r="4809">
          <cell r="K4809">
            <v>0</v>
          </cell>
          <cell r="M4809">
            <v>0</v>
          </cell>
          <cell r="P4809">
            <v>0</v>
          </cell>
        </row>
        <row r="4810">
          <cell r="K4810">
            <v>0</v>
          </cell>
          <cell r="M4810">
            <v>0</v>
          </cell>
          <cell r="P4810">
            <v>0</v>
          </cell>
        </row>
        <row r="4811">
          <cell r="K4811">
            <v>0</v>
          </cell>
          <cell r="M4811">
            <v>0</v>
          </cell>
          <cell r="P4811">
            <v>0</v>
          </cell>
        </row>
        <row r="4812">
          <cell r="K4812">
            <v>0</v>
          </cell>
          <cell r="M4812">
            <v>0</v>
          </cell>
          <cell r="P4812">
            <v>0</v>
          </cell>
        </row>
        <row r="4813">
          <cell r="K4813">
            <v>0</v>
          </cell>
          <cell r="M4813">
            <v>0</v>
          </cell>
          <cell r="P4813">
            <v>0</v>
          </cell>
        </row>
        <row r="4814">
          <cell r="K4814">
            <v>0</v>
          </cell>
          <cell r="M4814">
            <v>0</v>
          </cell>
          <cell r="P4814">
            <v>0</v>
          </cell>
        </row>
        <row r="4815">
          <cell r="K4815">
            <v>0</v>
          </cell>
          <cell r="M4815">
            <v>0</v>
          </cell>
          <cell r="P4815">
            <v>0</v>
          </cell>
        </row>
        <row r="4816">
          <cell r="K4816">
            <v>0</v>
          </cell>
          <cell r="M4816">
            <v>0</v>
          </cell>
          <cell r="P4816">
            <v>0</v>
          </cell>
        </row>
        <row r="4817">
          <cell r="K4817">
            <v>0</v>
          </cell>
          <cell r="M4817">
            <v>0</v>
          </cell>
          <cell r="P4817">
            <v>0</v>
          </cell>
        </row>
        <row r="4818">
          <cell r="K4818">
            <v>0</v>
          </cell>
          <cell r="M4818">
            <v>0</v>
          </cell>
          <cell r="P4818">
            <v>0</v>
          </cell>
        </row>
        <row r="4819">
          <cell r="K4819">
            <v>0</v>
          </cell>
          <cell r="M4819">
            <v>0</v>
          </cell>
          <cell r="P4819">
            <v>0</v>
          </cell>
        </row>
        <row r="4820">
          <cell r="K4820">
            <v>0</v>
          </cell>
          <cell r="M4820">
            <v>0</v>
          </cell>
          <cell r="P4820">
            <v>0</v>
          </cell>
        </row>
        <row r="4821">
          <cell r="K4821">
            <v>0</v>
          </cell>
          <cell r="M4821">
            <v>0</v>
          </cell>
          <cell r="P4821">
            <v>0</v>
          </cell>
        </row>
        <row r="4822">
          <cell r="K4822">
            <v>0</v>
          </cell>
          <cell r="M4822">
            <v>0</v>
          </cell>
          <cell r="P4822">
            <v>0</v>
          </cell>
        </row>
        <row r="4823">
          <cell r="K4823">
            <v>0</v>
          </cell>
          <cell r="M4823">
            <v>0</v>
          </cell>
          <cell r="P4823">
            <v>0</v>
          </cell>
        </row>
        <row r="4824">
          <cell r="K4824">
            <v>0</v>
          </cell>
          <cell r="M4824">
            <v>0</v>
          </cell>
          <cell r="P4824">
            <v>0</v>
          </cell>
        </row>
        <row r="4825">
          <cell r="K4825">
            <v>0</v>
          </cell>
          <cell r="M4825">
            <v>0</v>
          </cell>
          <cell r="P4825">
            <v>0</v>
          </cell>
        </row>
        <row r="4826">
          <cell r="K4826">
            <v>0</v>
          </cell>
          <cell r="M4826">
            <v>0</v>
          </cell>
          <cell r="P4826">
            <v>0</v>
          </cell>
        </row>
        <row r="4827">
          <cell r="K4827">
            <v>0</v>
          </cell>
          <cell r="M4827">
            <v>0</v>
          </cell>
          <cell r="P4827">
            <v>0</v>
          </cell>
        </row>
        <row r="4828">
          <cell r="K4828">
            <v>0</v>
          </cell>
          <cell r="M4828">
            <v>0</v>
          </cell>
          <cell r="P4828">
            <v>0</v>
          </cell>
        </row>
        <row r="4829">
          <cell r="K4829">
            <v>0</v>
          </cell>
          <cell r="M4829">
            <v>0</v>
          </cell>
          <cell r="P4829">
            <v>0</v>
          </cell>
        </row>
        <row r="4830">
          <cell r="K4830">
            <v>0</v>
          </cell>
          <cell r="M4830">
            <v>0</v>
          </cell>
          <cell r="P4830">
            <v>0</v>
          </cell>
        </row>
        <row r="4831">
          <cell r="K4831">
            <v>0</v>
          </cell>
          <cell r="M4831">
            <v>0</v>
          </cell>
          <cell r="P4831">
            <v>0</v>
          </cell>
        </row>
        <row r="4832">
          <cell r="K4832">
            <v>0</v>
          </cell>
          <cell r="M4832">
            <v>0</v>
          </cell>
          <cell r="P4832">
            <v>0</v>
          </cell>
        </row>
        <row r="4833">
          <cell r="K4833">
            <v>0</v>
          </cell>
          <cell r="M4833">
            <v>0</v>
          </cell>
          <cell r="P4833">
            <v>0</v>
          </cell>
        </row>
        <row r="4834">
          <cell r="K4834">
            <v>0</v>
          </cell>
          <cell r="M4834">
            <v>0</v>
          </cell>
          <cell r="P4834">
            <v>0</v>
          </cell>
        </row>
        <row r="4835">
          <cell r="K4835">
            <v>0</v>
          </cell>
          <cell r="M4835">
            <v>0</v>
          </cell>
          <cell r="P4835">
            <v>0</v>
          </cell>
        </row>
        <row r="4836">
          <cell r="K4836">
            <v>0</v>
          </cell>
          <cell r="M4836">
            <v>0</v>
          </cell>
          <cell r="P4836">
            <v>0</v>
          </cell>
        </row>
        <row r="4837">
          <cell r="K4837">
            <v>0</v>
          </cell>
          <cell r="M4837">
            <v>0</v>
          </cell>
          <cell r="P4837">
            <v>0</v>
          </cell>
        </row>
        <row r="4838">
          <cell r="K4838">
            <v>0</v>
          </cell>
          <cell r="M4838">
            <v>0</v>
          </cell>
          <cell r="P4838">
            <v>0</v>
          </cell>
        </row>
        <row r="4839">
          <cell r="K4839">
            <v>0</v>
          </cell>
          <cell r="M4839">
            <v>0</v>
          </cell>
          <cell r="P4839">
            <v>0</v>
          </cell>
        </row>
        <row r="4840">
          <cell r="K4840">
            <v>0</v>
          </cell>
          <cell r="M4840">
            <v>0</v>
          </cell>
          <cell r="P4840">
            <v>0</v>
          </cell>
        </row>
        <row r="4841">
          <cell r="K4841">
            <v>0</v>
          </cell>
          <cell r="M4841">
            <v>0</v>
          </cell>
          <cell r="P4841">
            <v>0</v>
          </cell>
        </row>
        <row r="4842">
          <cell r="K4842">
            <v>0</v>
          </cell>
          <cell r="M4842">
            <v>0</v>
          </cell>
          <cell r="P4842">
            <v>0</v>
          </cell>
        </row>
        <row r="4843">
          <cell r="K4843">
            <v>0</v>
          </cell>
          <cell r="M4843">
            <v>0</v>
          </cell>
          <cell r="P4843">
            <v>0</v>
          </cell>
        </row>
        <row r="4844">
          <cell r="K4844">
            <v>0</v>
          </cell>
          <cell r="M4844">
            <v>0</v>
          </cell>
          <cell r="P4844">
            <v>0</v>
          </cell>
        </row>
        <row r="4845">
          <cell r="K4845">
            <v>0</v>
          </cell>
          <cell r="M4845">
            <v>0</v>
          </cell>
          <cell r="P4845">
            <v>0</v>
          </cell>
        </row>
        <row r="4846">
          <cell r="K4846">
            <v>0</v>
          </cell>
          <cell r="M4846">
            <v>0</v>
          </cell>
          <cell r="P4846">
            <v>0</v>
          </cell>
        </row>
        <row r="4847">
          <cell r="K4847">
            <v>0</v>
          </cell>
          <cell r="M4847">
            <v>0</v>
          </cell>
          <cell r="P4847">
            <v>0</v>
          </cell>
        </row>
        <row r="4848">
          <cell r="K4848">
            <v>0</v>
          </cell>
          <cell r="M4848">
            <v>0</v>
          </cell>
          <cell r="P4848">
            <v>0</v>
          </cell>
        </row>
        <row r="4849">
          <cell r="K4849">
            <v>0</v>
          </cell>
          <cell r="M4849">
            <v>0</v>
          </cell>
          <cell r="P4849">
            <v>0</v>
          </cell>
        </row>
        <row r="4850">
          <cell r="K4850">
            <v>0</v>
          </cell>
          <cell r="M4850">
            <v>0</v>
          </cell>
          <cell r="P4850">
            <v>0</v>
          </cell>
        </row>
        <row r="4851">
          <cell r="K4851">
            <v>0</v>
          </cell>
          <cell r="M4851">
            <v>0</v>
          </cell>
          <cell r="P4851">
            <v>0</v>
          </cell>
        </row>
        <row r="4852">
          <cell r="K4852">
            <v>0</v>
          </cell>
          <cell r="M4852">
            <v>0</v>
          </cell>
          <cell r="P4852">
            <v>0</v>
          </cell>
        </row>
        <row r="4853">
          <cell r="K4853">
            <v>0</v>
          </cell>
          <cell r="M4853">
            <v>0</v>
          </cell>
          <cell r="P4853">
            <v>0</v>
          </cell>
        </row>
        <row r="4854">
          <cell r="K4854">
            <v>0</v>
          </cell>
          <cell r="M4854">
            <v>0</v>
          </cell>
          <cell r="P4854">
            <v>0</v>
          </cell>
        </row>
        <row r="4855">
          <cell r="K4855">
            <v>0</v>
          </cell>
          <cell r="M4855">
            <v>0</v>
          </cell>
          <cell r="P4855">
            <v>0</v>
          </cell>
        </row>
        <row r="4856">
          <cell r="K4856">
            <v>0</v>
          </cell>
          <cell r="M4856">
            <v>0</v>
          </cell>
          <cell r="P4856">
            <v>0</v>
          </cell>
        </row>
        <row r="4857">
          <cell r="K4857">
            <v>0</v>
          </cell>
          <cell r="M4857">
            <v>0</v>
          </cell>
          <cell r="P4857">
            <v>0</v>
          </cell>
        </row>
        <row r="4858">
          <cell r="K4858">
            <v>0</v>
          </cell>
          <cell r="M4858">
            <v>0</v>
          </cell>
          <cell r="P4858">
            <v>0</v>
          </cell>
        </row>
        <row r="4859">
          <cell r="K4859">
            <v>0</v>
          </cell>
          <cell r="M4859">
            <v>0</v>
          </cell>
          <cell r="P4859">
            <v>0</v>
          </cell>
        </row>
        <row r="4860">
          <cell r="K4860">
            <v>0</v>
          </cell>
          <cell r="M4860">
            <v>0</v>
          </cell>
          <cell r="P4860">
            <v>0</v>
          </cell>
        </row>
        <row r="4861">
          <cell r="K4861">
            <v>0</v>
          </cell>
          <cell r="M4861">
            <v>0</v>
          </cell>
          <cell r="P4861">
            <v>0</v>
          </cell>
        </row>
        <row r="4862">
          <cell r="K4862">
            <v>0</v>
          </cell>
          <cell r="M4862">
            <v>0</v>
          </cell>
          <cell r="P4862">
            <v>0</v>
          </cell>
        </row>
        <row r="4863">
          <cell r="K4863">
            <v>0</v>
          </cell>
          <cell r="M4863">
            <v>0</v>
          </cell>
          <cell r="P4863">
            <v>0</v>
          </cell>
        </row>
        <row r="4864">
          <cell r="K4864">
            <v>0</v>
          </cell>
          <cell r="M4864">
            <v>0</v>
          </cell>
          <cell r="P4864">
            <v>0</v>
          </cell>
        </row>
        <row r="4865">
          <cell r="K4865">
            <v>0</v>
          </cell>
          <cell r="M4865">
            <v>0</v>
          </cell>
          <cell r="P4865">
            <v>0</v>
          </cell>
        </row>
        <row r="4866">
          <cell r="K4866">
            <v>0</v>
          </cell>
          <cell r="M4866">
            <v>0</v>
          </cell>
          <cell r="P4866">
            <v>0</v>
          </cell>
        </row>
        <row r="4867">
          <cell r="K4867">
            <v>0</v>
          </cell>
          <cell r="M4867">
            <v>0</v>
          </cell>
          <cell r="P4867">
            <v>0</v>
          </cell>
        </row>
        <row r="4868">
          <cell r="K4868">
            <v>0</v>
          </cell>
          <cell r="M4868">
            <v>0</v>
          </cell>
          <cell r="P4868">
            <v>0</v>
          </cell>
        </row>
        <row r="4869">
          <cell r="K4869">
            <v>0</v>
          </cell>
          <cell r="M4869">
            <v>0</v>
          </cell>
          <cell r="P4869">
            <v>0</v>
          </cell>
        </row>
        <row r="4870">
          <cell r="K4870">
            <v>0</v>
          </cell>
          <cell r="M4870">
            <v>0</v>
          </cell>
          <cell r="P4870">
            <v>0</v>
          </cell>
        </row>
        <row r="4871">
          <cell r="K4871">
            <v>0</v>
          </cell>
          <cell r="M4871">
            <v>0</v>
          </cell>
          <cell r="P4871">
            <v>0</v>
          </cell>
        </row>
        <row r="4872">
          <cell r="K4872">
            <v>0</v>
          </cell>
          <cell r="M4872">
            <v>0</v>
          </cell>
          <cell r="P4872">
            <v>0</v>
          </cell>
        </row>
        <row r="4873">
          <cell r="K4873">
            <v>0</v>
          </cell>
          <cell r="M4873">
            <v>0</v>
          </cell>
          <cell r="P4873">
            <v>0</v>
          </cell>
        </row>
        <row r="4874">
          <cell r="K4874">
            <v>0</v>
          </cell>
          <cell r="M4874">
            <v>0</v>
          </cell>
          <cell r="P4874">
            <v>0</v>
          </cell>
        </row>
        <row r="4875">
          <cell r="K4875">
            <v>0</v>
          </cell>
          <cell r="M4875">
            <v>0</v>
          </cell>
          <cell r="P4875">
            <v>0</v>
          </cell>
        </row>
        <row r="4876">
          <cell r="K4876">
            <v>0</v>
          </cell>
          <cell r="M4876">
            <v>0</v>
          </cell>
          <cell r="P4876">
            <v>0</v>
          </cell>
        </row>
        <row r="4877">
          <cell r="K4877">
            <v>0</v>
          </cell>
          <cell r="M4877">
            <v>0</v>
          </cell>
          <cell r="P4877">
            <v>0</v>
          </cell>
        </row>
        <row r="4878">
          <cell r="K4878">
            <v>0</v>
          </cell>
          <cell r="M4878">
            <v>0</v>
          </cell>
          <cell r="P4878">
            <v>0</v>
          </cell>
        </row>
        <row r="4879">
          <cell r="K4879">
            <v>0</v>
          </cell>
          <cell r="M4879">
            <v>0</v>
          </cell>
          <cell r="P4879">
            <v>0</v>
          </cell>
        </row>
        <row r="4880">
          <cell r="K4880">
            <v>0</v>
          </cell>
          <cell r="M4880">
            <v>0</v>
          </cell>
          <cell r="P4880">
            <v>0</v>
          </cell>
        </row>
        <row r="4881">
          <cell r="K4881">
            <v>0</v>
          </cell>
          <cell r="M4881">
            <v>0</v>
          </cell>
          <cell r="P4881">
            <v>0</v>
          </cell>
        </row>
        <row r="4882">
          <cell r="K4882">
            <v>0</v>
          </cell>
          <cell r="M4882">
            <v>0</v>
          </cell>
          <cell r="P4882">
            <v>0</v>
          </cell>
        </row>
        <row r="4883">
          <cell r="K4883">
            <v>0</v>
          </cell>
          <cell r="M4883">
            <v>0</v>
          </cell>
          <cell r="P4883">
            <v>0</v>
          </cell>
        </row>
        <row r="4884">
          <cell r="K4884">
            <v>0</v>
          </cell>
          <cell r="M4884">
            <v>0</v>
          </cell>
          <cell r="P4884">
            <v>0</v>
          </cell>
        </row>
        <row r="4885">
          <cell r="K4885">
            <v>0</v>
          </cell>
          <cell r="M4885">
            <v>0</v>
          </cell>
          <cell r="P4885">
            <v>0</v>
          </cell>
        </row>
        <row r="4886">
          <cell r="K4886">
            <v>0</v>
          </cell>
          <cell r="M4886">
            <v>0</v>
          </cell>
          <cell r="P4886">
            <v>0</v>
          </cell>
        </row>
        <row r="4887">
          <cell r="K4887">
            <v>0</v>
          </cell>
          <cell r="M4887">
            <v>0</v>
          </cell>
          <cell r="P4887">
            <v>0</v>
          </cell>
        </row>
        <row r="4888">
          <cell r="K4888">
            <v>0</v>
          </cell>
          <cell r="M4888">
            <v>0</v>
          </cell>
          <cell r="P4888">
            <v>0</v>
          </cell>
        </row>
        <row r="4889">
          <cell r="K4889">
            <v>0</v>
          </cell>
          <cell r="M4889">
            <v>0</v>
          </cell>
          <cell r="P4889">
            <v>0</v>
          </cell>
        </row>
        <row r="4890">
          <cell r="K4890">
            <v>0</v>
          </cell>
          <cell r="M4890">
            <v>0</v>
          </cell>
          <cell r="P4890">
            <v>0</v>
          </cell>
        </row>
        <row r="4891">
          <cell r="K4891">
            <v>0</v>
          </cell>
          <cell r="M4891">
            <v>0</v>
          </cell>
          <cell r="P4891">
            <v>0</v>
          </cell>
        </row>
        <row r="4892">
          <cell r="K4892">
            <v>0</v>
          </cell>
          <cell r="M4892">
            <v>0</v>
          </cell>
          <cell r="P4892">
            <v>0</v>
          </cell>
        </row>
        <row r="4893">
          <cell r="K4893">
            <v>0</v>
          </cell>
          <cell r="M4893">
            <v>0</v>
          </cell>
          <cell r="P4893">
            <v>0</v>
          </cell>
        </row>
        <row r="4894">
          <cell r="K4894">
            <v>0</v>
          </cell>
          <cell r="M4894">
            <v>0</v>
          </cell>
          <cell r="P4894">
            <v>0</v>
          </cell>
        </row>
        <row r="4895">
          <cell r="K4895">
            <v>0</v>
          </cell>
          <cell r="M4895">
            <v>0</v>
          </cell>
          <cell r="P4895">
            <v>0</v>
          </cell>
        </row>
        <row r="4896">
          <cell r="K4896">
            <v>0</v>
          </cell>
          <cell r="M4896">
            <v>0</v>
          </cell>
          <cell r="P4896">
            <v>0</v>
          </cell>
        </row>
        <row r="4897">
          <cell r="K4897">
            <v>0</v>
          </cell>
          <cell r="M4897">
            <v>0</v>
          </cell>
          <cell r="P4897">
            <v>0</v>
          </cell>
        </row>
        <row r="4898">
          <cell r="K4898">
            <v>0</v>
          </cell>
          <cell r="M4898">
            <v>0</v>
          </cell>
          <cell r="P4898">
            <v>0</v>
          </cell>
        </row>
        <row r="4899">
          <cell r="K4899">
            <v>0</v>
          </cell>
          <cell r="M4899">
            <v>0</v>
          </cell>
          <cell r="P4899">
            <v>0</v>
          </cell>
        </row>
        <row r="4900">
          <cell r="K4900">
            <v>0</v>
          </cell>
          <cell r="M4900">
            <v>0</v>
          </cell>
          <cell r="P4900">
            <v>0</v>
          </cell>
        </row>
        <row r="4901">
          <cell r="K4901">
            <v>0</v>
          </cell>
          <cell r="M4901">
            <v>0</v>
          </cell>
          <cell r="P4901">
            <v>0</v>
          </cell>
        </row>
        <row r="4902">
          <cell r="K4902">
            <v>0</v>
          </cell>
          <cell r="M4902">
            <v>0</v>
          </cell>
          <cell r="P4902">
            <v>0</v>
          </cell>
        </row>
        <row r="4903">
          <cell r="K4903">
            <v>0</v>
          </cell>
          <cell r="M4903">
            <v>0</v>
          </cell>
          <cell r="P4903">
            <v>0</v>
          </cell>
        </row>
        <row r="4904">
          <cell r="K4904">
            <v>0</v>
          </cell>
          <cell r="M4904">
            <v>0</v>
          </cell>
          <cell r="P4904">
            <v>0</v>
          </cell>
        </row>
        <row r="4905">
          <cell r="K4905">
            <v>0</v>
          </cell>
          <cell r="M4905">
            <v>0</v>
          </cell>
          <cell r="P4905">
            <v>0</v>
          </cell>
        </row>
        <row r="4906">
          <cell r="K4906">
            <v>0</v>
          </cell>
          <cell r="M4906">
            <v>0</v>
          </cell>
          <cell r="P4906">
            <v>0</v>
          </cell>
        </row>
        <row r="4907">
          <cell r="K4907">
            <v>0</v>
          </cell>
          <cell r="M4907">
            <v>0</v>
          </cell>
          <cell r="P4907">
            <v>0</v>
          </cell>
        </row>
        <row r="4908">
          <cell r="K4908">
            <v>0</v>
          </cell>
          <cell r="M4908">
            <v>0</v>
          </cell>
          <cell r="P4908">
            <v>0</v>
          </cell>
        </row>
        <row r="4909">
          <cell r="K4909">
            <v>0</v>
          </cell>
          <cell r="M4909">
            <v>0</v>
          </cell>
          <cell r="P4909">
            <v>0</v>
          </cell>
        </row>
        <row r="4910">
          <cell r="K4910">
            <v>0</v>
          </cell>
          <cell r="M4910">
            <v>0</v>
          </cell>
          <cell r="P4910">
            <v>0</v>
          </cell>
        </row>
        <row r="4911">
          <cell r="K4911">
            <v>0</v>
          </cell>
          <cell r="M4911">
            <v>0</v>
          </cell>
          <cell r="P4911">
            <v>0</v>
          </cell>
        </row>
        <row r="4912">
          <cell r="K4912">
            <v>0</v>
          </cell>
          <cell r="M4912">
            <v>0</v>
          </cell>
          <cell r="P4912">
            <v>0</v>
          </cell>
        </row>
        <row r="4913">
          <cell r="K4913">
            <v>0</v>
          </cell>
          <cell r="M4913">
            <v>0</v>
          </cell>
          <cell r="P4913">
            <v>0</v>
          </cell>
        </row>
        <row r="4914">
          <cell r="K4914">
            <v>0</v>
          </cell>
          <cell r="M4914">
            <v>0</v>
          </cell>
          <cell r="P4914">
            <v>0</v>
          </cell>
        </row>
        <row r="4915">
          <cell r="K4915">
            <v>0</v>
          </cell>
          <cell r="M4915">
            <v>0</v>
          </cell>
          <cell r="P4915">
            <v>0</v>
          </cell>
        </row>
        <row r="4916">
          <cell r="K4916">
            <v>0</v>
          </cell>
          <cell r="M4916">
            <v>0</v>
          </cell>
          <cell r="P4916">
            <v>0</v>
          </cell>
        </row>
        <row r="4917">
          <cell r="K4917">
            <v>0</v>
          </cell>
          <cell r="M4917">
            <v>0</v>
          </cell>
          <cell r="P4917">
            <v>0</v>
          </cell>
        </row>
        <row r="4918">
          <cell r="K4918">
            <v>0</v>
          </cell>
          <cell r="M4918">
            <v>0</v>
          </cell>
          <cell r="P4918">
            <v>0</v>
          </cell>
        </row>
        <row r="4919">
          <cell r="K4919">
            <v>0</v>
          </cell>
          <cell r="M4919">
            <v>0</v>
          </cell>
          <cell r="P4919">
            <v>0</v>
          </cell>
        </row>
        <row r="4920">
          <cell r="K4920">
            <v>0</v>
          </cell>
          <cell r="M4920">
            <v>0</v>
          </cell>
          <cell r="P4920">
            <v>0</v>
          </cell>
        </row>
        <row r="4921">
          <cell r="K4921">
            <v>0</v>
          </cell>
          <cell r="M4921">
            <v>0</v>
          </cell>
          <cell r="P4921">
            <v>0</v>
          </cell>
        </row>
        <row r="4922">
          <cell r="K4922">
            <v>0</v>
          </cell>
          <cell r="M4922">
            <v>0</v>
          </cell>
          <cell r="P4922">
            <v>0</v>
          </cell>
        </row>
        <row r="4923">
          <cell r="K4923">
            <v>0</v>
          </cell>
          <cell r="M4923">
            <v>0</v>
          </cell>
          <cell r="P4923">
            <v>0</v>
          </cell>
        </row>
        <row r="4924">
          <cell r="K4924">
            <v>0</v>
          </cell>
          <cell r="M4924">
            <v>0</v>
          </cell>
          <cell r="P4924">
            <v>0</v>
          </cell>
        </row>
        <row r="4925">
          <cell r="K4925">
            <v>0</v>
          </cell>
          <cell r="M4925">
            <v>0</v>
          </cell>
          <cell r="P4925">
            <v>0</v>
          </cell>
        </row>
        <row r="4926">
          <cell r="K4926">
            <v>0</v>
          </cell>
          <cell r="M4926">
            <v>0</v>
          </cell>
          <cell r="P4926">
            <v>0</v>
          </cell>
        </row>
        <row r="4927">
          <cell r="K4927">
            <v>0</v>
          </cell>
          <cell r="M4927">
            <v>0</v>
          </cell>
          <cell r="P4927">
            <v>0</v>
          </cell>
        </row>
        <row r="4928">
          <cell r="K4928">
            <v>0</v>
          </cell>
          <cell r="M4928">
            <v>0</v>
          </cell>
          <cell r="P4928">
            <v>0</v>
          </cell>
        </row>
        <row r="4929">
          <cell r="K4929">
            <v>0</v>
          </cell>
          <cell r="M4929">
            <v>0</v>
          </cell>
          <cell r="P4929">
            <v>0</v>
          </cell>
        </row>
        <row r="4930">
          <cell r="K4930">
            <v>0</v>
          </cell>
          <cell r="M4930">
            <v>0</v>
          </cell>
          <cell r="P4930">
            <v>0</v>
          </cell>
        </row>
        <row r="4931">
          <cell r="K4931">
            <v>0</v>
          </cell>
          <cell r="M4931">
            <v>0</v>
          </cell>
          <cell r="P4931">
            <v>0</v>
          </cell>
        </row>
        <row r="4932">
          <cell r="K4932">
            <v>0</v>
          </cell>
          <cell r="M4932">
            <v>0</v>
          </cell>
          <cell r="P4932">
            <v>0</v>
          </cell>
        </row>
        <row r="4933">
          <cell r="K4933">
            <v>0</v>
          </cell>
          <cell r="M4933">
            <v>0</v>
          </cell>
          <cell r="P4933">
            <v>0</v>
          </cell>
        </row>
        <row r="4934">
          <cell r="K4934">
            <v>0</v>
          </cell>
          <cell r="M4934">
            <v>0</v>
          </cell>
          <cell r="P4934">
            <v>0</v>
          </cell>
        </row>
        <row r="4935">
          <cell r="K4935">
            <v>0</v>
          </cell>
          <cell r="M4935">
            <v>0</v>
          </cell>
          <cell r="P4935">
            <v>0</v>
          </cell>
        </row>
        <row r="4936">
          <cell r="K4936">
            <v>0</v>
          </cell>
          <cell r="M4936">
            <v>0</v>
          </cell>
          <cell r="P4936">
            <v>0</v>
          </cell>
        </row>
        <row r="4937">
          <cell r="K4937">
            <v>0</v>
          </cell>
          <cell r="M4937">
            <v>0</v>
          </cell>
          <cell r="P4937">
            <v>0</v>
          </cell>
        </row>
        <row r="4938">
          <cell r="K4938">
            <v>0</v>
          </cell>
          <cell r="M4938">
            <v>0</v>
          </cell>
          <cell r="P4938">
            <v>0</v>
          </cell>
        </row>
        <row r="4939">
          <cell r="K4939">
            <v>0</v>
          </cell>
          <cell r="M4939">
            <v>0</v>
          </cell>
          <cell r="P4939">
            <v>0</v>
          </cell>
        </row>
        <row r="4940">
          <cell r="K4940">
            <v>0</v>
          </cell>
          <cell r="M4940">
            <v>0</v>
          </cell>
          <cell r="P4940">
            <v>0</v>
          </cell>
        </row>
        <row r="4941">
          <cell r="K4941">
            <v>0</v>
          </cell>
          <cell r="M4941">
            <v>0</v>
          </cell>
          <cell r="P4941">
            <v>0</v>
          </cell>
        </row>
        <row r="4942">
          <cell r="K4942">
            <v>0</v>
          </cell>
          <cell r="M4942">
            <v>0</v>
          </cell>
          <cell r="P4942">
            <v>0</v>
          </cell>
        </row>
        <row r="4943">
          <cell r="K4943">
            <v>0</v>
          </cell>
          <cell r="M4943">
            <v>0</v>
          </cell>
          <cell r="P4943">
            <v>0</v>
          </cell>
        </row>
        <row r="4944">
          <cell r="K4944">
            <v>0</v>
          </cell>
          <cell r="M4944">
            <v>0</v>
          </cell>
          <cell r="P4944">
            <v>0</v>
          </cell>
        </row>
        <row r="4945">
          <cell r="K4945">
            <v>0</v>
          </cell>
          <cell r="M4945">
            <v>0</v>
          </cell>
          <cell r="P4945">
            <v>0</v>
          </cell>
        </row>
        <row r="4946">
          <cell r="K4946">
            <v>0</v>
          </cell>
          <cell r="M4946">
            <v>0</v>
          </cell>
          <cell r="P4946">
            <v>0</v>
          </cell>
        </row>
        <row r="4947">
          <cell r="K4947">
            <v>0</v>
          </cell>
          <cell r="M4947">
            <v>0</v>
          </cell>
          <cell r="P4947">
            <v>0</v>
          </cell>
        </row>
        <row r="4948">
          <cell r="K4948">
            <v>0</v>
          </cell>
          <cell r="M4948">
            <v>0</v>
          </cell>
          <cell r="P4948">
            <v>0</v>
          </cell>
        </row>
        <row r="4949">
          <cell r="K4949">
            <v>0</v>
          </cell>
          <cell r="M4949">
            <v>0</v>
          </cell>
          <cell r="P4949">
            <v>0</v>
          </cell>
        </row>
        <row r="4950">
          <cell r="K4950">
            <v>0</v>
          </cell>
          <cell r="M4950">
            <v>0</v>
          </cell>
          <cell r="P4950">
            <v>0</v>
          </cell>
        </row>
        <row r="4951">
          <cell r="K4951">
            <v>0</v>
          </cell>
          <cell r="M4951">
            <v>0</v>
          </cell>
          <cell r="P4951">
            <v>0</v>
          </cell>
        </row>
        <row r="4952">
          <cell r="K4952">
            <v>0</v>
          </cell>
          <cell r="M4952">
            <v>0</v>
          </cell>
          <cell r="P4952">
            <v>0</v>
          </cell>
        </row>
        <row r="4953">
          <cell r="K4953">
            <v>0</v>
          </cell>
          <cell r="M4953">
            <v>0</v>
          </cell>
          <cell r="P4953">
            <v>0</v>
          </cell>
        </row>
        <row r="4954">
          <cell r="K4954">
            <v>0</v>
          </cell>
          <cell r="M4954">
            <v>0</v>
          </cell>
          <cell r="P4954">
            <v>0</v>
          </cell>
        </row>
        <row r="4955">
          <cell r="K4955">
            <v>0</v>
          </cell>
          <cell r="M4955">
            <v>0</v>
          </cell>
          <cell r="P4955">
            <v>0</v>
          </cell>
        </row>
        <row r="4956">
          <cell r="K4956">
            <v>0</v>
          </cell>
          <cell r="M4956">
            <v>0</v>
          </cell>
          <cell r="P4956">
            <v>0</v>
          </cell>
        </row>
        <row r="4957">
          <cell r="K4957">
            <v>0</v>
          </cell>
          <cell r="M4957">
            <v>0</v>
          </cell>
          <cell r="P4957">
            <v>0</v>
          </cell>
        </row>
        <row r="4958">
          <cell r="K4958">
            <v>0</v>
          </cell>
          <cell r="M4958">
            <v>0</v>
          </cell>
          <cell r="P4958">
            <v>0</v>
          </cell>
        </row>
        <row r="4959">
          <cell r="K4959">
            <v>0</v>
          </cell>
          <cell r="M4959">
            <v>0</v>
          </cell>
          <cell r="P4959">
            <v>0</v>
          </cell>
        </row>
        <row r="4960">
          <cell r="K4960">
            <v>0</v>
          </cell>
          <cell r="M4960">
            <v>0</v>
          </cell>
          <cell r="P4960">
            <v>0</v>
          </cell>
        </row>
        <row r="4961">
          <cell r="K4961">
            <v>0</v>
          </cell>
          <cell r="M4961">
            <v>0</v>
          </cell>
          <cell r="P4961">
            <v>0</v>
          </cell>
        </row>
        <row r="4962">
          <cell r="K4962">
            <v>0</v>
          </cell>
          <cell r="M4962">
            <v>0</v>
          </cell>
          <cell r="P4962">
            <v>0</v>
          </cell>
        </row>
        <row r="4963">
          <cell r="K4963">
            <v>0</v>
          </cell>
          <cell r="M4963">
            <v>0</v>
          </cell>
          <cell r="P4963">
            <v>0</v>
          </cell>
        </row>
        <row r="4964">
          <cell r="K4964">
            <v>0</v>
          </cell>
          <cell r="M4964">
            <v>0</v>
          </cell>
          <cell r="P4964">
            <v>0</v>
          </cell>
        </row>
        <row r="4965">
          <cell r="K4965">
            <v>0</v>
          </cell>
          <cell r="M4965">
            <v>0</v>
          </cell>
          <cell r="P4965">
            <v>0</v>
          </cell>
        </row>
        <row r="4966">
          <cell r="K4966">
            <v>0</v>
          </cell>
          <cell r="M4966">
            <v>0</v>
          </cell>
          <cell r="P4966">
            <v>0</v>
          </cell>
        </row>
        <row r="4967">
          <cell r="K4967">
            <v>0</v>
          </cell>
          <cell r="M4967">
            <v>0</v>
          </cell>
          <cell r="P4967">
            <v>0</v>
          </cell>
        </row>
        <row r="4968">
          <cell r="K4968">
            <v>0</v>
          </cell>
          <cell r="M4968">
            <v>0</v>
          </cell>
          <cell r="P4968">
            <v>0</v>
          </cell>
        </row>
        <row r="4969">
          <cell r="K4969">
            <v>0</v>
          </cell>
          <cell r="M4969">
            <v>0</v>
          </cell>
          <cell r="P4969">
            <v>0</v>
          </cell>
        </row>
        <row r="4970">
          <cell r="K4970">
            <v>0</v>
          </cell>
          <cell r="M4970">
            <v>0</v>
          </cell>
          <cell r="P4970">
            <v>0</v>
          </cell>
        </row>
        <row r="4971">
          <cell r="K4971">
            <v>0</v>
          </cell>
          <cell r="M4971">
            <v>0</v>
          </cell>
          <cell r="P4971">
            <v>0</v>
          </cell>
        </row>
        <row r="4972">
          <cell r="K4972">
            <v>0</v>
          </cell>
          <cell r="M4972">
            <v>0</v>
          </cell>
          <cell r="P4972">
            <v>0</v>
          </cell>
        </row>
        <row r="4973">
          <cell r="K4973">
            <v>0</v>
          </cell>
          <cell r="M4973">
            <v>0</v>
          </cell>
          <cell r="P4973">
            <v>0</v>
          </cell>
        </row>
        <row r="4974">
          <cell r="K4974">
            <v>0</v>
          </cell>
          <cell r="M4974">
            <v>0</v>
          </cell>
          <cell r="P4974">
            <v>0</v>
          </cell>
        </row>
        <row r="4975">
          <cell r="K4975">
            <v>0</v>
          </cell>
          <cell r="M4975">
            <v>0</v>
          </cell>
          <cell r="P4975">
            <v>0</v>
          </cell>
        </row>
        <row r="4976">
          <cell r="K4976">
            <v>0</v>
          </cell>
          <cell r="M4976">
            <v>0</v>
          </cell>
          <cell r="P4976">
            <v>0</v>
          </cell>
        </row>
        <row r="4977">
          <cell r="K4977">
            <v>0</v>
          </cell>
          <cell r="M4977">
            <v>0</v>
          </cell>
          <cell r="P4977">
            <v>0</v>
          </cell>
        </row>
        <row r="4978">
          <cell r="K4978">
            <v>0</v>
          </cell>
          <cell r="M4978">
            <v>0</v>
          </cell>
          <cell r="P4978">
            <v>0</v>
          </cell>
        </row>
        <row r="4979">
          <cell r="K4979">
            <v>0</v>
          </cell>
          <cell r="M4979">
            <v>0</v>
          </cell>
          <cell r="P4979">
            <v>0</v>
          </cell>
        </row>
        <row r="4980">
          <cell r="K4980">
            <v>0</v>
          </cell>
          <cell r="M4980">
            <v>0</v>
          </cell>
          <cell r="P4980">
            <v>0</v>
          </cell>
        </row>
        <row r="4981">
          <cell r="K4981">
            <v>0</v>
          </cell>
          <cell r="M4981">
            <v>0</v>
          </cell>
          <cell r="P4981">
            <v>0</v>
          </cell>
        </row>
        <row r="4982">
          <cell r="K4982">
            <v>0</v>
          </cell>
          <cell r="M4982">
            <v>0</v>
          </cell>
          <cell r="P4982">
            <v>0</v>
          </cell>
        </row>
        <row r="4983">
          <cell r="K4983">
            <v>0</v>
          </cell>
          <cell r="M4983">
            <v>0</v>
          </cell>
          <cell r="P4983">
            <v>0</v>
          </cell>
        </row>
        <row r="4984">
          <cell r="K4984">
            <v>0</v>
          </cell>
          <cell r="M4984">
            <v>0</v>
          </cell>
          <cell r="P4984">
            <v>0</v>
          </cell>
        </row>
        <row r="4985">
          <cell r="K4985">
            <v>0</v>
          </cell>
          <cell r="M4985">
            <v>0</v>
          </cell>
          <cell r="P4985">
            <v>0</v>
          </cell>
        </row>
        <row r="4986">
          <cell r="K4986">
            <v>0</v>
          </cell>
          <cell r="M4986">
            <v>0</v>
          </cell>
          <cell r="P4986">
            <v>0</v>
          </cell>
        </row>
        <row r="4987">
          <cell r="K4987">
            <v>0</v>
          </cell>
          <cell r="M4987">
            <v>0</v>
          </cell>
          <cell r="P4987">
            <v>0</v>
          </cell>
        </row>
        <row r="4988">
          <cell r="K4988">
            <v>0</v>
          </cell>
          <cell r="M4988">
            <v>0</v>
          </cell>
          <cell r="P4988">
            <v>0</v>
          </cell>
        </row>
        <row r="4989">
          <cell r="K4989">
            <v>0</v>
          </cell>
          <cell r="M4989">
            <v>0</v>
          </cell>
          <cell r="P4989">
            <v>0</v>
          </cell>
        </row>
        <row r="4990">
          <cell r="K4990">
            <v>0</v>
          </cell>
          <cell r="M4990">
            <v>0</v>
          </cell>
          <cell r="P4990">
            <v>0</v>
          </cell>
        </row>
        <row r="4991">
          <cell r="K4991">
            <v>0</v>
          </cell>
          <cell r="M4991">
            <v>0</v>
          </cell>
          <cell r="P4991">
            <v>0</v>
          </cell>
        </row>
        <row r="4992">
          <cell r="K4992">
            <v>0</v>
          </cell>
          <cell r="M4992">
            <v>0</v>
          </cell>
          <cell r="P4992">
            <v>0</v>
          </cell>
        </row>
        <row r="4993">
          <cell r="K4993">
            <v>0</v>
          </cell>
          <cell r="M4993">
            <v>0</v>
          </cell>
          <cell r="P4993">
            <v>0</v>
          </cell>
        </row>
        <row r="4994">
          <cell r="K4994">
            <v>0</v>
          </cell>
          <cell r="M4994">
            <v>0</v>
          </cell>
          <cell r="P4994">
            <v>0</v>
          </cell>
        </row>
        <row r="4995">
          <cell r="K4995">
            <v>0</v>
          </cell>
          <cell r="M4995">
            <v>0</v>
          </cell>
          <cell r="P4995">
            <v>0</v>
          </cell>
        </row>
        <row r="4996">
          <cell r="K4996">
            <v>0</v>
          </cell>
          <cell r="M4996">
            <v>0</v>
          </cell>
          <cell r="P4996">
            <v>0</v>
          </cell>
        </row>
        <row r="4997">
          <cell r="K4997">
            <v>0</v>
          </cell>
          <cell r="M4997">
            <v>0</v>
          </cell>
          <cell r="P4997">
            <v>0</v>
          </cell>
        </row>
        <row r="4998">
          <cell r="K4998">
            <v>0</v>
          </cell>
          <cell r="M4998">
            <v>0</v>
          </cell>
          <cell r="P4998">
            <v>0</v>
          </cell>
        </row>
        <row r="4999">
          <cell r="K4999">
            <v>0</v>
          </cell>
          <cell r="M4999">
            <v>0</v>
          </cell>
          <cell r="P4999">
            <v>0</v>
          </cell>
        </row>
        <row r="5000">
          <cell r="K5000">
            <v>0</v>
          </cell>
          <cell r="M5000">
            <v>0</v>
          </cell>
          <cell r="P5000">
            <v>0</v>
          </cell>
        </row>
        <row r="5001">
          <cell r="K5001">
            <v>0</v>
          </cell>
          <cell r="M5001">
            <v>0</v>
          </cell>
          <cell r="P5001">
            <v>0</v>
          </cell>
        </row>
        <row r="5002">
          <cell r="K5002">
            <v>0</v>
          </cell>
          <cell r="M5002">
            <v>0</v>
          </cell>
          <cell r="P5002">
            <v>0</v>
          </cell>
        </row>
        <row r="5003">
          <cell r="K5003">
            <v>0</v>
          </cell>
          <cell r="M5003">
            <v>0</v>
          </cell>
          <cell r="P5003">
            <v>0</v>
          </cell>
        </row>
        <row r="5004">
          <cell r="K5004">
            <v>0</v>
          </cell>
          <cell r="M5004">
            <v>0</v>
          </cell>
          <cell r="P5004">
            <v>0</v>
          </cell>
        </row>
        <row r="5005">
          <cell r="K5005">
            <v>0</v>
          </cell>
          <cell r="M5005">
            <v>0</v>
          </cell>
          <cell r="P5005">
            <v>0</v>
          </cell>
        </row>
        <row r="5006">
          <cell r="K5006">
            <v>0</v>
          </cell>
          <cell r="M5006">
            <v>0</v>
          </cell>
          <cell r="P5006">
            <v>0</v>
          </cell>
        </row>
        <row r="5007">
          <cell r="K5007">
            <v>0</v>
          </cell>
          <cell r="M5007">
            <v>0</v>
          </cell>
          <cell r="P5007">
            <v>0</v>
          </cell>
        </row>
        <row r="5008">
          <cell r="K5008">
            <v>0</v>
          </cell>
          <cell r="M5008">
            <v>0</v>
          </cell>
          <cell r="P5008">
            <v>0</v>
          </cell>
        </row>
        <row r="5009">
          <cell r="K5009">
            <v>0</v>
          </cell>
          <cell r="M5009">
            <v>0</v>
          </cell>
          <cell r="P5009">
            <v>0</v>
          </cell>
        </row>
        <row r="5010">
          <cell r="K5010">
            <v>0</v>
          </cell>
          <cell r="M5010">
            <v>0</v>
          </cell>
          <cell r="P5010">
            <v>0</v>
          </cell>
        </row>
        <row r="5011">
          <cell r="K5011">
            <v>0</v>
          </cell>
          <cell r="M5011">
            <v>0</v>
          </cell>
          <cell r="P5011">
            <v>0</v>
          </cell>
        </row>
        <row r="5012">
          <cell r="K5012">
            <v>0</v>
          </cell>
          <cell r="M5012">
            <v>0</v>
          </cell>
          <cell r="P5012">
            <v>0</v>
          </cell>
        </row>
        <row r="5013">
          <cell r="K5013">
            <v>0</v>
          </cell>
          <cell r="M5013">
            <v>0</v>
          </cell>
          <cell r="P5013">
            <v>0</v>
          </cell>
        </row>
        <row r="5014">
          <cell r="K5014">
            <v>0</v>
          </cell>
          <cell r="M5014">
            <v>0</v>
          </cell>
          <cell r="P5014">
            <v>0</v>
          </cell>
        </row>
        <row r="5015">
          <cell r="K5015">
            <v>0</v>
          </cell>
          <cell r="M5015">
            <v>0</v>
          </cell>
          <cell r="P5015">
            <v>0</v>
          </cell>
        </row>
        <row r="5016">
          <cell r="K5016">
            <v>0</v>
          </cell>
          <cell r="M5016">
            <v>0</v>
          </cell>
          <cell r="P5016">
            <v>0</v>
          </cell>
        </row>
        <row r="5017">
          <cell r="K5017">
            <v>0</v>
          </cell>
          <cell r="M5017">
            <v>0</v>
          </cell>
          <cell r="P5017">
            <v>0</v>
          </cell>
        </row>
        <row r="5018">
          <cell r="K5018">
            <v>0</v>
          </cell>
          <cell r="M5018">
            <v>0</v>
          </cell>
          <cell r="P5018">
            <v>0</v>
          </cell>
        </row>
        <row r="5019">
          <cell r="K5019">
            <v>0</v>
          </cell>
          <cell r="M5019">
            <v>0</v>
          </cell>
          <cell r="P5019">
            <v>0</v>
          </cell>
        </row>
        <row r="5020">
          <cell r="K5020">
            <v>0</v>
          </cell>
          <cell r="M5020">
            <v>0</v>
          </cell>
          <cell r="P5020">
            <v>0</v>
          </cell>
        </row>
        <row r="5021">
          <cell r="K5021">
            <v>0</v>
          </cell>
          <cell r="M5021">
            <v>0</v>
          </cell>
          <cell r="P5021">
            <v>0</v>
          </cell>
        </row>
        <row r="5022">
          <cell r="K5022">
            <v>0</v>
          </cell>
          <cell r="M5022">
            <v>0</v>
          </cell>
          <cell r="P5022">
            <v>0</v>
          </cell>
        </row>
        <row r="5023">
          <cell r="K5023">
            <v>0</v>
          </cell>
          <cell r="M5023">
            <v>0</v>
          </cell>
          <cell r="P5023">
            <v>0</v>
          </cell>
        </row>
        <row r="5024">
          <cell r="K5024">
            <v>0</v>
          </cell>
          <cell r="M5024">
            <v>0</v>
          </cell>
          <cell r="P5024">
            <v>0</v>
          </cell>
        </row>
        <row r="5025">
          <cell r="K5025">
            <v>0</v>
          </cell>
          <cell r="M5025">
            <v>0</v>
          </cell>
          <cell r="P5025">
            <v>0</v>
          </cell>
        </row>
        <row r="5026">
          <cell r="K5026">
            <v>0</v>
          </cell>
          <cell r="M5026">
            <v>0</v>
          </cell>
          <cell r="P5026">
            <v>0</v>
          </cell>
        </row>
        <row r="5027">
          <cell r="K5027">
            <v>0</v>
          </cell>
          <cell r="M5027">
            <v>0</v>
          </cell>
          <cell r="P5027">
            <v>0</v>
          </cell>
        </row>
        <row r="5028">
          <cell r="K5028">
            <v>0</v>
          </cell>
          <cell r="M5028">
            <v>0</v>
          </cell>
          <cell r="P5028">
            <v>0</v>
          </cell>
        </row>
        <row r="5029">
          <cell r="K5029">
            <v>0</v>
          </cell>
          <cell r="M5029">
            <v>0</v>
          </cell>
          <cell r="P5029">
            <v>0</v>
          </cell>
        </row>
        <row r="5030">
          <cell r="K5030">
            <v>0</v>
          </cell>
          <cell r="M5030">
            <v>0</v>
          </cell>
          <cell r="P5030">
            <v>0</v>
          </cell>
        </row>
        <row r="5031">
          <cell r="K5031">
            <v>0</v>
          </cell>
          <cell r="M5031">
            <v>0</v>
          </cell>
          <cell r="P5031">
            <v>0</v>
          </cell>
        </row>
        <row r="5032">
          <cell r="K5032">
            <v>0</v>
          </cell>
          <cell r="M5032">
            <v>0</v>
          </cell>
          <cell r="P5032">
            <v>0</v>
          </cell>
        </row>
        <row r="5033">
          <cell r="K5033">
            <v>0</v>
          </cell>
          <cell r="M5033">
            <v>0</v>
          </cell>
          <cell r="P5033">
            <v>0</v>
          </cell>
        </row>
        <row r="5034">
          <cell r="K5034">
            <v>0</v>
          </cell>
          <cell r="M5034">
            <v>0</v>
          </cell>
          <cell r="P5034">
            <v>0</v>
          </cell>
        </row>
        <row r="5035">
          <cell r="K5035">
            <v>0</v>
          </cell>
          <cell r="M5035">
            <v>0</v>
          </cell>
          <cell r="P5035">
            <v>0</v>
          </cell>
        </row>
        <row r="5036">
          <cell r="K5036">
            <v>0</v>
          </cell>
          <cell r="M5036">
            <v>0</v>
          </cell>
          <cell r="P5036">
            <v>0</v>
          </cell>
        </row>
        <row r="5037">
          <cell r="K5037">
            <v>0</v>
          </cell>
          <cell r="M5037">
            <v>0</v>
          </cell>
          <cell r="P5037">
            <v>0</v>
          </cell>
        </row>
        <row r="5038">
          <cell r="K5038">
            <v>0</v>
          </cell>
          <cell r="M5038">
            <v>0</v>
          </cell>
          <cell r="P5038">
            <v>0</v>
          </cell>
        </row>
        <row r="5039">
          <cell r="K5039">
            <v>0</v>
          </cell>
          <cell r="M5039">
            <v>0</v>
          </cell>
          <cell r="P5039">
            <v>0</v>
          </cell>
        </row>
        <row r="5040">
          <cell r="K5040">
            <v>0</v>
          </cell>
          <cell r="M5040">
            <v>0</v>
          </cell>
          <cell r="P5040">
            <v>0</v>
          </cell>
        </row>
        <row r="5041">
          <cell r="K5041">
            <v>0</v>
          </cell>
          <cell r="M5041">
            <v>0</v>
          </cell>
          <cell r="P5041">
            <v>0</v>
          </cell>
        </row>
        <row r="5042">
          <cell r="K5042">
            <v>0</v>
          </cell>
          <cell r="M5042">
            <v>0</v>
          </cell>
          <cell r="P5042">
            <v>0</v>
          </cell>
        </row>
        <row r="5043">
          <cell r="K5043">
            <v>0</v>
          </cell>
          <cell r="M5043">
            <v>0</v>
          </cell>
          <cell r="P5043">
            <v>0</v>
          </cell>
        </row>
        <row r="5044">
          <cell r="K5044">
            <v>0</v>
          </cell>
          <cell r="M5044">
            <v>0</v>
          </cell>
          <cell r="P5044">
            <v>0</v>
          </cell>
        </row>
        <row r="5045">
          <cell r="K5045">
            <v>0</v>
          </cell>
          <cell r="M5045">
            <v>0</v>
          </cell>
          <cell r="P5045">
            <v>0</v>
          </cell>
        </row>
        <row r="5046">
          <cell r="K5046">
            <v>0</v>
          </cell>
          <cell r="M5046">
            <v>0</v>
          </cell>
          <cell r="P5046">
            <v>0</v>
          </cell>
        </row>
        <row r="5047">
          <cell r="K5047">
            <v>0</v>
          </cell>
          <cell r="M5047">
            <v>0</v>
          </cell>
          <cell r="P5047">
            <v>0</v>
          </cell>
        </row>
        <row r="5048">
          <cell r="K5048">
            <v>0</v>
          </cell>
          <cell r="M5048">
            <v>0</v>
          </cell>
          <cell r="P5048">
            <v>0</v>
          </cell>
        </row>
        <row r="5049">
          <cell r="K5049">
            <v>0</v>
          </cell>
          <cell r="M5049">
            <v>0</v>
          </cell>
          <cell r="P5049">
            <v>0</v>
          </cell>
        </row>
        <row r="5050">
          <cell r="K5050">
            <v>0</v>
          </cell>
          <cell r="M5050">
            <v>0</v>
          </cell>
          <cell r="P5050">
            <v>0</v>
          </cell>
        </row>
        <row r="5051">
          <cell r="K5051">
            <v>0</v>
          </cell>
          <cell r="M5051">
            <v>0</v>
          </cell>
          <cell r="P5051">
            <v>0</v>
          </cell>
        </row>
        <row r="5052">
          <cell r="K5052">
            <v>0</v>
          </cell>
          <cell r="M5052">
            <v>0</v>
          </cell>
          <cell r="P5052">
            <v>0</v>
          </cell>
        </row>
        <row r="5053">
          <cell r="K5053">
            <v>0</v>
          </cell>
          <cell r="M5053">
            <v>0</v>
          </cell>
          <cell r="P5053">
            <v>0</v>
          </cell>
        </row>
        <row r="5054">
          <cell r="K5054">
            <v>0</v>
          </cell>
          <cell r="M5054">
            <v>0</v>
          </cell>
          <cell r="P5054">
            <v>0</v>
          </cell>
        </row>
        <row r="5055">
          <cell r="K5055">
            <v>0</v>
          </cell>
          <cell r="M5055">
            <v>0</v>
          </cell>
          <cell r="P5055">
            <v>0</v>
          </cell>
        </row>
        <row r="5056">
          <cell r="K5056">
            <v>0</v>
          </cell>
          <cell r="M5056">
            <v>0</v>
          </cell>
          <cell r="P5056">
            <v>0</v>
          </cell>
        </row>
        <row r="5057">
          <cell r="K5057">
            <v>0</v>
          </cell>
          <cell r="M5057">
            <v>0</v>
          </cell>
          <cell r="P5057">
            <v>0</v>
          </cell>
        </row>
        <row r="5058">
          <cell r="K5058">
            <v>0</v>
          </cell>
          <cell r="M5058">
            <v>0</v>
          </cell>
          <cell r="P5058">
            <v>0</v>
          </cell>
        </row>
        <row r="5059">
          <cell r="K5059">
            <v>0</v>
          </cell>
          <cell r="M5059">
            <v>0</v>
          </cell>
          <cell r="P5059">
            <v>0</v>
          </cell>
        </row>
        <row r="5060">
          <cell r="K5060">
            <v>0</v>
          </cell>
          <cell r="M5060">
            <v>0</v>
          </cell>
          <cell r="P5060">
            <v>0</v>
          </cell>
        </row>
        <row r="5061">
          <cell r="K5061">
            <v>0</v>
          </cell>
          <cell r="M5061">
            <v>0</v>
          </cell>
          <cell r="P5061">
            <v>0</v>
          </cell>
        </row>
        <row r="5062">
          <cell r="K5062">
            <v>0</v>
          </cell>
          <cell r="M5062">
            <v>0</v>
          </cell>
          <cell r="P5062">
            <v>0</v>
          </cell>
        </row>
        <row r="5063">
          <cell r="K5063">
            <v>0</v>
          </cell>
          <cell r="M5063">
            <v>0</v>
          </cell>
          <cell r="P5063">
            <v>0</v>
          </cell>
        </row>
        <row r="5064">
          <cell r="K5064">
            <v>0</v>
          </cell>
          <cell r="M5064">
            <v>0</v>
          </cell>
          <cell r="P5064">
            <v>0</v>
          </cell>
        </row>
        <row r="5065">
          <cell r="K5065">
            <v>0</v>
          </cell>
          <cell r="M5065">
            <v>0</v>
          </cell>
          <cell r="P5065">
            <v>0</v>
          </cell>
        </row>
        <row r="5066">
          <cell r="K5066">
            <v>0</v>
          </cell>
          <cell r="M5066">
            <v>0</v>
          </cell>
          <cell r="P5066">
            <v>0</v>
          </cell>
        </row>
        <row r="5067">
          <cell r="K5067">
            <v>0</v>
          </cell>
          <cell r="M5067">
            <v>0</v>
          </cell>
          <cell r="P5067">
            <v>0</v>
          </cell>
        </row>
        <row r="5068">
          <cell r="K5068">
            <v>0</v>
          </cell>
          <cell r="M5068">
            <v>0</v>
          </cell>
          <cell r="P5068">
            <v>0</v>
          </cell>
        </row>
        <row r="5069">
          <cell r="K5069">
            <v>0</v>
          </cell>
          <cell r="M5069">
            <v>0</v>
          </cell>
          <cell r="P5069">
            <v>0</v>
          </cell>
        </row>
        <row r="5070">
          <cell r="K5070">
            <v>0</v>
          </cell>
          <cell r="M5070">
            <v>0</v>
          </cell>
          <cell r="P5070">
            <v>0</v>
          </cell>
        </row>
        <row r="5071">
          <cell r="K5071">
            <v>0</v>
          </cell>
          <cell r="M5071">
            <v>0</v>
          </cell>
          <cell r="P5071">
            <v>0</v>
          </cell>
        </row>
        <row r="5072">
          <cell r="K5072">
            <v>0</v>
          </cell>
          <cell r="M5072">
            <v>0</v>
          </cell>
          <cell r="P5072">
            <v>0</v>
          </cell>
        </row>
        <row r="5073">
          <cell r="K5073">
            <v>0</v>
          </cell>
          <cell r="M5073">
            <v>0</v>
          </cell>
          <cell r="P5073">
            <v>0</v>
          </cell>
        </row>
        <row r="5074">
          <cell r="K5074">
            <v>0</v>
          </cell>
          <cell r="M5074">
            <v>0</v>
          </cell>
          <cell r="P5074">
            <v>0</v>
          </cell>
        </row>
        <row r="5075">
          <cell r="K5075">
            <v>0</v>
          </cell>
          <cell r="M5075">
            <v>0</v>
          </cell>
          <cell r="P5075">
            <v>0</v>
          </cell>
        </row>
        <row r="5076">
          <cell r="K5076">
            <v>0</v>
          </cell>
          <cell r="M5076">
            <v>0</v>
          </cell>
          <cell r="P5076">
            <v>0</v>
          </cell>
        </row>
        <row r="5077">
          <cell r="K5077">
            <v>0</v>
          </cell>
          <cell r="M5077">
            <v>0</v>
          </cell>
          <cell r="P5077">
            <v>0</v>
          </cell>
        </row>
        <row r="5078">
          <cell r="K5078">
            <v>0</v>
          </cell>
          <cell r="M5078">
            <v>0</v>
          </cell>
          <cell r="P5078">
            <v>0</v>
          </cell>
        </row>
        <row r="5079">
          <cell r="K5079">
            <v>0</v>
          </cell>
          <cell r="M5079">
            <v>0</v>
          </cell>
          <cell r="P5079">
            <v>0</v>
          </cell>
        </row>
        <row r="5080">
          <cell r="K5080">
            <v>0</v>
          </cell>
          <cell r="M5080">
            <v>0</v>
          </cell>
          <cell r="P5080">
            <v>0</v>
          </cell>
        </row>
        <row r="5081">
          <cell r="K5081">
            <v>0</v>
          </cell>
          <cell r="M5081">
            <v>0</v>
          </cell>
          <cell r="P5081">
            <v>0</v>
          </cell>
        </row>
        <row r="5082">
          <cell r="K5082">
            <v>0</v>
          </cell>
          <cell r="M5082">
            <v>0</v>
          </cell>
          <cell r="P5082">
            <v>0</v>
          </cell>
        </row>
        <row r="5083">
          <cell r="K5083">
            <v>0</v>
          </cell>
          <cell r="M5083">
            <v>0</v>
          </cell>
          <cell r="P5083">
            <v>0</v>
          </cell>
        </row>
        <row r="5084">
          <cell r="K5084">
            <v>0</v>
          </cell>
          <cell r="M5084">
            <v>0</v>
          </cell>
          <cell r="P5084">
            <v>0</v>
          </cell>
        </row>
        <row r="5085">
          <cell r="K5085">
            <v>0</v>
          </cell>
          <cell r="M5085">
            <v>0</v>
          </cell>
          <cell r="P5085">
            <v>0</v>
          </cell>
        </row>
        <row r="5086">
          <cell r="K5086">
            <v>0</v>
          </cell>
          <cell r="M5086">
            <v>0</v>
          </cell>
          <cell r="P5086">
            <v>0</v>
          </cell>
        </row>
        <row r="5087">
          <cell r="K5087">
            <v>0</v>
          </cell>
          <cell r="M5087">
            <v>0</v>
          </cell>
          <cell r="P5087">
            <v>0</v>
          </cell>
        </row>
        <row r="5088">
          <cell r="K5088">
            <v>0</v>
          </cell>
          <cell r="M5088">
            <v>0</v>
          </cell>
          <cell r="P5088">
            <v>0</v>
          </cell>
        </row>
        <row r="5089">
          <cell r="K5089">
            <v>0</v>
          </cell>
          <cell r="M5089">
            <v>0</v>
          </cell>
          <cell r="P5089">
            <v>0</v>
          </cell>
        </row>
        <row r="5090">
          <cell r="K5090">
            <v>0</v>
          </cell>
          <cell r="M5090">
            <v>0</v>
          </cell>
          <cell r="P5090">
            <v>0</v>
          </cell>
        </row>
        <row r="5091">
          <cell r="K5091">
            <v>0</v>
          </cell>
          <cell r="M5091">
            <v>0</v>
          </cell>
          <cell r="P5091">
            <v>0</v>
          </cell>
        </row>
        <row r="5092">
          <cell r="K5092">
            <v>0</v>
          </cell>
          <cell r="M5092">
            <v>0</v>
          </cell>
          <cell r="P5092">
            <v>0</v>
          </cell>
        </row>
        <row r="5093">
          <cell r="K5093">
            <v>0</v>
          </cell>
          <cell r="M5093">
            <v>0</v>
          </cell>
          <cell r="P5093">
            <v>0</v>
          </cell>
        </row>
        <row r="5094">
          <cell r="K5094">
            <v>0</v>
          </cell>
          <cell r="M5094">
            <v>0</v>
          </cell>
          <cell r="P5094">
            <v>0</v>
          </cell>
        </row>
        <row r="5095">
          <cell r="K5095">
            <v>0</v>
          </cell>
          <cell r="M5095">
            <v>0</v>
          </cell>
          <cell r="P5095">
            <v>0</v>
          </cell>
        </row>
        <row r="5096">
          <cell r="K5096">
            <v>0</v>
          </cell>
          <cell r="M5096">
            <v>0</v>
          </cell>
          <cell r="P5096">
            <v>0</v>
          </cell>
        </row>
        <row r="5097">
          <cell r="K5097">
            <v>0</v>
          </cell>
          <cell r="M5097">
            <v>0</v>
          </cell>
          <cell r="P5097">
            <v>0</v>
          </cell>
        </row>
        <row r="5098">
          <cell r="K5098">
            <v>0</v>
          </cell>
          <cell r="M5098">
            <v>0</v>
          </cell>
          <cell r="P5098">
            <v>0</v>
          </cell>
        </row>
        <row r="5099">
          <cell r="K5099">
            <v>0</v>
          </cell>
          <cell r="M5099">
            <v>0</v>
          </cell>
          <cell r="P5099">
            <v>0</v>
          </cell>
        </row>
        <row r="5100">
          <cell r="K5100">
            <v>0</v>
          </cell>
          <cell r="M5100">
            <v>0</v>
          </cell>
          <cell r="P5100">
            <v>0</v>
          </cell>
        </row>
        <row r="5101">
          <cell r="K5101">
            <v>0</v>
          </cell>
          <cell r="M5101">
            <v>0</v>
          </cell>
          <cell r="P5101">
            <v>0</v>
          </cell>
        </row>
        <row r="5102">
          <cell r="K5102">
            <v>0</v>
          </cell>
          <cell r="M5102">
            <v>0</v>
          </cell>
          <cell r="P5102">
            <v>0</v>
          </cell>
        </row>
        <row r="5103">
          <cell r="K5103">
            <v>0</v>
          </cell>
          <cell r="M5103">
            <v>0</v>
          </cell>
          <cell r="P5103">
            <v>0</v>
          </cell>
        </row>
        <row r="5104">
          <cell r="K5104">
            <v>0</v>
          </cell>
          <cell r="M5104">
            <v>0</v>
          </cell>
          <cell r="P5104">
            <v>0</v>
          </cell>
        </row>
        <row r="5105">
          <cell r="K5105">
            <v>0</v>
          </cell>
          <cell r="M5105">
            <v>0</v>
          </cell>
          <cell r="P5105">
            <v>0</v>
          </cell>
        </row>
        <row r="5106">
          <cell r="K5106">
            <v>0</v>
          </cell>
          <cell r="M5106">
            <v>0</v>
          </cell>
          <cell r="P5106">
            <v>0</v>
          </cell>
        </row>
        <row r="5107">
          <cell r="K5107">
            <v>0</v>
          </cell>
          <cell r="M5107">
            <v>0</v>
          </cell>
          <cell r="P5107">
            <v>0</v>
          </cell>
        </row>
        <row r="5108">
          <cell r="K5108">
            <v>0</v>
          </cell>
          <cell r="M5108">
            <v>0</v>
          </cell>
          <cell r="P5108">
            <v>0</v>
          </cell>
        </row>
        <row r="5109">
          <cell r="K5109">
            <v>0</v>
          </cell>
          <cell r="M5109">
            <v>0</v>
          </cell>
          <cell r="P5109">
            <v>0</v>
          </cell>
        </row>
        <row r="5110">
          <cell r="K5110">
            <v>0</v>
          </cell>
          <cell r="M5110">
            <v>0</v>
          </cell>
          <cell r="P5110">
            <v>0</v>
          </cell>
        </row>
        <row r="5111">
          <cell r="K5111">
            <v>0</v>
          </cell>
          <cell r="M5111">
            <v>0</v>
          </cell>
          <cell r="P5111">
            <v>0</v>
          </cell>
        </row>
        <row r="5112">
          <cell r="K5112">
            <v>0</v>
          </cell>
          <cell r="M5112">
            <v>0</v>
          </cell>
          <cell r="P5112">
            <v>0</v>
          </cell>
        </row>
        <row r="5113">
          <cell r="K5113">
            <v>0</v>
          </cell>
          <cell r="M5113">
            <v>0</v>
          </cell>
          <cell r="P5113">
            <v>0</v>
          </cell>
        </row>
        <row r="5114">
          <cell r="K5114">
            <v>0</v>
          </cell>
          <cell r="M5114">
            <v>0</v>
          </cell>
          <cell r="P5114">
            <v>0</v>
          </cell>
        </row>
        <row r="5115">
          <cell r="K5115">
            <v>0</v>
          </cell>
          <cell r="M5115">
            <v>0</v>
          </cell>
          <cell r="P5115">
            <v>0</v>
          </cell>
        </row>
        <row r="5116">
          <cell r="K5116">
            <v>0</v>
          </cell>
          <cell r="M5116">
            <v>0</v>
          </cell>
          <cell r="P5116">
            <v>0</v>
          </cell>
        </row>
        <row r="5117">
          <cell r="K5117">
            <v>0</v>
          </cell>
          <cell r="M5117">
            <v>0</v>
          </cell>
          <cell r="P5117">
            <v>0</v>
          </cell>
        </row>
        <row r="5118">
          <cell r="K5118">
            <v>0</v>
          </cell>
          <cell r="M5118">
            <v>0</v>
          </cell>
          <cell r="P5118">
            <v>0</v>
          </cell>
        </row>
        <row r="5119">
          <cell r="K5119">
            <v>0</v>
          </cell>
          <cell r="M5119">
            <v>0</v>
          </cell>
          <cell r="P5119">
            <v>0</v>
          </cell>
        </row>
        <row r="5120">
          <cell r="K5120">
            <v>0</v>
          </cell>
          <cell r="M5120">
            <v>0</v>
          </cell>
          <cell r="P5120">
            <v>0</v>
          </cell>
        </row>
        <row r="5121">
          <cell r="K5121">
            <v>0</v>
          </cell>
          <cell r="M5121">
            <v>0</v>
          </cell>
          <cell r="P5121">
            <v>0</v>
          </cell>
        </row>
        <row r="5122">
          <cell r="K5122">
            <v>0</v>
          </cell>
          <cell r="M5122">
            <v>0</v>
          </cell>
          <cell r="P5122">
            <v>0</v>
          </cell>
        </row>
        <row r="5123">
          <cell r="K5123">
            <v>0</v>
          </cell>
          <cell r="M5123">
            <v>0</v>
          </cell>
          <cell r="P5123">
            <v>0</v>
          </cell>
        </row>
        <row r="5124">
          <cell r="K5124">
            <v>0</v>
          </cell>
          <cell r="M5124">
            <v>0</v>
          </cell>
          <cell r="P5124">
            <v>0</v>
          </cell>
        </row>
        <row r="5125">
          <cell r="K5125">
            <v>0</v>
          </cell>
          <cell r="M5125">
            <v>0</v>
          </cell>
          <cell r="P5125">
            <v>0</v>
          </cell>
        </row>
        <row r="5126">
          <cell r="K5126">
            <v>0</v>
          </cell>
          <cell r="M5126">
            <v>0</v>
          </cell>
          <cell r="P5126">
            <v>0</v>
          </cell>
        </row>
        <row r="5127">
          <cell r="K5127">
            <v>0</v>
          </cell>
          <cell r="M5127">
            <v>0</v>
          </cell>
          <cell r="P5127">
            <v>0</v>
          </cell>
        </row>
        <row r="5128">
          <cell r="K5128">
            <v>0</v>
          </cell>
          <cell r="M5128">
            <v>0</v>
          </cell>
          <cell r="P5128">
            <v>0</v>
          </cell>
        </row>
        <row r="5129">
          <cell r="K5129">
            <v>0</v>
          </cell>
          <cell r="M5129">
            <v>0</v>
          </cell>
          <cell r="P5129">
            <v>0</v>
          </cell>
        </row>
        <row r="5130">
          <cell r="K5130">
            <v>0</v>
          </cell>
          <cell r="M5130">
            <v>0</v>
          </cell>
          <cell r="P5130">
            <v>0</v>
          </cell>
        </row>
        <row r="5131">
          <cell r="K5131">
            <v>0</v>
          </cell>
          <cell r="M5131">
            <v>0</v>
          </cell>
          <cell r="P5131">
            <v>0</v>
          </cell>
        </row>
        <row r="5132">
          <cell r="K5132">
            <v>0</v>
          </cell>
          <cell r="M5132">
            <v>0</v>
          </cell>
          <cell r="P5132">
            <v>0</v>
          </cell>
        </row>
        <row r="5133">
          <cell r="K5133">
            <v>0</v>
          </cell>
          <cell r="M5133">
            <v>0</v>
          </cell>
          <cell r="P5133">
            <v>0</v>
          </cell>
        </row>
        <row r="5134">
          <cell r="K5134">
            <v>0</v>
          </cell>
          <cell r="M5134">
            <v>0</v>
          </cell>
          <cell r="P5134">
            <v>0</v>
          </cell>
        </row>
        <row r="5135">
          <cell r="K5135">
            <v>0</v>
          </cell>
          <cell r="M5135">
            <v>0</v>
          </cell>
          <cell r="P5135">
            <v>0</v>
          </cell>
        </row>
        <row r="5136">
          <cell r="K5136">
            <v>0</v>
          </cell>
          <cell r="M5136">
            <v>0</v>
          </cell>
          <cell r="P5136">
            <v>0</v>
          </cell>
        </row>
        <row r="5137">
          <cell r="K5137">
            <v>0</v>
          </cell>
          <cell r="M5137">
            <v>0</v>
          </cell>
          <cell r="P5137">
            <v>0</v>
          </cell>
        </row>
        <row r="5138">
          <cell r="K5138">
            <v>0</v>
          </cell>
          <cell r="M5138">
            <v>0</v>
          </cell>
          <cell r="P5138">
            <v>0</v>
          </cell>
        </row>
        <row r="5139">
          <cell r="K5139">
            <v>0</v>
          </cell>
          <cell r="M5139">
            <v>0</v>
          </cell>
          <cell r="P5139">
            <v>0</v>
          </cell>
        </row>
        <row r="5140">
          <cell r="K5140">
            <v>0</v>
          </cell>
          <cell r="M5140">
            <v>0</v>
          </cell>
          <cell r="P5140">
            <v>0</v>
          </cell>
        </row>
        <row r="5141">
          <cell r="K5141">
            <v>0</v>
          </cell>
          <cell r="M5141">
            <v>0</v>
          </cell>
          <cell r="P5141">
            <v>0</v>
          </cell>
        </row>
        <row r="5142">
          <cell r="K5142">
            <v>0</v>
          </cell>
          <cell r="M5142">
            <v>0</v>
          </cell>
          <cell r="P5142">
            <v>0</v>
          </cell>
        </row>
        <row r="5143">
          <cell r="K5143">
            <v>0</v>
          </cell>
          <cell r="M5143">
            <v>0</v>
          </cell>
          <cell r="P5143">
            <v>0</v>
          </cell>
        </row>
        <row r="5144">
          <cell r="K5144">
            <v>0</v>
          </cell>
          <cell r="M5144">
            <v>0</v>
          </cell>
          <cell r="P5144">
            <v>0</v>
          </cell>
        </row>
        <row r="5145">
          <cell r="K5145">
            <v>0</v>
          </cell>
          <cell r="M5145">
            <v>0</v>
          </cell>
          <cell r="P5145">
            <v>0</v>
          </cell>
        </row>
        <row r="5146">
          <cell r="K5146">
            <v>0</v>
          </cell>
          <cell r="M5146">
            <v>0</v>
          </cell>
          <cell r="P5146">
            <v>0</v>
          </cell>
        </row>
        <row r="5147">
          <cell r="K5147">
            <v>0</v>
          </cell>
          <cell r="M5147">
            <v>0</v>
          </cell>
          <cell r="P5147">
            <v>0</v>
          </cell>
        </row>
        <row r="5148">
          <cell r="K5148">
            <v>0</v>
          </cell>
          <cell r="M5148">
            <v>0</v>
          </cell>
          <cell r="P5148">
            <v>0</v>
          </cell>
        </row>
        <row r="5149">
          <cell r="K5149">
            <v>0</v>
          </cell>
          <cell r="M5149">
            <v>0</v>
          </cell>
          <cell r="P5149">
            <v>0</v>
          </cell>
        </row>
        <row r="5150">
          <cell r="K5150">
            <v>0</v>
          </cell>
          <cell r="M5150">
            <v>0</v>
          </cell>
          <cell r="P5150">
            <v>0</v>
          </cell>
        </row>
        <row r="5151">
          <cell r="K5151">
            <v>0</v>
          </cell>
          <cell r="M5151">
            <v>0</v>
          </cell>
          <cell r="P5151">
            <v>0</v>
          </cell>
        </row>
        <row r="5152">
          <cell r="K5152">
            <v>0</v>
          </cell>
          <cell r="M5152">
            <v>0</v>
          </cell>
          <cell r="P5152">
            <v>0</v>
          </cell>
        </row>
        <row r="5153">
          <cell r="K5153">
            <v>0</v>
          </cell>
          <cell r="M5153">
            <v>0</v>
          </cell>
          <cell r="P5153">
            <v>0</v>
          </cell>
        </row>
        <row r="5154">
          <cell r="K5154">
            <v>0</v>
          </cell>
          <cell r="M5154">
            <v>0</v>
          </cell>
          <cell r="P5154">
            <v>0</v>
          </cell>
        </row>
        <row r="5155">
          <cell r="K5155">
            <v>0</v>
          </cell>
          <cell r="M5155">
            <v>0</v>
          </cell>
          <cell r="P5155">
            <v>0</v>
          </cell>
        </row>
        <row r="5156">
          <cell r="K5156">
            <v>0</v>
          </cell>
          <cell r="M5156">
            <v>0</v>
          </cell>
          <cell r="P5156">
            <v>0</v>
          </cell>
        </row>
        <row r="5157">
          <cell r="K5157">
            <v>0</v>
          </cell>
          <cell r="M5157">
            <v>0</v>
          </cell>
          <cell r="P5157">
            <v>0</v>
          </cell>
        </row>
        <row r="5158">
          <cell r="K5158">
            <v>0</v>
          </cell>
          <cell r="M5158">
            <v>0</v>
          </cell>
          <cell r="P5158">
            <v>0</v>
          </cell>
        </row>
        <row r="5159">
          <cell r="K5159">
            <v>0</v>
          </cell>
          <cell r="M5159">
            <v>0</v>
          </cell>
          <cell r="P5159">
            <v>0</v>
          </cell>
        </row>
        <row r="5160">
          <cell r="K5160">
            <v>0</v>
          </cell>
          <cell r="M5160">
            <v>0</v>
          </cell>
          <cell r="P5160">
            <v>0</v>
          </cell>
        </row>
        <row r="5161">
          <cell r="K5161">
            <v>0</v>
          </cell>
          <cell r="M5161">
            <v>0</v>
          </cell>
          <cell r="P5161">
            <v>0</v>
          </cell>
        </row>
        <row r="5162">
          <cell r="K5162">
            <v>0</v>
          </cell>
          <cell r="M5162">
            <v>0</v>
          </cell>
          <cell r="P5162">
            <v>0</v>
          </cell>
        </row>
        <row r="5163">
          <cell r="K5163">
            <v>0</v>
          </cell>
          <cell r="M5163">
            <v>0</v>
          </cell>
          <cell r="P5163">
            <v>0</v>
          </cell>
        </row>
        <row r="5164">
          <cell r="K5164">
            <v>0</v>
          </cell>
          <cell r="M5164">
            <v>0</v>
          </cell>
          <cell r="P5164">
            <v>0</v>
          </cell>
        </row>
        <row r="5165">
          <cell r="K5165">
            <v>0</v>
          </cell>
          <cell r="M5165">
            <v>0</v>
          </cell>
          <cell r="P5165">
            <v>0</v>
          </cell>
        </row>
        <row r="5166">
          <cell r="K5166">
            <v>0</v>
          </cell>
          <cell r="M5166">
            <v>0</v>
          </cell>
          <cell r="P5166">
            <v>0</v>
          </cell>
        </row>
        <row r="5167">
          <cell r="K5167">
            <v>0</v>
          </cell>
          <cell r="M5167">
            <v>0</v>
          </cell>
          <cell r="P5167">
            <v>0</v>
          </cell>
        </row>
        <row r="5168">
          <cell r="K5168">
            <v>0</v>
          </cell>
          <cell r="M5168">
            <v>0</v>
          </cell>
          <cell r="P5168">
            <v>0</v>
          </cell>
        </row>
        <row r="5169">
          <cell r="K5169">
            <v>0</v>
          </cell>
          <cell r="M5169">
            <v>0</v>
          </cell>
          <cell r="P5169">
            <v>0</v>
          </cell>
        </row>
        <row r="5170">
          <cell r="K5170">
            <v>0</v>
          </cell>
          <cell r="M5170">
            <v>0</v>
          </cell>
          <cell r="P5170">
            <v>0</v>
          </cell>
        </row>
        <row r="5171">
          <cell r="K5171">
            <v>0</v>
          </cell>
          <cell r="M5171">
            <v>0</v>
          </cell>
          <cell r="P5171">
            <v>0</v>
          </cell>
        </row>
        <row r="5172">
          <cell r="K5172">
            <v>0</v>
          </cell>
          <cell r="M5172">
            <v>0</v>
          </cell>
          <cell r="P5172">
            <v>0</v>
          </cell>
        </row>
        <row r="5173">
          <cell r="K5173">
            <v>0</v>
          </cell>
          <cell r="M5173">
            <v>0</v>
          </cell>
          <cell r="P5173">
            <v>0</v>
          </cell>
        </row>
        <row r="5174">
          <cell r="K5174">
            <v>0</v>
          </cell>
          <cell r="M5174">
            <v>0</v>
          </cell>
          <cell r="P5174">
            <v>0</v>
          </cell>
        </row>
        <row r="5175">
          <cell r="K5175">
            <v>0</v>
          </cell>
          <cell r="M5175">
            <v>0</v>
          </cell>
          <cell r="P5175">
            <v>0</v>
          </cell>
        </row>
        <row r="5176">
          <cell r="K5176">
            <v>0</v>
          </cell>
          <cell r="M5176">
            <v>0</v>
          </cell>
          <cell r="P5176">
            <v>0</v>
          </cell>
        </row>
        <row r="5177">
          <cell r="K5177">
            <v>0</v>
          </cell>
          <cell r="M5177">
            <v>0</v>
          </cell>
          <cell r="P5177">
            <v>0</v>
          </cell>
        </row>
        <row r="5178">
          <cell r="K5178">
            <v>0</v>
          </cell>
          <cell r="M5178">
            <v>0</v>
          </cell>
          <cell r="P5178">
            <v>0</v>
          </cell>
        </row>
        <row r="5179">
          <cell r="K5179">
            <v>0</v>
          </cell>
          <cell r="M5179">
            <v>0</v>
          </cell>
          <cell r="P5179">
            <v>0</v>
          </cell>
        </row>
        <row r="5180">
          <cell r="K5180">
            <v>0</v>
          </cell>
          <cell r="M5180">
            <v>0</v>
          </cell>
          <cell r="P5180">
            <v>0</v>
          </cell>
        </row>
        <row r="5181">
          <cell r="K5181">
            <v>0</v>
          </cell>
          <cell r="M5181">
            <v>0</v>
          </cell>
          <cell r="P5181">
            <v>0</v>
          </cell>
        </row>
        <row r="5182">
          <cell r="K5182">
            <v>0</v>
          </cell>
          <cell r="M5182">
            <v>0</v>
          </cell>
          <cell r="P5182">
            <v>0</v>
          </cell>
        </row>
        <row r="5183">
          <cell r="K5183">
            <v>0</v>
          </cell>
          <cell r="M5183">
            <v>0</v>
          </cell>
          <cell r="P5183">
            <v>0</v>
          </cell>
        </row>
        <row r="5184">
          <cell r="K5184">
            <v>0</v>
          </cell>
          <cell r="M5184">
            <v>0</v>
          </cell>
          <cell r="P5184">
            <v>0</v>
          </cell>
        </row>
        <row r="5185">
          <cell r="K5185">
            <v>0</v>
          </cell>
          <cell r="M5185">
            <v>0</v>
          </cell>
          <cell r="P5185">
            <v>0</v>
          </cell>
        </row>
        <row r="5186">
          <cell r="K5186">
            <v>0</v>
          </cell>
          <cell r="M5186">
            <v>0</v>
          </cell>
          <cell r="P5186">
            <v>0</v>
          </cell>
        </row>
        <row r="5187">
          <cell r="K5187">
            <v>0</v>
          </cell>
          <cell r="M5187">
            <v>0</v>
          </cell>
          <cell r="P5187">
            <v>0</v>
          </cell>
        </row>
        <row r="5188">
          <cell r="K5188">
            <v>0</v>
          </cell>
          <cell r="M5188">
            <v>0</v>
          </cell>
          <cell r="P5188">
            <v>0</v>
          </cell>
        </row>
        <row r="5189">
          <cell r="K5189">
            <v>0</v>
          </cell>
          <cell r="M5189">
            <v>0</v>
          </cell>
          <cell r="P5189">
            <v>0</v>
          </cell>
        </row>
        <row r="5190">
          <cell r="K5190">
            <v>0</v>
          </cell>
          <cell r="M5190">
            <v>0</v>
          </cell>
          <cell r="P5190">
            <v>0</v>
          </cell>
        </row>
        <row r="5191">
          <cell r="K5191">
            <v>0</v>
          </cell>
          <cell r="M5191">
            <v>0</v>
          </cell>
          <cell r="P5191">
            <v>0</v>
          </cell>
        </row>
        <row r="5192">
          <cell r="K5192">
            <v>0</v>
          </cell>
          <cell r="M5192">
            <v>0</v>
          </cell>
          <cell r="P5192">
            <v>0</v>
          </cell>
        </row>
        <row r="5193">
          <cell r="K5193">
            <v>0</v>
          </cell>
          <cell r="M5193">
            <v>0</v>
          </cell>
          <cell r="P5193">
            <v>0</v>
          </cell>
        </row>
        <row r="5194">
          <cell r="K5194">
            <v>0</v>
          </cell>
          <cell r="M5194">
            <v>0</v>
          </cell>
          <cell r="P5194">
            <v>0</v>
          </cell>
        </row>
        <row r="5195">
          <cell r="K5195">
            <v>0</v>
          </cell>
          <cell r="M5195">
            <v>0</v>
          </cell>
          <cell r="P5195">
            <v>0</v>
          </cell>
        </row>
        <row r="5196">
          <cell r="K5196">
            <v>0</v>
          </cell>
          <cell r="M5196">
            <v>0</v>
          </cell>
          <cell r="P5196">
            <v>0</v>
          </cell>
        </row>
        <row r="5197">
          <cell r="K5197">
            <v>0</v>
          </cell>
          <cell r="M5197">
            <v>0</v>
          </cell>
          <cell r="P5197">
            <v>0</v>
          </cell>
        </row>
        <row r="5198">
          <cell r="K5198">
            <v>0</v>
          </cell>
          <cell r="M5198">
            <v>0</v>
          </cell>
          <cell r="P5198">
            <v>0</v>
          </cell>
        </row>
        <row r="5199">
          <cell r="K5199">
            <v>0</v>
          </cell>
          <cell r="M5199">
            <v>0</v>
          </cell>
          <cell r="P5199">
            <v>0</v>
          </cell>
        </row>
        <row r="5200">
          <cell r="K5200">
            <v>0</v>
          </cell>
          <cell r="M5200">
            <v>0</v>
          </cell>
          <cell r="P5200">
            <v>0</v>
          </cell>
        </row>
        <row r="5201">
          <cell r="K5201">
            <v>0</v>
          </cell>
          <cell r="M5201">
            <v>0</v>
          </cell>
          <cell r="P5201">
            <v>0</v>
          </cell>
        </row>
        <row r="5202">
          <cell r="K5202">
            <v>0</v>
          </cell>
          <cell r="M5202">
            <v>0</v>
          </cell>
          <cell r="P5202">
            <v>0</v>
          </cell>
        </row>
        <row r="5203">
          <cell r="K5203">
            <v>0</v>
          </cell>
          <cell r="M5203">
            <v>0</v>
          </cell>
          <cell r="P5203">
            <v>0</v>
          </cell>
        </row>
        <row r="5204">
          <cell r="K5204">
            <v>0</v>
          </cell>
          <cell r="M5204">
            <v>0</v>
          </cell>
          <cell r="P5204">
            <v>0</v>
          </cell>
        </row>
        <row r="5205">
          <cell r="K5205">
            <v>0</v>
          </cell>
          <cell r="M5205">
            <v>0</v>
          </cell>
          <cell r="P5205">
            <v>0</v>
          </cell>
        </row>
        <row r="5206">
          <cell r="K5206">
            <v>0</v>
          </cell>
          <cell r="M5206">
            <v>0</v>
          </cell>
          <cell r="P5206">
            <v>0</v>
          </cell>
        </row>
        <row r="5207">
          <cell r="K5207">
            <v>0</v>
          </cell>
          <cell r="M5207">
            <v>0</v>
          </cell>
          <cell r="P5207">
            <v>0</v>
          </cell>
        </row>
        <row r="5208">
          <cell r="K5208">
            <v>0</v>
          </cell>
          <cell r="M5208">
            <v>0</v>
          </cell>
          <cell r="P5208">
            <v>0</v>
          </cell>
        </row>
        <row r="5209">
          <cell r="K5209">
            <v>0</v>
          </cell>
          <cell r="M5209">
            <v>0</v>
          </cell>
          <cell r="P5209">
            <v>0</v>
          </cell>
        </row>
        <row r="5210">
          <cell r="K5210">
            <v>0</v>
          </cell>
          <cell r="M5210">
            <v>0</v>
          </cell>
          <cell r="P5210">
            <v>0</v>
          </cell>
        </row>
        <row r="5211">
          <cell r="K5211">
            <v>0</v>
          </cell>
          <cell r="M5211">
            <v>0</v>
          </cell>
          <cell r="P5211">
            <v>0</v>
          </cell>
        </row>
        <row r="5212">
          <cell r="K5212">
            <v>0</v>
          </cell>
          <cell r="M5212">
            <v>0</v>
          </cell>
          <cell r="P5212">
            <v>0</v>
          </cell>
        </row>
        <row r="5213">
          <cell r="K5213">
            <v>0</v>
          </cell>
          <cell r="M5213">
            <v>0</v>
          </cell>
          <cell r="P5213">
            <v>0</v>
          </cell>
        </row>
        <row r="5214">
          <cell r="K5214">
            <v>0</v>
          </cell>
          <cell r="M5214">
            <v>0</v>
          </cell>
          <cell r="P5214">
            <v>0</v>
          </cell>
        </row>
        <row r="5215">
          <cell r="K5215">
            <v>0</v>
          </cell>
          <cell r="M5215">
            <v>0</v>
          </cell>
          <cell r="P5215">
            <v>0</v>
          </cell>
        </row>
        <row r="5216">
          <cell r="K5216">
            <v>0</v>
          </cell>
          <cell r="M5216">
            <v>0</v>
          </cell>
          <cell r="P5216">
            <v>0</v>
          </cell>
        </row>
        <row r="5217">
          <cell r="K5217">
            <v>0</v>
          </cell>
          <cell r="M5217">
            <v>0</v>
          </cell>
          <cell r="P5217">
            <v>0</v>
          </cell>
        </row>
        <row r="5218">
          <cell r="K5218">
            <v>0</v>
          </cell>
          <cell r="M5218">
            <v>0</v>
          </cell>
          <cell r="P5218">
            <v>0</v>
          </cell>
        </row>
        <row r="5219">
          <cell r="K5219">
            <v>0</v>
          </cell>
          <cell r="M5219">
            <v>0</v>
          </cell>
          <cell r="P5219">
            <v>0</v>
          </cell>
        </row>
        <row r="5220">
          <cell r="K5220">
            <v>0</v>
          </cell>
          <cell r="M5220">
            <v>0</v>
          </cell>
          <cell r="P5220">
            <v>0</v>
          </cell>
        </row>
        <row r="5221">
          <cell r="K5221">
            <v>0</v>
          </cell>
          <cell r="M5221">
            <v>0</v>
          </cell>
          <cell r="P5221">
            <v>0</v>
          </cell>
        </row>
        <row r="5222">
          <cell r="K5222">
            <v>0</v>
          </cell>
          <cell r="M5222">
            <v>0</v>
          </cell>
          <cell r="P5222">
            <v>0</v>
          </cell>
        </row>
        <row r="5223">
          <cell r="K5223">
            <v>0</v>
          </cell>
          <cell r="M5223">
            <v>0</v>
          </cell>
          <cell r="P5223">
            <v>0</v>
          </cell>
        </row>
        <row r="5224">
          <cell r="K5224">
            <v>0</v>
          </cell>
          <cell r="M5224">
            <v>0</v>
          </cell>
          <cell r="P5224">
            <v>0</v>
          </cell>
        </row>
        <row r="5225">
          <cell r="K5225">
            <v>0</v>
          </cell>
          <cell r="M5225">
            <v>0</v>
          </cell>
          <cell r="P5225">
            <v>0</v>
          </cell>
        </row>
        <row r="5226">
          <cell r="K5226">
            <v>0</v>
          </cell>
          <cell r="M5226">
            <v>0</v>
          </cell>
          <cell r="P5226">
            <v>0</v>
          </cell>
        </row>
        <row r="5227">
          <cell r="K5227">
            <v>0</v>
          </cell>
          <cell r="M5227">
            <v>0</v>
          </cell>
          <cell r="P5227">
            <v>0</v>
          </cell>
        </row>
        <row r="5228">
          <cell r="K5228">
            <v>0</v>
          </cell>
          <cell r="M5228">
            <v>0</v>
          </cell>
          <cell r="P5228">
            <v>0</v>
          </cell>
        </row>
        <row r="5229">
          <cell r="K5229">
            <v>0</v>
          </cell>
          <cell r="M5229">
            <v>0</v>
          </cell>
          <cell r="P5229">
            <v>0</v>
          </cell>
        </row>
        <row r="5230">
          <cell r="K5230">
            <v>0</v>
          </cell>
          <cell r="M5230">
            <v>0</v>
          </cell>
          <cell r="P5230">
            <v>0</v>
          </cell>
        </row>
        <row r="5231">
          <cell r="K5231">
            <v>0</v>
          </cell>
          <cell r="M5231">
            <v>0</v>
          </cell>
          <cell r="P5231">
            <v>0</v>
          </cell>
        </row>
        <row r="5232">
          <cell r="K5232">
            <v>0</v>
          </cell>
          <cell r="M5232">
            <v>0</v>
          </cell>
          <cell r="P5232">
            <v>0</v>
          </cell>
        </row>
        <row r="5233">
          <cell r="K5233">
            <v>0</v>
          </cell>
          <cell r="M5233">
            <v>0</v>
          </cell>
          <cell r="P5233">
            <v>0</v>
          </cell>
        </row>
        <row r="5234">
          <cell r="K5234">
            <v>0</v>
          </cell>
          <cell r="M5234">
            <v>0</v>
          </cell>
          <cell r="P5234">
            <v>0</v>
          </cell>
        </row>
        <row r="5235">
          <cell r="K5235">
            <v>0</v>
          </cell>
          <cell r="M5235">
            <v>0</v>
          </cell>
          <cell r="P5235">
            <v>0</v>
          </cell>
        </row>
        <row r="5236">
          <cell r="K5236">
            <v>0</v>
          </cell>
          <cell r="M5236">
            <v>0</v>
          </cell>
          <cell r="P5236">
            <v>0</v>
          </cell>
        </row>
        <row r="5237">
          <cell r="K5237">
            <v>0</v>
          </cell>
          <cell r="M5237">
            <v>0</v>
          </cell>
          <cell r="P5237">
            <v>0</v>
          </cell>
        </row>
        <row r="5238">
          <cell r="K5238">
            <v>0</v>
          </cell>
          <cell r="M5238">
            <v>0</v>
          </cell>
          <cell r="P5238">
            <v>0</v>
          </cell>
        </row>
        <row r="5239">
          <cell r="K5239">
            <v>0</v>
          </cell>
          <cell r="M5239">
            <v>0</v>
          </cell>
          <cell r="P5239">
            <v>0</v>
          </cell>
        </row>
        <row r="5240">
          <cell r="K5240">
            <v>0</v>
          </cell>
          <cell r="M5240">
            <v>0</v>
          </cell>
          <cell r="P5240">
            <v>0</v>
          </cell>
        </row>
        <row r="5241">
          <cell r="K5241">
            <v>0</v>
          </cell>
          <cell r="M5241">
            <v>0</v>
          </cell>
          <cell r="P5241">
            <v>0</v>
          </cell>
        </row>
        <row r="5242">
          <cell r="K5242">
            <v>0</v>
          </cell>
          <cell r="M5242">
            <v>0</v>
          </cell>
          <cell r="P5242">
            <v>0</v>
          </cell>
        </row>
        <row r="5243">
          <cell r="K5243">
            <v>0</v>
          </cell>
          <cell r="M5243">
            <v>0</v>
          </cell>
          <cell r="P5243">
            <v>0</v>
          </cell>
        </row>
        <row r="5244">
          <cell r="K5244">
            <v>0</v>
          </cell>
          <cell r="M5244">
            <v>0</v>
          </cell>
          <cell r="P5244">
            <v>0</v>
          </cell>
        </row>
        <row r="5245">
          <cell r="K5245">
            <v>0</v>
          </cell>
          <cell r="M5245">
            <v>0</v>
          </cell>
          <cell r="P5245">
            <v>0</v>
          </cell>
        </row>
        <row r="5246">
          <cell r="K5246">
            <v>0</v>
          </cell>
          <cell r="M5246">
            <v>0</v>
          </cell>
          <cell r="P5246">
            <v>0</v>
          </cell>
        </row>
        <row r="5247">
          <cell r="K5247">
            <v>0</v>
          </cell>
          <cell r="M5247">
            <v>0</v>
          </cell>
          <cell r="P5247">
            <v>0</v>
          </cell>
        </row>
        <row r="5248">
          <cell r="K5248">
            <v>0</v>
          </cell>
          <cell r="M5248">
            <v>0</v>
          </cell>
          <cell r="P5248">
            <v>0</v>
          </cell>
        </row>
        <row r="5249">
          <cell r="K5249">
            <v>0</v>
          </cell>
          <cell r="M5249">
            <v>0</v>
          </cell>
          <cell r="P5249">
            <v>0</v>
          </cell>
        </row>
        <row r="5250">
          <cell r="K5250">
            <v>0</v>
          </cell>
          <cell r="M5250">
            <v>0</v>
          </cell>
          <cell r="P5250">
            <v>0</v>
          </cell>
        </row>
        <row r="5251">
          <cell r="K5251">
            <v>0</v>
          </cell>
          <cell r="M5251">
            <v>0</v>
          </cell>
          <cell r="P5251">
            <v>0</v>
          </cell>
        </row>
        <row r="5252">
          <cell r="K5252">
            <v>0</v>
          </cell>
          <cell r="M5252">
            <v>0</v>
          </cell>
          <cell r="P5252">
            <v>0</v>
          </cell>
        </row>
        <row r="5253">
          <cell r="K5253">
            <v>0</v>
          </cell>
          <cell r="M5253">
            <v>0</v>
          </cell>
          <cell r="P5253">
            <v>0</v>
          </cell>
        </row>
        <row r="5254">
          <cell r="K5254">
            <v>0</v>
          </cell>
          <cell r="M5254">
            <v>0</v>
          </cell>
          <cell r="P5254">
            <v>0</v>
          </cell>
        </row>
        <row r="5255">
          <cell r="K5255">
            <v>0</v>
          </cell>
          <cell r="M5255">
            <v>0</v>
          </cell>
          <cell r="P5255">
            <v>0</v>
          </cell>
        </row>
        <row r="5256">
          <cell r="K5256">
            <v>0</v>
          </cell>
          <cell r="M5256">
            <v>0</v>
          </cell>
          <cell r="P5256">
            <v>0</v>
          </cell>
        </row>
        <row r="5257">
          <cell r="K5257">
            <v>0</v>
          </cell>
          <cell r="M5257">
            <v>0</v>
          </cell>
          <cell r="P5257">
            <v>0</v>
          </cell>
        </row>
        <row r="5258">
          <cell r="K5258">
            <v>0</v>
          </cell>
          <cell r="M5258">
            <v>0</v>
          </cell>
          <cell r="P5258">
            <v>0</v>
          </cell>
        </row>
        <row r="5259">
          <cell r="K5259">
            <v>0</v>
          </cell>
          <cell r="M5259">
            <v>0</v>
          </cell>
          <cell r="P5259">
            <v>0</v>
          </cell>
        </row>
        <row r="5260">
          <cell r="K5260">
            <v>0</v>
          </cell>
          <cell r="M5260">
            <v>0</v>
          </cell>
          <cell r="P5260">
            <v>0</v>
          </cell>
        </row>
        <row r="5261">
          <cell r="K5261">
            <v>0</v>
          </cell>
          <cell r="M5261">
            <v>0</v>
          </cell>
          <cell r="P5261">
            <v>0</v>
          </cell>
        </row>
        <row r="5262">
          <cell r="K5262">
            <v>0</v>
          </cell>
          <cell r="M5262">
            <v>0</v>
          </cell>
          <cell r="P5262">
            <v>0</v>
          </cell>
        </row>
        <row r="5263">
          <cell r="K5263">
            <v>0</v>
          </cell>
          <cell r="M5263">
            <v>0</v>
          </cell>
          <cell r="P5263">
            <v>0</v>
          </cell>
        </row>
        <row r="5264">
          <cell r="K5264">
            <v>0</v>
          </cell>
          <cell r="M5264">
            <v>0</v>
          </cell>
          <cell r="P5264">
            <v>0</v>
          </cell>
        </row>
        <row r="5265">
          <cell r="K5265">
            <v>0</v>
          </cell>
          <cell r="M5265">
            <v>0</v>
          </cell>
          <cell r="P5265">
            <v>0</v>
          </cell>
        </row>
        <row r="5266">
          <cell r="K5266">
            <v>0</v>
          </cell>
          <cell r="M5266">
            <v>0</v>
          </cell>
          <cell r="P5266">
            <v>0</v>
          </cell>
        </row>
        <row r="5267">
          <cell r="K5267">
            <v>0</v>
          </cell>
          <cell r="M5267">
            <v>0</v>
          </cell>
          <cell r="P5267">
            <v>0</v>
          </cell>
        </row>
        <row r="5268">
          <cell r="K5268">
            <v>0</v>
          </cell>
          <cell r="M5268">
            <v>0</v>
          </cell>
          <cell r="P5268">
            <v>0</v>
          </cell>
        </row>
        <row r="5269">
          <cell r="K5269">
            <v>0</v>
          </cell>
          <cell r="M5269">
            <v>0</v>
          </cell>
          <cell r="P5269">
            <v>0</v>
          </cell>
        </row>
        <row r="5270">
          <cell r="K5270">
            <v>0</v>
          </cell>
          <cell r="M5270">
            <v>0</v>
          </cell>
          <cell r="P5270">
            <v>0</v>
          </cell>
        </row>
        <row r="5271">
          <cell r="K5271">
            <v>0</v>
          </cell>
          <cell r="M5271">
            <v>0</v>
          </cell>
          <cell r="P5271">
            <v>0</v>
          </cell>
        </row>
        <row r="5272">
          <cell r="K5272">
            <v>0</v>
          </cell>
          <cell r="M5272">
            <v>0</v>
          </cell>
          <cell r="P5272">
            <v>0</v>
          </cell>
        </row>
        <row r="5273">
          <cell r="K5273">
            <v>0</v>
          </cell>
          <cell r="M5273">
            <v>0</v>
          </cell>
          <cell r="P5273">
            <v>0</v>
          </cell>
        </row>
        <row r="5274">
          <cell r="K5274">
            <v>0</v>
          </cell>
          <cell r="M5274">
            <v>0</v>
          </cell>
          <cell r="P5274">
            <v>0</v>
          </cell>
        </row>
        <row r="5275">
          <cell r="K5275">
            <v>0</v>
          </cell>
          <cell r="M5275">
            <v>0</v>
          </cell>
          <cell r="P5275">
            <v>0</v>
          </cell>
        </row>
        <row r="5276">
          <cell r="K5276">
            <v>0</v>
          </cell>
          <cell r="M5276">
            <v>0</v>
          </cell>
          <cell r="P5276">
            <v>0</v>
          </cell>
        </row>
        <row r="5277">
          <cell r="K5277">
            <v>0</v>
          </cell>
          <cell r="M5277">
            <v>0</v>
          </cell>
          <cell r="P5277">
            <v>0</v>
          </cell>
        </row>
        <row r="5278">
          <cell r="K5278">
            <v>0</v>
          </cell>
          <cell r="M5278">
            <v>0</v>
          </cell>
          <cell r="P5278">
            <v>0</v>
          </cell>
        </row>
        <row r="5279">
          <cell r="K5279">
            <v>0</v>
          </cell>
          <cell r="M5279">
            <v>0</v>
          </cell>
          <cell r="P5279">
            <v>0</v>
          </cell>
        </row>
        <row r="5280">
          <cell r="K5280">
            <v>0</v>
          </cell>
          <cell r="M5280">
            <v>0</v>
          </cell>
          <cell r="P5280">
            <v>0</v>
          </cell>
        </row>
        <row r="5281">
          <cell r="K5281">
            <v>0</v>
          </cell>
          <cell r="M5281">
            <v>0</v>
          </cell>
          <cell r="P5281">
            <v>0</v>
          </cell>
        </row>
        <row r="5282">
          <cell r="K5282">
            <v>0</v>
          </cell>
          <cell r="M5282">
            <v>0</v>
          </cell>
          <cell r="P5282">
            <v>0</v>
          </cell>
        </row>
        <row r="5283">
          <cell r="K5283">
            <v>0</v>
          </cell>
          <cell r="M5283">
            <v>0</v>
          </cell>
          <cell r="P5283">
            <v>0</v>
          </cell>
        </row>
        <row r="5284">
          <cell r="K5284">
            <v>0</v>
          </cell>
          <cell r="M5284">
            <v>0</v>
          </cell>
          <cell r="P5284">
            <v>0</v>
          </cell>
        </row>
        <row r="5285">
          <cell r="K5285">
            <v>0</v>
          </cell>
          <cell r="M5285">
            <v>0</v>
          </cell>
          <cell r="P5285">
            <v>0</v>
          </cell>
        </row>
        <row r="5286">
          <cell r="K5286">
            <v>0</v>
          </cell>
          <cell r="M5286">
            <v>0</v>
          </cell>
          <cell r="P5286">
            <v>0</v>
          </cell>
        </row>
        <row r="5287">
          <cell r="K5287">
            <v>0</v>
          </cell>
          <cell r="M5287">
            <v>0</v>
          </cell>
          <cell r="P5287">
            <v>0</v>
          </cell>
        </row>
        <row r="5288">
          <cell r="K5288">
            <v>0</v>
          </cell>
          <cell r="M5288">
            <v>0</v>
          </cell>
          <cell r="P5288">
            <v>0</v>
          </cell>
        </row>
        <row r="5289">
          <cell r="K5289">
            <v>0</v>
          </cell>
          <cell r="M5289">
            <v>0</v>
          </cell>
          <cell r="P5289">
            <v>0</v>
          </cell>
        </row>
        <row r="5290">
          <cell r="K5290">
            <v>0</v>
          </cell>
          <cell r="M5290">
            <v>0</v>
          </cell>
          <cell r="P5290">
            <v>0</v>
          </cell>
        </row>
        <row r="5291">
          <cell r="K5291">
            <v>0</v>
          </cell>
          <cell r="M5291">
            <v>0</v>
          </cell>
          <cell r="P5291">
            <v>0</v>
          </cell>
        </row>
        <row r="5292">
          <cell r="K5292">
            <v>0</v>
          </cell>
          <cell r="M5292">
            <v>0</v>
          </cell>
          <cell r="P5292">
            <v>0</v>
          </cell>
        </row>
        <row r="5293">
          <cell r="K5293">
            <v>0</v>
          </cell>
          <cell r="M5293">
            <v>0</v>
          </cell>
          <cell r="P5293">
            <v>0</v>
          </cell>
        </row>
        <row r="5294">
          <cell r="K5294">
            <v>0</v>
          </cell>
          <cell r="M5294">
            <v>0</v>
          </cell>
          <cell r="P5294">
            <v>0</v>
          </cell>
        </row>
        <row r="5295">
          <cell r="K5295">
            <v>0</v>
          </cell>
          <cell r="M5295">
            <v>0</v>
          </cell>
          <cell r="P5295">
            <v>0</v>
          </cell>
        </row>
        <row r="5296">
          <cell r="K5296">
            <v>0</v>
          </cell>
          <cell r="M5296">
            <v>0</v>
          </cell>
          <cell r="P5296">
            <v>0</v>
          </cell>
        </row>
        <row r="5297">
          <cell r="K5297">
            <v>0</v>
          </cell>
          <cell r="M5297">
            <v>0</v>
          </cell>
          <cell r="P5297">
            <v>0</v>
          </cell>
        </row>
        <row r="5298">
          <cell r="K5298">
            <v>0</v>
          </cell>
          <cell r="M5298">
            <v>0</v>
          </cell>
          <cell r="P5298">
            <v>0</v>
          </cell>
        </row>
        <row r="5299">
          <cell r="K5299">
            <v>0</v>
          </cell>
          <cell r="M5299">
            <v>0</v>
          </cell>
          <cell r="P5299">
            <v>0</v>
          </cell>
        </row>
        <row r="5300">
          <cell r="K5300">
            <v>0</v>
          </cell>
          <cell r="M5300">
            <v>0</v>
          </cell>
          <cell r="P5300">
            <v>0</v>
          </cell>
        </row>
        <row r="5301">
          <cell r="K5301">
            <v>0</v>
          </cell>
          <cell r="M5301">
            <v>0</v>
          </cell>
          <cell r="P5301">
            <v>0</v>
          </cell>
        </row>
        <row r="5302">
          <cell r="K5302">
            <v>0</v>
          </cell>
          <cell r="M5302">
            <v>0</v>
          </cell>
          <cell r="P5302">
            <v>0</v>
          </cell>
        </row>
        <row r="5303">
          <cell r="K5303">
            <v>0</v>
          </cell>
          <cell r="M5303">
            <v>0</v>
          </cell>
          <cell r="P5303">
            <v>0</v>
          </cell>
        </row>
        <row r="5304">
          <cell r="K5304">
            <v>0</v>
          </cell>
          <cell r="M5304">
            <v>0</v>
          </cell>
          <cell r="P5304">
            <v>0</v>
          </cell>
        </row>
        <row r="5305">
          <cell r="K5305">
            <v>0</v>
          </cell>
          <cell r="M5305">
            <v>0</v>
          </cell>
          <cell r="P5305">
            <v>0</v>
          </cell>
        </row>
        <row r="5306">
          <cell r="K5306">
            <v>0</v>
          </cell>
          <cell r="M5306">
            <v>0</v>
          </cell>
          <cell r="P5306">
            <v>0</v>
          </cell>
        </row>
        <row r="5307">
          <cell r="K5307">
            <v>0</v>
          </cell>
          <cell r="M5307">
            <v>0</v>
          </cell>
          <cell r="P5307">
            <v>0</v>
          </cell>
        </row>
        <row r="5308">
          <cell r="K5308">
            <v>0</v>
          </cell>
          <cell r="M5308">
            <v>0</v>
          </cell>
          <cell r="P5308">
            <v>0</v>
          </cell>
        </row>
        <row r="5309">
          <cell r="K5309">
            <v>0</v>
          </cell>
          <cell r="M5309">
            <v>0</v>
          </cell>
          <cell r="P5309">
            <v>0</v>
          </cell>
        </row>
        <row r="5310">
          <cell r="K5310">
            <v>0</v>
          </cell>
          <cell r="M5310">
            <v>0</v>
          </cell>
          <cell r="P5310">
            <v>0</v>
          </cell>
        </row>
        <row r="5311">
          <cell r="K5311">
            <v>0</v>
          </cell>
          <cell r="M5311">
            <v>0</v>
          </cell>
          <cell r="P5311">
            <v>0</v>
          </cell>
        </row>
        <row r="5312">
          <cell r="K5312">
            <v>0</v>
          </cell>
          <cell r="M5312">
            <v>0</v>
          </cell>
          <cell r="P5312">
            <v>0</v>
          </cell>
        </row>
        <row r="5313">
          <cell r="K5313">
            <v>0</v>
          </cell>
          <cell r="M5313">
            <v>0</v>
          </cell>
          <cell r="P5313">
            <v>0</v>
          </cell>
        </row>
        <row r="5314">
          <cell r="K5314">
            <v>0</v>
          </cell>
          <cell r="M5314">
            <v>0</v>
          </cell>
          <cell r="P5314">
            <v>0</v>
          </cell>
        </row>
        <row r="5315">
          <cell r="K5315">
            <v>0</v>
          </cell>
          <cell r="M5315">
            <v>0</v>
          </cell>
          <cell r="P5315">
            <v>0</v>
          </cell>
        </row>
        <row r="5316">
          <cell r="K5316">
            <v>0</v>
          </cell>
          <cell r="M5316">
            <v>0</v>
          </cell>
          <cell r="P5316">
            <v>0</v>
          </cell>
        </row>
        <row r="5317">
          <cell r="K5317">
            <v>0</v>
          </cell>
          <cell r="M5317">
            <v>0</v>
          </cell>
          <cell r="P5317">
            <v>0</v>
          </cell>
        </row>
        <row r="5318">
          <cell r="K5318">
            <v>0</v>
          </cell>
          <cell r="M5318">
            <v>0</v>
          </cell>
          <cell r="P5318">
            <v>0</v>
          </cell>
        </row>
        <row r="5319">
          <cell r="K5319">
            <v>0</v>
          </cell>
          <cell r="M5319">
            <v>0</v>
          </cell>
          <cell r="P5319">
            <v>0</v>
          </cell>
        </row>
        <row r="5320">
          <cell r="K5320">
            <v>0</v>
          </cell>
          <cell r="M5320">
            <v>0</v>
          </cell>
          <cell r="P5320">
            <v>0</v>
          </cell>
        </row>
        <row r="5321">
          <cell r="K5321">
            <v>0</v>
          </cell>
          <cell r="M5321">
            <v>0</v>
          </cell>
          <cell r="P5321">
            <v>0</v>
          </cell>
        </row>
        <row r="5322">
          <cell r="K5322">
            <v>0</v>
          </cell>
          <cell r="M5322">
            <v>0</v>
          </cell>
          <cell r="P5322">
            <v>0</v>
          </cell>
        </row>
        <row r="5323">
          <cell r="K5323">
            <v>0</v>
          </cell>
          <cell r="M5323">
            <v>0</v>
          </cell>
          <cell r="P5323">
            <v>0</v>
          </cell>
        </row>
        <row r="5324">
          <cell r="K5324">
            <v>0</v>
          </cell>
          <cell r="M5324">
            <v>0</v>
          </cell>
          <cell r="P5324">
            <v>0</v>
          </cell>
        </row>
        <row r="5325">
          <cell r="K5325">
            <v>0</v>
          </cell>
          <cell r="M5325">
            <v>0</v>
          </cell>
          <cell r="P5325">
            <v>0</v>
          </cell>
        </row>
        <row r="5326">
          <cell r="K5326">
            <v>0</v>
          </cell>
          <cell r="M5326">
            <v>0</v>
          </cell>
          <cell r="P5326">
            <v>0</v>
          </cell>
        </row>
        <row r="5327">
          <cell r="K5327">
            <v>0</v>
          </cell>
          <cell r="M5327">
            <v>0</v>
          </cell>
          <cell r="P5327">
            <v>0</v>
          </cell>
        </row>
        <row r="5328">
          <cell r="K5328">
            <v>0</v>
          </cell>
          <cell r="M5328">
            <v>0</v>
          </cell>
          <cell r="P5328">
            <v>0</v>
          </cell>
        </row>
        <row r="5329">
          <cell r="K5329">
            <v>0</v>
          </cell>
          <cell r="M5329">
            <v>0</v>
          </cell>
          <cell r="P5329">
            <v>0</v>
          </cell>
        </row>
        <row r="5330">
          <cell r="K5330">
            <v>0</v>
          </cell>
          <cell r="M5330">
            <v>0</v>
          </cell>
          <cell r="P5330">
            <v>0</v>
          </cell>
        </row>
        <row r="5331">
          <cell r="K5331">
            <v>0</v>
          </cell>
          <cell r="M5331">
            <v>0</v>
          </cell>
          <cell r="P5331">
            <v>0</v>
          </cell>
        </row>
        <row r="5332">
          <cell r="K5332">
            <v>0</v>
          </cell>
          <cell r="M5332">
            <v>0</v>
          </cell>
          <cell r="P5332">
            <v>0</v>
          </cell>
        </row>
        <row r="5333">
          <cell r="K5333">
            <v>0</v>
          </cell>
          <cell r="M5333">
            <v>0</v>
          </cell>
          <cell r="P5333">
            <v>0</v>
          </cell>
        </row>
        <row r="5334">
          <cell r="K5334">
            <v>0</v>
          </cell>
          <cell r="M5334">
            <v>0</v>
          </cell>
          <cell r="P5334">
            <v>0</v>
          </cell>
        </row>
        <row r="5335">
          <cell r="K5335">
            <v>0</v>
          </cell>
          <cell r="M5335">
            <v>0</v>
          </cell>
          <cell r="P5335">
            <v>0</v>
          </cell>
        </row>
        <row r="5336">
          <cell r="K5336">
            <v>0</v>
          </cell>
          <cell r="M5336">
            <v>0</v>
          </cell>
          <cell r="P5336">
            <v>0</v>
          </cell>
        </row>
        <row r="5337">
          <cell r="K5337">
            <v>0</v>
          </cell>
          <cell r="M5337">
            <v>0</v>
          </cell>
          <cell r="P5337">
            <v>0</v>
          </cell>
        </row>
        <row r="5338">
          <cell r="K5338">
            <v>0</v>
          </cell>
          <cell r="M5338">
            <v>0</v>
          </cell>
          <cell r="P5338">
            <v>0</v>
          </cell>
        </row>
        <row r="5339">
          <cell r="K5339">
            <v>0</v>
          </cell>
          <cell r="M5339">
            <v>0</v>
          </cell>
          <cell r="P5339">
            <v>0</v>
          </cell>
        </row>
        <row r="5340">
          <cell r="K5340">
            <v>0</v>
          </cell>
          <cell r="M5340">
            <v>0</v>
          </cell>
          <cell r="P5340">
            <v>0</v>
          </cell>
        </row>
        <row r="5341">
          <cell r="K5341">
            <v>0</v>
          </cell>
          <cell r="M5341">
            <v>0</v>
          </cell>
          <cell r="P5341">
            <v>0</v>
          </cell>
        </row>
        <row r="5342">
          <cell r="K5342">
            <v>0</v>
          </cell>
          <cell r="M5342">
            <v>0</v>
          </cell>
          <cell r="P5342">
            <v>0</v>
          </cell>
        </row>
        <row r="5343">
          <cell r="K5343">
            <v>0</v>
          </cell>
          <cell r="M5343">
            <v>0</v>
          </cell>
          <cell r="P5343">
            <v>0</v>
          </cell>
        </row>
        <row r="5344">
          <cell r="K5344">
            <v>0</v>
          </cell>
          <cell r="M5344">
            <v>0</v>
          </cell>
          <cell r="P5344">
            <v>0</v>
          </cell>
        </row>
        <row r="5345">
          <cell r="K5345">
            <v>0</v>
          </cell>
          <cell r="M5345">
            <v>0</v>
          </cell>
          <cell r="P5345">
            <v>0</v>
          </cell>
        </row>
        <row r="5346">
          <cell r="K5346">
            <v>0</v>
          </cell>
          <cell r="M5346">
            <v>0</v>
          </cell>
          <cell r="P5346">
            <v>0</v>
          </cell>
        </row>
        <row r="5347">
          <cell r="K5347">
            <v>0</v>
          </cell>
          <cell r="M5347">
            <v>0</v>
          </cell>
          <cell r="P5347">
            <v>0</v>
          </cell>
        </row>
        <row r="5348">
          <cell r="K5348">
            <v>0</v>
          </cell>
          <cell r="M5348">
            <v>0</v>
          </cell>
          <cell r="P5348">
            <v>0</v>
          </cell>
        </row>
        <row r="5349">
          <cell r="K5349">
            <v>0</v>
          </cell>
          <cell r="M5349">
            <v>0</v>
          </cell>
          <cell r="P5349">
            <v>0</v>
          </cell>
        </row>
        <row r="5350">
          <cell r="K5350">
            <v>0</v>
          </cell>
          <cell r="M5350">
            <v>0</v>
          </cell>
          <cell r="P5350">
            <v>0</v>
          </cell>
        </row>
        <row r="5351">
          <cell r="K5351">
            <v>0</v>
          </cell>
          <cell r="M5351">
            <v>0</v>
          </cell>
          <cell r="P5351">
            <v>0</v>
          </cell>
        </row>
        <row r="5352">
          <cell r="K5352">
            <v>0</v>
          </cell>
          <cell r="M5352">
            <v>0</v>
          </cell>
          <cell r="P5352">
            <v>0</v>
          </cell>
        </row>
        <row r="5353">
          <cell r="K5353">
            <v>0</v>
          </cell>
          <cell r="M5353">
            <v>0</v>
          </cell>
          <cell r="P5353">
            <v>0</v>
          </cell>
        </row>
        <row r="5354">
          <cell r="K5354">
            <v>0</v>
          </cell>
          <cell r="M5354">
            <v>0</v>
          </cell>
          <cell r="P5354">
            <v>0</v>
          </cell>
        </row>
        <row r="5355">
          <cell r="K5355">
            <v>0</v>
          </cell>
          <cell r="M5355">
            <v>0</v>
          </cell>
          <cell r="P5355">
            <v>0</v>
          </cell>
        </row>
        <row r="5356">
          <cell r="K5356">
            <v>0</v>
          </cell>
          <cell r="M5356">
            <v>0</v>
          </cell>
          <cell r="P5356">
            <v>0</v>
          </cell>
        </row>
        <row r="5357">
          <cell r="K5357">
            <v>0</v>
          </cell>
          <cell r="M5357">
            <v>0</v>
          </cell>
          <cell r="P5357">
            <v>0</v>
          </cell>
        </row>
        <row r="5358">
          <cell r="K5358">
            <v>0</v>
          </cell>
          <cell r="M5358">
            <v>0</v>
          </cell>
          <cell r="P5358">
            <v>0</v>
          </cell>
        </row>
        <row r="5359">
          <cell r="K5359">
            <v>0</v>
          </cell>
          <cell r="M5359">
            <v>0</v>
          </cell>
          <cell r="P5359">
            <v>0</v>
          </cell>
        </row>
        <row r="5360">
          <cell r="K5360">
            <v>0</v>
          </cell>
          <cell r="M5360">
            <v>0</v>
          </cell>
          <cell r="P5360">
            <v>0</v>
          </cell>
        </row>
        <row r="5361">
          <cell r="K5361">
            <v>0</v>
          </cell>
          <cell r="M5361">
            <v>0</v>
          </cell>
          <cell r="P5361">
            <v>0</v>
          </cell>
        </row>
        <row r="5362">
          <cell r="K5362">
            <v>0</v>
          </cell>
          <cell r="M5362">
            <v>0</v>
          </cell>
          <cell r="P5362">
            <v>0</v>
          </cell>
        </row>
        <row r="5363">
          <cell r="K5363">
            <v>0</v>
          </cell>
          <cell r="M5363">
            <v>0</v>
          </cell>
          <cell r="P5363">
            <v>0</v>
          </cell>
        </row>
        <row r="5364">
          <cell r="K5364">
            <v>0</v>
          </cell>
          <cell r="M5364">
            <v>0</v>
          </cell>
          <cell r="P5364">
            <v>0</v>
          </cell>
        </row>
        <row r="5365">
          <cell r="K5365">
            <v>0</v>
          </cell>
          <cell r="M5365">
            <v>0</v>
          </cell>
          <cell r="P5365">
            <v>0</v>
          </cell>
        </row>
        <row r="5366">
          <cell r="K5366">
            <v>0</v>
          </cell>
          <cell r="M5366">
            <v>0</v>
          </cell>
          <cell r="P5366">
            <v>0</v>
          </cell>
        </row>
        <row r="5367">
          <cell r="K5367">
            <v>0</v>
          </cell>
          <cell r="M5367">
            <v>0</v>
          </cell>
          <cell r="P5367">
            <v>0</v>
          </cell>
        </row>
        <row r="5368">
          <cell r="K5368">
            <v>0</v>
          </cell>
          <cell r="M5368">
            <v>0</v>
          </cell>
          <cell r="P5368">
            <v>0</v>
          </cell>
        </row>
        <row r="5369">
          <cell r="K5369">
            <v>0</v>
          </cell>
          <cell r="M5369">
            <v>0</v>
          </cell>
          <cell r="P5369">
            <v>0</v>
          </cell>
        </row>
        <row r="5370">
          <cell r="K5370">
            <v>0</v>
          </cell>
          <cell r="M5370">
            <v>0</v>
          </cell>
          <cell r="P5370">
            <v>0</v>
          </cell>
        </row>
        <row r="5371">
          <cell r="K5371">
            <v>0</v>
          </cell>
          <cell r="M5371">
            <v>0</v>
          </cell>
          <cell r="P5371">
            <v>0</v>
          </cell>
        </row>
        <row r="5372">
          <cell r="K5372">
            <v>0</v>
          </cell>
          <cell r="M5372">
            <v>0</v>
          </cell>
          <cell r="P5372">
            <v>0</v>
          </cell>
        </row>
        <row r="5373">
          <cell r="K5373">
            <v>0</v>
          </cell>
          <cell r="M5373">
            <v>0</v>
          </cell>
          <cell r="P5373">
            <v>0</v>
          </cell>
        </row>
        <row r="5374">
          <cell r="K5374">
            <v>0</v>
          </cell>
          <cell r="M5374">
            <v>0</v>
          </cell>
          <cell r="P5374">
            <v>0</v>
          </cell>
        </row>
        <row r="5375">
          <cell r="K5375">
            <v>0</v>
          </cell>
          <cell r="M5375">
            <v>0</v>
          </cell>
          <cell r="P5375">
            <v>0</v>
          </cell>
        </row>
        <row r="5376">
          <cell r="K5376">
            <v>0</v>
          </cell>
          <cell r="M5376">
            <v>0</v>
          </cell>
          <cell r="P5376">
            <v>0</v>
          </cell>
        </row>
        <row r="5377">
          <cell r="K5377">
            <v>0</v>
          </cell>
          <cell r="M5377">
            <v>0</v>
          </cell>
          <cell r="P5377">
            <v>0</v>
          </cell>
        </row>
        <row r="5378">
          <cell r="K5378">
            <v>0</v>
          </cell>
          <cell r="M5378">
            <v>0</v>
          </cell>
          <cell r="P5378">
            <v>0</v>
          </cell>
        </row>
        <row r="5379">
          <cell r="K5379">
            <v>0</v>
          </cell>
          <cell r="M5379">
            <v>0</v>
          </cell>
          <cell r="P5379">
            <v>0</v>
          </cell>
        </row>
        <row r="5380">
          <cell r="K5380">
            <v>0</v>
          </cell>
          <cell r="M5380">
            <v>0</v>
          </cell>
          <cell r="P5380">
            <v>0</v>
          </cell>
        </row>
        <row r="5381">
          <cell r="K5381">
            <v>0</v>
          </cell>
          <cell r="M5381">
            <v>0</v>
          </cell>
          <cell r="P5381">
            <v>0</v>
          </cell>
        </row>
        <row r="5382">
          <cell r="K5382">
            <v>0</v>
          </cell>
          <cell r="M5382">
            <v>0</v>
          </cell>
          <cell r="P5382">
            <v>0</v>
          </cell>
        </row>
        <row r="5383">
          <cell r="K5383">
            <v>0</v>
          </cell>
          <cell r="M5383">
            <v>0</v>
          </cell>
          <cell r="P5383">
            <v>0</v>
          </cell>
        </row>
        <row r="5384">
          <cell r="K5384">
            <v>0</v>
          </cell>
          <cell r="M5384">
            <v>0</v>
          </cell>
          <cell r="P5384">
            <v>0</v>
          </cell>
        </row>
        <row r="5385">
          <cell r="K5385">
            <v>0</v>
          </cell>
          <cell r="M5385">
            <v>0</v>
          </cell>
          <cell r="P5385">
            <v>0</v>
          </cell>
        </row>
        <row r="5386">
          <cell r="K5386">
            <v>0</v>
          </cell>
          <cell r="M5386">
            <v>0</v>
          </cell>
          <cell r="P5386">
            <v>0</v>
          </cell>
        </row>
        <row r="5387">
          <cell r="K5387">
            <v>0</v>
          </cell>
          <cell r="M5387">
            <v>0</v>
          </cell>
          <cell r="P5387">
            <v>0</v>
          </cell>
        </row>
        <row r="5388">
          <cell r="K5388">
            <v>0</v>
          </cell>
          <cell r="M5388">
            <v>0</v>
          </cell>
          <cell r="P5388">
            <v>0</v>
          </cell>
        </row>
        <row r="5389">
          <cell r="K5389">
            <v>0</v>
          </cell>
          <cell r="M5389">
            <v>0</v>
          </cell>
          <cell r="P5389">
            <v>0</v>
          </cell>
        </row>
        <row r="5390">
          <cell r="K5390">
            <v>0</v>
          </cell>
          <cell r="M5390">
            <v>0</v>
          </cell>
          <cell r="P5390">
            <v>0</v>
          </cell>
        </row>
        <row r="5391">
          <cell r="K5391">
            <v>0</v>
          </cell>
          <cell r="M5391">
            <v>0</v>
          </cell>
          <cell r="P5391">
            <v>0</v>
          </cell>
        </row>
        <row r="5392">
          <cell r="K5392">
            <v>0</v>
          </cell>
          <cell r="M5392">
            <v>0</v>
          </cell>
          <cell r="P5392">
            <v>0</v>
          </cell>
        </row>
        <row r="5393">
          <cell r="K5393">
            <v>0</v>
          </cell>
          <cell r="M5393">
            <v>0</v>
          </cell>
          <cell r="P5393">
            <v>0</v>
          </cell>
        </row>
        <row r="5394">
          <cell r="K5394">
            <v>0</v>
          </cell>
          <cell r="M5394">
            <v>0</v>
          </cell>
          <cell r="P5394">
            <v>0</v>
          </cell>
        </row>
        <row r="5395">
          <cell r="K5395">
            <v>0</v>
          </cell>
          <cell r="M5395">
            <v>0</v>
          </cell>
          <cell r="P5395">
            <v>0</v>
          </cell>
        </row>
        <row r="5396">
          <cell r="K5396">
            <v>0</v>
          </cell>
          <cell r="M5396">
            <v>0</v>
          </cell>
          <cell r="P5396">
            <v>0</v>
          </cell>
        </row>
        <row r="5397">
          <cell r="K5397">
            <v>0</v>
          </cell>
          <cell r="M5397">
            <v>0</v>
          </cell>
          <cell r="P5397">
            <v>0</v>
          </cell>
        </row>
        <row r="5398">
          <cell r="K5398">
            <v>0</v>
          </cell>
          <cell r="M5398">
            <v>0</v>
          </cell>
          <cell r="P5398">
            <v>0</v>
          </cell>
        </row>
        <row r="5399">
          <cell r="K5399">
            <v>0</v>
          </cell>
          <cell r="M5399">
            <v>0</v>
          </cell>
          <cell r="P5399">
            <v>0</v>
          </cell>
        </row>
        <row r="5400">
          <cell r="K5400">
            <v>0</v>
          </cell>
          <cell r="M5400">
            <v>0</v>
          </cell>
          <cell r="P5400">
            <v>0</v>
          </cell>
        </row>
        <row r="5401">
          <cell r="K5401">
            <v>0</v>
          </cell>
          <cell r="M5401">
            <v>0</v>
          </cell>
          <cell r="P5401">
            <v>0</v>
          </cell>
        </row>
        <row r="5402">
          <cell r="K5402">
            <v>0</v>
          </cell>
          <cell r="M5402">
            <v>0</v>
          </cell>
          <cell r="P5402">
            <v>0</v>
          </cell>
        </row>
        <row r="5403">
          <cell r="K5403">
            <v>0</v>
          </cell>
          <cell r="M5403">
            <v>0</v>
          </cell>
          <cell r="P5403">
            <v>0</v>
          </cell>
        </row>
        <row r="5404">
          <cell r="K5404">
            <v>0</v>
          </cell>
          <cell r="M5404">
            <v>0</v>
          </cell>
          <cell r="P5404">
            <v>0</v>
          </cell>
        </row>
        <row r="5405">
          <cell r="K5405">
            <v>0</v>
          </cell>
          <cell r="M5405">
            <v>0</v>
          </cell>
          <cell r="P5405">
            <v>0</v>
          </cell>
        </row>
        <row r="5406">
          <cell r="K5406">
            <v>0</v>
          </cell>
          <cell r="M5406">
            <v>0</v>
          </cell>
          <cell r="P5406">
            <v>0</v>
          </cell>
        </row>
        <row r="5407">
          <cell r="K5407">
            <v>0</v>
          </cell>
          <cell r="M5407">
            <v>0</v>
          </cell>
          <cell r="P5407">
            <v>0</v>
          </cell>
        </row>
        <row r="5408">
          <cell r="K5408">
            <v>0</v>
          </cell>
          <cell r="M5408">
            <v>0</v>
          </cell>
          <cell r="P5408">
            <v>0</v>
          </cell>
        </row>
        <row r="5409">
          <cell r="K5409">
            <v>0</v>
          </cell>
          <cell r="M5409">
            <v>0</v>
          </cell>
          <cell r="P5409">
            <v>0</v>
          </cell>
        </row>
        <row r="5410">
          <cell r="K5410">
            <v>0</v>
          </cell>
          <cell r="M5410">
            <v>0</v>
          </cell>
          <cell r="P5410">
            <v>0</v>
          </cell>
        </row>
        <row r="5411">
          <cell r="K5411">
            <v>0</v>
          </cell>
          <cell r="M5411">
            <v>0</v>
          </cell>
          <cell r="P5411">
            <v>0</v>
          </cell>
        </row>
        <row r="5412">
          <cell r="K5412">
            <v>0</v>
          </cell>
          <cell r="M5412">
            <v>0</v>
          </cell>
          <cell r="P5412">
            <v>0</v>
          </cell>
        </row>
        <row r="5413">
          <cell r="K5413">
            <v>0</v>
          </cell>
          <cell r="M5413">
            <v>0</v>
          </cell>
          <cell r="P5413">
            <v>0</v>
          </cell>
        </row>
        <row r="5414">
          <cell r="K5414">
            <v>0</v>
          </cell>
          <cell r="M5414">
            <v>0</v>
          </cell>
          <cell r="P5414">
            <v>0</v>
          </cell>
        </row>
        <row r="5415">
          <cell r="K5415">
            <v>0</v>
          </cell>
          <cell r="M5415">
            <v>0</v>
          </cell>
          <cell r="P5415">
            <v>0</v>
          </cell>
        </row>
        <row r="5416">
          <cell r="K5416">
            <v>0</v>
          </cell>
          <cell r="M5416">
            <v>0</v>
          </cell>
          <cell r="P5416">
            <v>0</v>
          </cell>
        </row>
        <row r="5417">
          <cell r="K5417">
            <v>0</v>
          </cell>
          <cell r="M5417">
            <v>0</v>
          </cell>
          <cell r="P5417">
            <v>0</v>
          </cell>
        </row>
        <row r="5418">
          <cell r="K5418">
            <v>0</v>
          </cell>
          <cell r="M5418">
            <v>0</v>
          </cell>
          <cell r="P5418">
            <v>0</v>
          </cell>
        </row>
        <row r="5419">
          <cell r="K5419">
            <v>0</v>
          </cell>
          <cell r="M5419">
            <v>0</v>
          </cell>
          <cell r="P5419">
            <v>0</v>
          </cell>
        </row>
        <row r="5420">
          <cell r="K5420">
            <v>0</v>
          </cell>
          <cell r="M5420">
            <v>0</v>
          </cell>
          <cell r="P5420">
            <v>0</v>
          </cell>
        </row>
        <row r="5421">
          <cell r="K5421">
            <v>0</v>
          </cell>
          <cell r="M5421">
            <v>0</v>
          </cell>
          <cell r="P5421">
            <v>0</v>
          </cell>
        </row>
        <row r="5422">
          <cell r="K5422">
            <v>0</v>
          </cell>
          <cell r="M5422">
            <v>0</v>
          </cell>
          <cell r="P5422">
            <v>0</v>
          </cell>
        </row>
        <row r="5423">
          <cell r="K5423">
            <v>0</v>
          </cell>
          <cell r="M5423">
            <v>0</v>
          </cell>
          <cell r="P5423">
            <v>0</v>
          </cell>
        </row>
        <row r="5424">
          <cell r="K5424">
            <v>0</v>
          </cell>
          <cell r="M5424">
            <v>0</v>
          </cell>
          <cell r="P5424">
            <v>0</v>
          </cell>
        </row>
        <row r="5425">
          <cell r="K5425">
            <v>0</v>
          </cell>
          <cell r="M5425">
            <v>0</v>
          </cell>
          <cell r="P5425">
            <v>0</v>
          </cell>
        </row>
        <row r="5426">
          <cell r="K5426">
            <v>0</v>
          </cell>
          <cell r="M5426">
            <v>0</v>
          </cell>
          <cell r="P5426">
            <v>0</v>
          </cell>
        </row>
        <row r="5427">
          <cell r="K5427">
            <v>0</v>
          </cell>
          <cell r="M5427">
            <v>0</v>
          </cell>
          <cell r="P5427">
            <v>0</v>
          </cell>
        </row>
        <row r="5428">
          <cell r="K5428">
            <v>0</v>
          </cell>
          <cell r="M5428">
            <v>0</v>
          </cell>
          <cell r="P5428">
            <v>0</v>
          </cell>
        </row>
        <row r="5429">
          <cell r="K5429">
            <v>0</v>
          </cell>
          <cell r="M5429">
            <v>0</v>
          </cell>
          <cell r="P5429">
            <v>0</v>
          </cell>
        </row>
        <row r="5430">
          <cell r="K5430">
            <v>0</v>
          </cell>
          <cell r="M5430">
            <v>0</v>
          </cell>
          <cell r="P5430">
            <v>0</v>
          </cell>
        </row>
        <row r="5431">
          <cell r="K5431">
            <v>0</v>
          </cell>
          <cell r="M5431">
            <v>0</v>
          </cell>
          <cell r="P5431">
            <v>0</v>
          </cell>
        </row>
        <row r="5432">
          <cell r="K5432">
            <v>0</v>
          </cell>
          <cell r="M5432">
            <v>0</v>
          </cell>
          <cell r="P5432">
            <v>0</v>
          </cell>
        </row>
        <row r="5433">
          <cell r="K5433">
            <v>0</v>
          </cell>
          <cell r="M5433">
            <v>0</v>
          </cell>
          <cell r="P5433">
            <v>0</v>
          </cell>
        </row>
        <row r="5434">
          <cell r="K5434">
            <v>0</v>
          </cell>
          <cell r="M5434">
            <v>0</v>
          </cell>
          <cell r="P5434">
            <v>0</v>
          </cell>
        </row>
        <row r="5435">
          <cell r="K5435">
            <v>0</v>
          </cell>
          <cell r="M5435">
            <v>0</v>
          </cell>
          <cell r="P5435">
            <v>0</v>
          </cell>
        </row>
        <row r="5436">
          <cell r="K5436">
            <v>0</v>
          </cell>
          <cell r="M5436">
            <v>0</v>
          </cell>
          <cell r="P5436">
            <v>0</v>
          </cell>
        </row>
        <row r="5437">
          <cell r="K5437">
            <v>0</v>
          </cell>
          <cell r="M5437">
            <v>0</v>
          </cell>
          <cell r="P5437">
            <v>0</v>
          </cell>
        </row>
        <row r="5438">
          <cell r="K5438">
            <v>0</v>
          </cell>
          <cell r="M5438">
            <v>0</v>
          </cell>
          <cell r="P5438">
            <v>0</v>
          </cell>
        </row>
        <row r="5439">
          <cell r="K5439">
            <v>0</v>
          </cell>
          <cell r="M5439">
            <v>0</v>
          </cell>
          <cell r="P5439">
            <v>0</v>
          </cell>
        </row>
        <row r="5440">
          <cell r="K5440">
            <v>0</v>
          </cell>
          <cell r="M5440">
            <v>0</v>
          </cell>
          <cell r="P5440">
            <v>0</v>
          </cell>
        </row>
        <row r="5441">
          <cell r="K5441">
            <v>0</v>
          </cell>
          <cell r="M5441">
            <v>0</v>
          </cell>
          <cell r="P5441">
            <v>0</v>
          </cell>
        </row>
        <row r="5442">
          <cell r="K5442">
            <v>0</v>
          </cell>
          <cell r="M5442">
            <v>0</v>
          </cell>
          <cell r="P5442">
            <v>0</v>
          </cell>
        </row>
        <row r="5443">
          <cell r="K5443">
            <v>0</v>
          </cell>
          <cell r="M5443">
            <v>0</v>
          </cell>
          <cell r="P5443">
            <v>0</v>
          </cell>
        </row>
        <row r="5444">
          <cell r="K5444">
            <v>0</v>
          </cell>
          <cell r="M5444">
            <v>0</v>
          </cell>
          <cell r="P5444">
            <v>0</v>
          </cell>
        </row>
        <row r="5445">
          <cell r="K5445">
            <v>0</v>
          </cell>
          <cell r="M5445">
            <v>0</v>
          </cell>
          <cell r="P5445">
            <v>0</v>
          </cell>
        </row>
        <row r="5446">
          <cell r="K5446">
            <v>0</v>
          </cell>
          <cell r="M5446">
            <v>0</v>
          </cell>
          <cell r="P5446">
            <v>0</v>
          </cell>
        </row>
        <row r="5447">
          <cell r="K5447">
            <v>0</v>
          </cell>
          <cell r="M5447">
            <v>0</v>
          </cell>
          <cell r="P5447">
            <v>0</v>
          </cell>
        </row>
        <row r="5448">
          <cell r="K5448">
            <v>0</v>
          </cell>
          <cell r="M5448">
            <v>0</v>
          </cell>
          <cell r="P5448">
            <v>0</v>
          </cell>
        </row>
        <row r="5449">
          <cell r="K5449">
            <v>0</v>
          </cell>
          <cell r="M5449">
            <v>0</v>
          </cell>
          <cell r="P5449">
            <v>0</v>
          </cell>
        </row>
        <row r="5450">
          <cell r="K5450">
            <v>0</v>
          </cell>
          <cell r="M5450">
            <v>0</v>
          </cell>
          <cell r="P5450">
            <v>0</v>
          </cell>
        </row>
        <row r="5451">
          <cell r="K5451">
            <v>0</v>
          </cell>
          <cell r="M5451">
            <v>0</v>
          </cell>
          <cell r="P5451">
            <v>0</v>
          </cell>
        </row>
        <row r="5452">
          <cell r="K5452">
            <v>0</v>
          </cell>
          <cell r="M5452">
            <v>0</v>
          </cell>
          <cell r="P5452">
            <v>0</v>
          </cell>
        </row>
        <row r="5453">
          <cell r="K5453">
            <v>0</v>
          </cell>
          <cell r="M5453">
            <v>0</v>
          </cell>
          <cell r="P5453">
            <v>0</v>
          </cell>
        </row>
        <row r="5454">
          <cell r="K5454">
            <v>0</v>
          </cell>
          <cell r="M5454">
            <v>0</v>
          </cell>
          <cell r="P5454">
            <v>0</v>
          </cell>
        </row>
        <row r="5455">
          <cell r="K5455">
            <v>0</v>
          </cell>
          <cell r="M5455">
            <v>0</v>
          </cell>
          <cell r="P5455">
            <v>0</v>
          </cell>
        </row>
        <row r="5456">
          <cell r="K5456">
            <v>0</v>
          </cell>
          <cell r="M5456">
            <v>0</v>
          </cell>
          <cell r="P5456">
            <v>0</v>
          </cell>
        </row>
        <row r="5457">
          <cell r="K5457">
            <v>0</v>
          </cell>
          <cell r="M5457">
            <v>0</v>
          </cell>
          <cell r="P5457">
            <v>0</v>
          </cell>
        </row>
        <row r="5458">
          <cell r="K5458">
            <v>0</v>
          </cell>
          <cell r="M5458">
            <v>0</v>
          </cell>
          <cell r="P5458">
            <v>0</v>
          </cell>
        </row>
        <row r="5459">
          <cell r="K5459">
            <v>0</v>
          </cell>
          <cell r="M5459">
            <v>0</v>
          </cell>
          <cell r="P5459">
            <v>0</v>
          </cell>
        </row>
        <row r="5460">
          <cell r="K5460">
            <v>0</v>
          </cell>
          <cell r="M5460">
            <v>0</v>
          </cell>
          <cell r="P5460">
            <v>0</v>
          </cell>
        </row>
        <row r="5461">
          <cell r="K5461">
            <v>0</v>
          </cell>
          <cell r="M5461">
            <v>0</v>
          </cell>
          <cell r="P5461">
            <v>0</v>
          </cell>
        </row>
        <row r="5462">
          <cell r="K5462">
            <v>0</v>
          </cell>
          <cell r="M5462">
            <v>0</v>
          </cell>
          <cell r="P5462">
            <v>0</v>
          </cell>
        </row>
        <row r="5463">
          <cell r="K5463">
            <v>0</v>
          </cell>
          <cell r="M5463">
            <v>0</v>
          </cell>
          <cell r="P5463">
            <v>0</v>
          </cell>
        </row>
        <row r="5464">
          <cell r="K5464">
            <v>0</v>
          </cell>
          <cell r="M5464">
            <v>0</v>
          </cell>
          <cell r="P5464">
            <v>0</v>
          </cell>
        </row>
        <row r="5465">
          <cell r="K5465">
            <v>0</v>
          </cell>
          <cell r="M5465">
            <v>0</v>
          </cell>
          <cell r="P5465">
            <v>0</v>
          </cell>
        </row>
        <row r="5466">
          <cell r="K5466">
            <v>0</v>
          </cell>
          <cell r="M5466">
            <v>0</v>
          </cell>
          <cell r="P5466">
            <v>0</v>
          </cell>
        </row>
        <row r="5467">
          <cell r="K5467">
            <v>0</v>
          </cell>
          <cell r="M5467">
            <v>0</v>
          </cell>
          <cell r="P5467">
            <v>0</v>
          </cell>
        </row>
        <row r="5468">
          <cell r="K5468">
            <v>0</v>
          </cell>
          <cell r="M5468">
            <v>0</v>
          </cell>
          <cell r="P5468">
            <v>0</v>
          </cell>
        </row>
        <row r="5469">
          <cell r="K5469">
            <v>0</v>
          </cell>
          <cell r="M5469">
            <v>0</v>
          </cell>
          <cell r="P5469">
            <v>0</v>
          </cell>
        </row>
        <row r="5470">
          <cell r="K5470">
            <v>0</v>
          </cell>
          <cell r="M5470">
            <v>0</v>
          </cell>
          <cell r="P5470">
            <v>0</v>
          </cell>
        </row>
        <row r="5471">
          <cell r="K5471">
            <v>0</v>
          </cell>
          <cell r="M5471">
            <v>0</v>
          </cell>
          <cell r="P5471">
            <v>0</v>
          </cell>
        </row>
        <row r="5472">
          <cell r="K5472">
            <v>0</v>
          </cell>
          <cell r="M5472">
            <v>0</v>
          </cell>
          <cell r="P5472">
            <v>0</v>
          </cell>
        </row>
        <row r="5473">
          <cell r="K5473">
            <v>0</v>
          </cell>
          <cell r="M5473">
            <v>0</v>
          </cell>
          <cell r="P5473">
            <v>0</v>
          </cell>
        </row>
        <row r="5474">
          <cell r="K5474">
            <v>0</v>
          </cell>
          <cell r="M5474">
            <v>0</v>
          </cell>
          <cell r="P5474">
            <v>0</v>
          </cell>
        </row>
        <row r="5475">
          <cell r="K5475">
            <v>0</v>
          </cell>
          <cell r="M5475">
            <v>0</v>
          </cell>
          <cell r="P5475">
            <v>0</v>
          </cell>
        </row>
        <row r="5476">
          <cell r="K5476">
            <v>0</v>
          </cell>
          <cell r="M5476">
            <v>0</v>
          </cell>
          <cell r="P5476">
            <v>0</v>
          </cell>
        </row>
        <row r="5477">
          <cell r="K5477">
            <v>0</v>
          </cell>
          <cell r="M5477">
            <v>0</v>
          </cell>
          <cell r="P5477">
            <v>0</v>
          </cell>
        </row>
        <row r="5478">
          <cell r="K5478">
            <v>0</v>
          </cell>
          <cell r="M5478">
            <v>0</v>
          </cell>
          <cell r="P5478">
            <v>0</v>
          </cell>
        </row>
        <row r="5479">
          <cell r="K5479">
            <v>0</v>
          </cell>
          <cell r="M5479">
            <v>0</v>
          </cell>
          <cell r="P5479">
            <v>0</v>
          </cell>
        </row>
        <row r="5480">
          <cell r="K5480">
            <v>0</v>
          </cell>
          <cell r="M5480">
            <v>0</v>
          </cell>
          <cell r="P5480">
            <v>0</v>
          </cell>
        </row>
        <row r="5481">
          <cell r="K5481">
            <v>0</v>
          </cell>
          <cell r="M5481">
            <v>0</v>
          </cell>
          <cell r="P5481">
            <v>0</v>
          </cell>
        </row>
        <row r="5482">
          <cell r="K5482">
            <v>0</v>
          </cell>
          <cell r="M5482">
            <v>0</v>
          </cell>
          <cell r="P5482">
            <v>0</v>
          </cell>
        </row>
        <row r="5483">
          <cell r="K5483">
            <v>0</v>
          </cell>
          <cell r="M5483">
            <v>0</v>
          </cell>
          <cell r="P5483">
            <v>0</v>
          </cell>
        </row>
        <row r="5484">
          <cell r="K5484">
            <v>0</v>
          </cell>
          <cell r="M5484">
            <v>0</v>
          </cell>
          <cell r="P5484">
            <v>0</v>
          </cell>
        </row>
        <row r="5485">
          <cell r="K5485">
            <v>0</v>
          </cell>
          <cell r="M5485">
            <v>0</v>
          </cell>
          <cell r="P5485">
            <v>0</v>
          </cell>
        </row>
        <row r="5486">
          <cell r="K5486">
            <v>0</v>
          </cell>
          <cell r="M5486">
            <v>0</v>
          </cell>
          <cell r="P5486">
            <v>0</v>
          </cell>
        </row>
        <row r="5487">
          <cell r="K5487">
            <v>0</v>
          </cell>
          <cell r="M5487">
            <v>0</v>
          </cell>
          <cell r="P5487">
            <v>0</v>
          </cell>
        </row>
        <row r="5488">
          <cell r="K5488">
            <v>0</v>
          </cell>
          <cell r="M5488">
            <v>0</v>
          </cell>
          <cell r="P5488">
            <v>0</v>
          </cell>
        </row>
        <row r="5489">
          <cell r="K5489">
            <v>0</v>
          </cell>
          <cell r="M5489">
            <v>0</v>
          </cell>
          <cell r="P5489">
            <v>0</v>
          </cell>
        </row>
        <row r="5490">
          <cell r="K5490">
            <v>0</v>
          </cell>
          <cell r="M5490">
            <v>0</v>
          </cell>
          <cell r="P5490">
            <v>0</v>
          </cell>
        </row>
        <row r="5491">
          <cell r="K5491">
            <v>0</v>
          </cell>
          <cell r="M5491">
            <v>0</v>
          </cell>
          <cell r="P5491">
            <v>0</v>
          </cell>
        </row>
        <row r="5492">
          <cell r="K5492">
            <v>0</v>
          </cell>
          <cell r="M5492">
            <v>0</v>
          </cell>
          <cell r="P5492">
            <v>0</v>
          </cell>
        </row>
        <row r="5493">
          <cell r="K5493">
            <v>0</v>
          </cell>
          <cell r="M5493">
            <v>0</v>
          </cell>
          <cell r="P5493">
            <v>0</v>
          </cell>
        </row>
        <row r="5494">
          <cell r="K5494">
            <v>0</v>
          </cell>
          <cell r="M5494">
            <v>0</v>
          </cell>
          <cell r="P5494">
            <v>0</v>
          </cell>
        </row>
        <row r="5495">
          <cell r="K5495">
            <v>0</v>
          </cell>
          <cell r="M5495">
            <v>0</v>
          </cell>
          <cell r="P5495">
            <v>0</v>
          </cell>
        </row>
        <row r="5496">
          <cell r="K5496">
            <v>0</v>
          </cell>
          <cell r="M5496">
            <v>0</v>
          </cell>
          <cell r="P5496">
            <v>0</v>
          </cell>
        </row>
        <row r="5497">
          <cell r="K5497">
            <v>0</v>
          </cell>
          <cell r="M5497">
            <v>0</v>
          </cell>
          <cell r="P5497">
            <v>0</v>
          </cell>
        </row>
        <row r="5498">
          <cell r="K5498">
            <v>0</v>
          </cell>
          <cell r="M5498">
            <v>0</v>
          </cell>
          <cell r="P5498">
            <v>0</v>
          </cell>
        </row>
        <row r="5499">
          <cell r="K5499">
            <v>0</v>
          </cell>
          <cell r="M5499">
            <v>0</v>
          </cell>
          <cell r="P5499">
            <v>0</v>
          </cell>
        </row>
        <row r="5500">
          <cell r="K5500">
            <v>0</v>
          </cell>
          <cell r="M5500">
            <v>0</v>
          </cell>
          <cell r="P5500">
            <v>0</v>
          </cell>
        </row>
        <row r="5501">
          <cell r="K5501">
            <v>0</v>
          </cell>
          <cell r="M5501">
            <v>0</v>
          </cell>
          <cell r="P5501">
            <v>0</v>
          </cell>
        </row>
        <row r="5502">
          <cell r="K5502">
            <v>0</v>
          </cell>
          <cell r="M5502">
            <v>0</v>
          </cell>
          <cell r="P5502">
            <v>0</v>
          </cell>
        </row>
        <row r="5503">
          <cell r="K5503">
            <v>0</v>
          </cell>
          <cell r="M5503">
            <v>0</v>
          </cell>
          <cell r="P5503">
            <v>0</v>
          </cell>
        </row>
        <row r="5504">
          <cell r="K5504">
            <v>0</v>
          </cell>
          <cell r="M5504">
            <v>0</v>
          </cell>
          <cell r="P5504">
            <v>0</v>
          </cell>
        </row>
        <row r="5505">
          <cell r="K5505">
            <v>0</v>
          </cell>
          <cell r="M5505">
            <v>0</v>
          </cell>
          <cell r="P5505">
            <v>0</v>
          </cell>
        </row>
        <row r="5506">
          <cell r="K5506">
            <v>0</v>
          </cell>
          <cell r="M5506">
            <v>0</v>
          </cell>
          <cell r="P5506">
            <v>0</v>
          </cell>
        </row>
        <row r="5507">
          <cell r="K5507">
            <v>0</v>
          </cell>
          <cell r="M5507">
            <v>0</v>
          </cell>
          <cell r="P5507">
            <v>0</v>
          </cell>
        </row>
        <row r="5508">
          <cell r="K5508">
            <v>0</v>
          </cell>
          <cell r="M5508">
            <v>0</v>
          </cell>
          <cell r="P5508">
            <v>0</v>
          </cell>
        </row>
        <row r="5509">
          <cell r="K5509">
            <v>0</v>
          </cell>
          <cell r="M5509">
            <v>0</v>
          </cell>
          <cell r="P5509">
            <v>0</v>
          </cell>
        </row>
        <row r="5510">
          <cell r="K5510">
            <v>0</v>
          </cell>
          <cell r="M5510">
            <v>0</v>
          </cell>
          <cell r="P5510">
            <v>0</v>
          </cell>
        </row>
        <row r="5511">
          <cell r="K5511">
            <v>0</v>
          </cell>
          <cell r="M5511">
            <v>0</v>
          </cell>
          <cell r="P5511">
            <v>0</v>
          </cell>
        </row>
        <row r="5512">
          <cell r="K5512">
            <v>0</v>
          </cell>
          <cell r="M5512">
            <v>0</v>
          </cell>
          <cell r="P5512">
            <v>0</v>
          </cell>
        </row>
        <row r="5513">
          <cell r="K5513">
            <v>0</v>
          </cell>
          <cell r="M5513">
            <v>0</v>
          </cell>
          <cell r="P5513">
            <v>0</v>
          </cell>
        </row>
        <row r="5514">
          <cell r="K5514">
            <v>0</v>
          </cell>
          <cell r="M5514">
            <v>0</v>
          </cell>
          <cell r="P5514">
            <v>0</v>
          </cell>
        </row>
        <row r="5515">
          <cell r="K5515">
            <v>0</v>
          </cell>
          <cell r="M5515">
            <v>0</v>
          </cell>
          <cell r="P5515">
            <v>0</v>
          </cell>
        </row>
        <row r="5516">
          <cell r="K5516">
            <v>0</v>
          </cell>
          <cell r="M5516">
            <v>0</v>
          </cell>
          <cell r="P5516">
            <v>0</v>
          </cell>
        </row>
        <row r="5517">
          <cell r="K5517">
            <v>0</v>
          </cell>
          <cell r="M5517">
            <v>0</v>
          </cell>
          <cell r="P5517">
            <v>0</v>
          </cell>
        </row>
        <row r="5518">
          <cell r="K5518">
            <v>0</v>
          </cell>
          <cell r="M5518">
            <v>0</v>
          </cell>
          <cell r="P5518">
            <v>0</v>
          </cell>
        </row>
        <row r="5519">
          <cell r="K5519">
            <v>0</v>
          </cell>
          <cell r="M5519">
            <v>0</v>
          </cell>
          <cell r="P5519">
            <v>0</v>
          </cell>
        </row>
        <row r="5520">
          <cell r="K5520">
            <v>0</v>
          </cell>
          <cell r="M5520">
            <v>0</v>
          </cell>
          <cell r="P5520">
            <v>0</v>
          </cell>
        </row>
        <row r="5521">
          <cell r="K5521">
            <v>0</v>
          </cell>
          <cell r="M5521">
            <v>0</v>
          </cell>
          <cell r="P5521">
            <v>0</v>
          </cell>
        </row>
        <row r="5522">
          <cell r="K5522">
            <v>0</v>
          </cell>
          <cell r="M5522">
            <v>0</v>
          </cell>
          <cell r="P5522">
            <v>0</v>
          </cell>
        </row>
        <row r="5523">
          <cell r="K5523">
            <v>0</v>
          </cell>
          <cell r="M5523">
            <v>0</v>
          </cell>
          <cell r="P5523">
            <v>0</v>
          </cell>
        </row>
        <row r="5524">
          <cell r="K5524">
            <v>0</v>
          </cell>
          <cell r="M5524">
            <v>0</v>
          </cell>
          <cell r="P5524">
            <v>0</v>
          </cell>
        </row>
        <row r="5525">
          <cell r="K5525">
            <v>0</v>
          </cell>
          <cell r="M5525">
            <v>0</v>
          </cell>
          <cell r="P5525">
            <v>0</v>
          </cell>
        </row>
        <row r="5526">
          <cell r="K5526">
            <v>0</v>
          </cell>
          <cell r="M5526">
            <v>0</v>
          </cell>
          <cell r="P5526">
            <v>0</v>
          </cell>
        </row>
        <row r="5527">
          <cell r="K5527">
            <v>0</v>
          </cell>
          <cell r="M5527">
            <v>0</v>
          </cell>
          <cell r="P5527">
            <v>0</v>
          </cell>
        </row>
        <row r="5528">
          <cell r="K5528">
            <v>0</v>
          </cell>
          <cell r="M5528">
            <v>0</v>
          </cell>
          <cell r="P5528">
            <v>0</v>
          </cell>
        </row>
        <row r="5529">
          <cell r="K5529">
            <v>0</v>
          </cell>
          <cell r="M5529">
            <v>0</v>
          </cell>
          <cell r="P5529">
            <v>0</v>
          </cell>
        </row>
        <row r="5530">
          <cell r="K5530">
            <v>0</v>
          </cell>
          <cell r="M5530">
            <v>0</v>
          </cell>
          <cell r="P5530">
            <v>0</v>
          </cell>
        </row>
        <row r="5531">
          <cell r="K5531">
            <v>0</v>
          </cell>
          <cell r="M5531">
            <v>0</v>
          </cell>
          <cell r="P5531">
            <v>0</v>
          </cell>
        </row>
        <row r="5532">
          <cell r="K5532">
            <v>0</v>
          </cell>
          <cell r="M5532">
            <v>0</v>
          </cell>
          <cell r="P5532">
            <v>0</v>
          </cell>
        </row>
        <row r="5533">
          <cell r="K5533">
            <v>0</v>
          </cell>
          <cell r="M5533">
            <v>0</v>
          </cell>
          <cell r="P5533">
            <v>0</v>
          </cell>
        </row>
        <row r="5534">
          <cell r="K5534">
            <v>0</v>
          </cell>
          <cell r="M5534">
            <v>0</v>
          </cell>
          <cell r="P5534">
            <v>0</v>
          </cell>
        </row>
        <row r="5535">
          <cell r="K5535">
            <v>0</v>
          </cell>
          <cell r="M5535">
            <v>0</v>
          </cell>
          <cell r="P5535">
            <v>0</v>
          </cell>
        </row>
        <row r="5536">
          <cell r="K5536">
            <v>0</v>
          </cell>
          <cell r="M5536">
            <v>0</v>
          </cell>
          <cell r="P5536">
            <v>0</v>
          </cell>
        </row>
        <row r="5537">
          <cell r="K5537">
            <v>0</v>
          </cell>
          <cell r="M5537">
            <v>0</v>
          </cell>
          <cell r="P5537">
            <v>0</v>
          </cell>
        </row>
        <row r="5538">
          <cell r="K5538">
            <v>0</v>
          </cell>
          <cell r="M5538">
            <v>0</v>
          </cell>
          <cell r="P5538">
            <v>0</v>
          </cell>
        </row>
        <row r="5539">
          <cell r="K5539">
            <v>0</v>
          </cell>
          <cell r="M5539">
            <v>0</v>
          </cell>
          <cell r="P5539">
            <v>0</v>
          </cell>
        </row>
        <row r="5540">
          <cell r="K5540">
            <v>0</v>
          </cell>
          <cell r="M5540">
            <v>0</v>
          </cell>
          <cell r="P5540">
            <v>0</v>
          </cell>
        </row>
        <row r="5541">
          <cell r="K5541">
            <v>0</v>
          </cell>
          <cell r="M5541">
            <v>0</v>
          </cell>
          <cell r="P5541">
            <v>0</v>
          </cell>
        </row>
        <row r="5542">
          <cell r="K5542">
            <v>0</v>
          </cell>
          <cell r="M5542">
            <v>0</v>
          </cell>
          <cell r="P5542">
            <v>0</v>
          </cell>
        </row>
        <row r="5543">
          <cell r="K5543">
            <v>0</v>
          </cell>
          <cell r="M5543">
            <v>0</v>
          </cell>
          <cell r="P5543">
            <v>0</v>
          </cell>
        </row>
        <row r="5544">
          <cell r="K5544">
            <v>0</v>
          </cell>
          <cell r="M5544">
            <v>0</v>
          </cell>
          <cell r="P5544">
            <v>0</v>
          </cell>
        </row>
        <row r="5545">
          <cell r="K5545">
            <v>0</v>
          </cell>
          <cell r="M5545">
            <v>0</v>
          </cell>
          <cell r="P5545">
            <v>0</v>
          </cell>
        </row>
        <row r="5546">
          <cell r="K5546">
            <v>0</v>
          </cell>
          <cell r="M5546">
            <v>0</v>
          </cell>
          <cell r="P5546">
            <v>0</v>
          </cell>
        </row>
        <row r="5547">
          <cell r="K5547">
            <v>0</v>
          </cell>
          <cell r="M5547">
            <v>0</v>
          </cell>
          <cell r="P5547">
            <v>0</v>
          </cell>
        </row>
        <row r="5548">
          <cell r="K5548">
            <v>0</v>
          </cell>
          <cell r="M5548">
            <v>0</v>
          </cell>
          <cell r="P5548">
            <v>0</v>
          </cell>
        </row>
        <row r="5549">
          <cell r="K5549">
            <v>0</v>
          </cell>
          <cell r="M5549">
            <v>0</v>
          </cell>
          <cell r="P5549">
            <v>0</v>
          </cell>
        </row>
        <row r="5550">
          <cell r="K5550">
            <v>0</v>
          </cell>
          <cell r="M5550">
            <v>0</v>
          </cell>
          <cell r="P5550">
            <v>0</v>
          </cell>
        </row>
        <row r="5551">
          <cell r="K5551">
            <v>0</v>
          </cell>
          <cell r="M5551">
            <v>0</v>
          </cell>
          <cell r="P5551">
            <v>0</v>
          </cell>
        </row>
        <row r="5552">
          <cell r="K5552">
            <v>0</v>
          </cell>
          <cell r="M5552">
            <v>0</v>
          </cell>
          <cell r="P5552">
            <v>0</v>
          </cell>
        </row>
        <row r="5553">
          <cell r="K5553">
            <v>0</v>
          </cell>
          <cell r="M5553">
            <v>0</v>
          </cell>
          <cell r="P5553">
            <v>0</v>
          </cell>
        </row>
        <row r="5554">
          <cell r="K5554">
            <v>0</v>
          </cell>
          <cell r="M5554">
            <v>0</v>
          </cell>
          <cell r="P5554">
            <v>0</v>
          </cell>
        </row>
        <row r="5555">
          <cell r="K5555">
            <v>0</v>
          </cell>
          <cell r="M5555">
            <v>0</v>
          </cell>
          <cell r="P5555">
            <v>0</v>
          </cell>
        </row>
        <row r="5556">
          <cell r="K5556">
            <v>0</v>
          </cell>
          <cell r="M5556">
            <v>0</v>
          </cell>
          <cell r="P5556">
            <v>0</v>
          </cell>
        </row>
        <row r="5557">
          <cell r="K5557">
            <v>0</v>
          </cell>
          <cell r="M5557">
            <v>0</v>
          </cell>
          <cell r="P5557">
            <v>0</v>
          </cell>
        </row>
        <row r="5558">
          <cell r="K5558">
            <v>0</v>
          </cell>
          <cell r="M5558">
            <v>0</v>
          </cell>
          <cell r="P5558">
            <v>0</v>
          </cell>
        </row>
        <row r="5559">
          <cell r="K5559">
            <v>0</v>
          </cell>
          <cell r="M5559">
            <v>0</v>
          </cell>
          <cell r="P5559">
            <v>0</v>
          </cell>
        </row>
        <row r="5560">
          <cell r="K5560">
            <v>0</v>
          </cell>
          <cell r="M5560">
            <v>0</v>
          </cell>
          <cell r="P5560">
            <v>0</v>
          </cell>
        </row>
        <row r="5561">
          <cell r="K5561">
            <v>0</v>
          </cell>
          <cell r="M5561">
            <v>0</v>
          </cell>
          <cell r="P5561">
            <v>0</v>
          </cell>
        </row>
        <row r="5562">
          <cell r="K5562">
            <v>0</v>
          </cell>
          <cell r="M5562">
            <v>0</v>
          </cell>
          <cell r="P5562">
            <v>0</v>
          </cell>
        </row>
        <row r="5563">
          <cell r="K5563">
            <v>0</v>
          </cell>
          <cell r="M5563">
            <v>0</v>
          </cell>
          <cell r="P5563">
            <v>0</v>
          </cell>
        </row>
        <row r="5564">
          <cell r="K5564">
            <v>0</v>
          </cell>
          <cell r="M5564">
            <v>0</v>
          </cell>
          <cell r="P5564">
            <v>0</v>
          </cell>
        </row>
        <row r="5565">
          <cell r="K5565">
            <v>0</v>
          </cell>
          <cell r="M5565">
            <v>0</v>
          </cell>
          <cell r="P5565">
            <v>0</v>
          </cell>
        </row>
        <row r="5566">
          <cell r="K5566">
            <v>0</v>
          </cell>
          <cell r="M5566">
            <v>0</v>
          </cell>
          <cell r="P5566">
            <v>0</v>
          </cell>
        </row>
        <row r="5567">
          <cell r="K5567">
            <v>0</v>
          </cell>
          <cell r="M5567">
            <v>0</v>
          </cell>
          <cell r="P5567">
            <v>0</v>
          </cell>
        </row>
        <row r="5568">
          <cell r="K5568">
            <v>0</v>
          </cell>
          <cell r="M5568">
            <v>0</v>
          </cell>
          <cell r="P5568">
            <v>0</v>
          </cell>
        </row>
        <row r="5569">
          <cell r="K5569">
            <v>0</v>
          </cell>
          <cell r="M5569">
            <v>0</v>
          </cell>
          <cell r="P5569">
            <v>0</v>
          </cell>
        </row>
        <row r="5570">
          <cell r="K5570">
            <v>0</v>
          </cell>
          <cell r="M5570">
            <v>0</v>
          </cell>
          <cell r="P5570">
            <v>0</v>
          </cell>
        </row>
        <row r="5571">
          <cell r="K5571">
            <v>0</v>
          </cell>
          <cell r="M5571">
            <v>0</v>
          </cell>
          <cell r="P5571">
            <v>0</v>
          </cell>
        </row>
        <row r="5572">
          <cell r="K5572">
            <v>0</v>
          </cell>
          <cell r="M5572">
            <v>0</v>
          </cell>
          <cell r="P5572">
            <v>0</v>
          </cell>
        </row>
        <row r="5573">
          <cell r="K5573">
            <v>0</v>
          </cell>
          <cell r="M5573">
            <v>0</v>
          </cell>
          <cell r="P5573">
            <v>0</v>
          </cell>
        </row>
        <row r="5574">
          <cell r="K5574">
            <v>0</v>
          </cell>
          <cell r="M5574">
            <v>0</v>
          </cell>
          <cell r="P5574">
            <v>0</v>
          </cell>
        </row>
        <row r="5575">
          <cell r="K5575">
            <v>0</v>
          </cell>
          <cell r="M5575">
            <v>0</v>
          </cell>
          <cell r="P5575">
            <v>0</v>
          </cell>
        </row>
        <row r="5576">
          <cell r="K5576">
            <v>0</v>
          </cell>
          <cell r="M5576">
            <v>0</v>
          </cell>
          <cell r="P5576">
            <v>0</v>
          </cell>
        </row>
        <row r="5577">
          <cell r="K5577">
            <v>0</v>
          </cell>
          <cell r="M5577">
            <v>0</v>
          </cell>
          <cell r="P5577">
            <v>0</v>
          </cell>
        </row>
        <row r="5578">
          <cell r="K5578">
            <v>0</v>
          </cell>
          <cell r="M5578">
            <v>0</v>
          </cell>
          <cell r="P5578">
            <v>0</v>
          </cell>
        </row>
        <row r="5579">
          <cell r="K5579">
            <v>0</v>
          </cell>
          <cell r="M5579">
            <v>0</v>
          </cell>
          <cell r="P5579">
            <v>0</v>
          </cell>
        </row>
        <row r="5580">
          <cell r="K5580">
            <v>0</v>
          </cell>
          <cell r="M5580">
            <v>0</v>
          </cell>
          <cell r="P5580">
            <v>0</v>
          </cell>
        </row>
        <row r="5581">
          <cell r="K5581">
            <v>0</v>
          </cell>
          <cell r="M5581">
            <v>0</v>
          </cell>
          <cell r="P5581">
            <v>0</v>
          </cell>
        </row>
        <row r="5582">
          <cell r="K5582">
            <v>0</v>
          </cell>
          <cell r="M5582">
            <v>0</v>
          </cell>
          <cell r="P5582">
            <v>0</v>
          </cell>
        </row>
        <row r="5583">
          <cell r="K5583">
            <v>0</v>
          </cell>
          <cell r="M5583">
            <v>0</v>
          </cell>
          <cell r="P5583">
            <v>0</v>
          </cell>
        </row>
        <row r="5584">
          <cell r="K5584">
            <v>0</v>
          </cell>
          <cell r="M5584">
            <v>0</v>
          </cell>
          <cell r="P5584">
            <v>0</v>
          </cell>
        </row>
        <row r="5585">
          <cell r="K5585">
            <v>0</v>
          </cell>
          <cell r="M5585">
            <v>0</v>
          </cell>
          <cell r="P5585">
            <v>0</v>
          </cell>
        </row>
        <row r="5586">
          <cell r="K5586">
            <v>0</v>
          </cell>
          <cell r="M5586">
            <v>0</v>
          </cell>
          <cell r="P5586">
            <v>0</v>
          </cell>
        </row>
        <row r="5587">
          <cell r="K5587">
            <v>0</v>
          </cell>
          <cell r="M5587">
            <v>0</v>
          </cell>
          <cell r="P5587">
            <v>0</v>
          </cell>
        </row>
        <row r="5588">
          <cell r="K5588">
            <v>0</v>
          </cell>
          <cell r="M5588">
            <v>0</v>
          </cell>
          <cell r="P5588">
            <v>0</v>
          </cell>
        </row>
        <row r="5589">
          <cell r="K5589">
            <v>0</v>
          </cell>
          <cell r="M5589">
            <v>0</v>
          </cell>
          <cell r="P5589">
            <v>0</v>
          </cell>
        </row>
        <row r="5590">
          <cell r="K5590">
            <v>0</v>
          </cell>
          <cell r="M5590">
            <v>0</v>
          </cell>
          <cell r="P5590">
            <v>0</v>
          </cell>
        </row>
        <row r="5591">
          <cell r="K5591">
            <v>0</v>
          </cell>
          <cell r="M5591">
            <v>0</v>
          </cell>
          <cell r="P5591">
            <v>0</v>
          </cell>
        </row>
        <row r="5592">
          <cell r="K5592">
            <v>0</v>
          </cell>
          <cell r="M5592">
            <v>0</v>
          </cell>
          <cell r="P5592">
            <v>0</v>
          </cell>
        </row>
        <row r="5593">
          <cell r="K5593">
            <v>0</v>
          </cell>
          <cell r="M5593">
            <v>0</v>
          </cell>
          <cell r="P5593">
            <v>0</v>
          </cell>
        </row>
        <row r="5594">
          <cell r="K5594">
            <v>0</v>
          </cell>
          <cell r="M5594">
            <v>0</v>
          </cell>
          <cell r="P5594">
            <v>0</v>
          </cell>
        </row>
        <row r="5595">
          <cell r="K5595">
            <v>0</v>
          </cell>
          <cell r="M5595">
            <v>0</v>
          </cell>
          <cell r="P5595">
            <v>0</v>
          </cell>
        </row>
        <row r="5596">
          <cell r="K5596">
            <v>0</v>
          </cell>
          <cell r="M5596">
            <v>0</v>
          </cell>
          <cell r="P5596">
            <v>0</v>
          </cell>
        </row>
        <row r="5597">
          <cell r="K5597">
            <v>0</v>
          </cell>
          <cell r="M5597">
            <v>0</v>
          </cell>
          <cell r="P5597">
            <v>0</v>
          </cell>
        </row>
        <row r="5598">
          <cell r="K5598">
            <v>0</v>
          </cell>
          <cell r="M5598">
            <v>0</v>
          </cell>
          <cell r="P5598">
            <v>0</v>
          </cell>
        </row>
        <row r="5599">
          <cell r="K5599">
            <v>0</v>
          </cell>
          <cell r="M5599">
            <v>0</v>
          </cell>
          <cell r="P5599">
            <v>0</v>
          </cell>
        </row>
        <row r="5600">
          <cell r="K5600">
            <v>0</v>
          </cell>
          <cell r="M5600">
            <v>0</v>
          </cell>
          <cell r="P5600">
            <v>0</v>
          </cell>
        </row>
        <row r="5601">
          <cell r="K5601">
            <v>0</v>
          </cell>
          <cell r="M5601">
            <v>0</v>
          </cell>
          <cell r="P5601">
            <v>0</v>
          </cell>
        </row>
        <row r="5602">
          <cell r="K5602">
            <v>0</v>
          </cell>
          <cell r="M5602">
            <v>0</v>
          </cell>
          <cell r="P5602">
            <v>0</v>
          </cell>
        </row>
        <row r="5603">
          <cell r="K5603">
            <v>0</v>
          </cell>
          <cell r="M5603">
            <v>0</v>
          </cell>
          <cell r="P5603">
            <v>0</v>
          </cell>
        </row>
        <row r="5604">
          <cell r="K5604">
            <v>0</v>
          </cell>
          <cell r="M5604">
            <v>0</v>
          </cell>
          <cell r="P5604">
            <v>0</v>
          </cell>
        </row>
        <row r="5605">
          <cell r="K5605">
            <v>0</v>
          </cell>
          <cell r="M5605">
            <v>0</v>
          </cell>
          <cell r="P5605">
            <v>0</v>
          </cell>
        </row>
        <row r="5606">
          <cell r="K5606">
            <v>0</v>
          </cell>
          <cell r="M5606">
            <v>0</v>
          </cell>
          <cell r="P5606">
            <v>0</v>
          </cell>
        </row>
        <row r="5607">
          <cell r="K5607">
            <v>0</v>
          </cell>
          <cell r="M5607">
            <v>0</v>
          </cell>
          <cell r="P5607">
            <v>0</v>
          </cell>
        </row>
        <row r="5608">
          <cell r="K5608">
            <v>0</v>
          </cell>
          <cell r="M5608">
            <v>0</v>
          </cell>
          <cell r="P5608">
            <v>0</v>
          </cell>
        </row>
        <row r="5609">
          <cell r="K5609">
            <v>0</v>
          </cell>
          <cell r="M5609">
            <v>0</v>
          </cell>
          <cell r="P5609">
            <v>0</v>
          </cell>
        </row>
        <row r="5610">
          <cell r="K5610">
            <v>0</v>
          </cell>
          <cell r="M5610">
            <v>0</v>
          </cell>
          <cell r="P5610">
            <v>0</v>
          </cell>
        </row>
        <row r="5611">
          <cell r="K5611">
            <v>0</v>
          </cell>
          <cell r="M5611">
            <v>0</v>
          </cell>
          <cell r="P5611">
            <v>0</v>
          </cell>
        </row>
        <row r="5612">
          <cell r="K5612">
            <v>0</v>
          </cell>
          <cell r="M5612">
            <v>0</v>
          </cell>
          <cell r="P5612">
            <v>0</v>
          </cell>
        </row>
        <row r="5613">
          <cell r="K5613">
            <v>0</v>
          </cell>
          <cell r="M5613">
            <v>0</v>
          </cell>
          <cell r="P5613">
            <v>0</v>
          </cell>
        </row>
        <row r="5614">
          <cell r="K5614">
            <v>0</v>
          </cell>
          <cell r="M5614">
            <v>0</v>
          </cell>
          <cell r="P5614">
            <v>0</v>
          </cell>
        </row>
        <row r="5615">
          <cell r="K5615">
            <v>0</v>
          </cell>
          <cell r="M5615">
            <v>0</v>
          </cell>
          <cell r="P5615">
            <v>0</v>
          </cell>
        </row>
        <row r="5616">
          <cell r="K5616">
            <v>0</v>
          </cell>
          <cell r="M5616">
            <v>0</v>
          </cell>
          <cell r="P5616">
            <v>0</v>
          </cell>
        </row>
        <row r="5617">
          <cell r="K5617">
            <v>0</v>
          </cell>
          <cell r="M5617">
            <v>0</v>
          </cell>
          <cell r="P5617">
            <v>0</v>
          </cell>
        </row>
        <row r="5618">
          <cell r="K5618">
            <v>0</v>
          </cell>
          <cell r="M5618">
            <v>0</v>
          </cell>
          <cell r="P5618">
            <v>0</v>
          </cell>
        </row>
        <row r="5619">
          <cell r="K5619">
            <v>0</v>
          </cell>
          <cell r="M5619">
            <v>0</v>
          </cell>
          <cell r="P5619">
            <v>0</v>
          </cell>
        </row>
        <row r="5620">
          <cell r="K5620">
            <v>0</v>
          </cell>
          <cell r="M5620">
            <v>0</v>
          </cell>
          <cell r="P5620">
            <v>0</v>
          </cell>
        </row>
        <row r="5621">
          <cell r="K5621">
            <v>0</v>
          </cell>
          <cell r="M5621">
            <v>0</v>
          </cell>
          <cell r="P5621">
            <v>0</v>
          </cell>
        </row>
        <row r="5622">
          <cell r="K5622">
            <v>0</v>
          </cell>
          <cell r="M5622">
            <v>0</v>
          </cell>
          <cell r="P5622">
            <v>0</v>
          </cell>
        </row>
        <row r="5623">
          <cell r="K5623">
            <v>0</v>
          </cell>
          <cell r="M5623">
            <v>0</v>
          </cell>
          <cell r="P5623">
            <v>0</v>
          </cell>
        </row>
        <row r="5624">
          <cell r="K5624">
            <v>0</v>
          </cell>
          <cell r="M5624">
            <v>0</v>
          </cell>
          <cell r="P5624">
            <v>0</v>
          </cell>
        </row>
        <row r="5625">
          <cell r="K5625">
            <v>0</v>
          </cell>
          <cell r="M5625">
            <v>0</v>
          </cell>
          <cell r="P5625">
            <v>0</v>
          </cell>
        </row>
        <row r="5626">
          <cell r="K5626">
            <v>0</v>
          </cell>
          <cell r="M5626">
            <v>0</v>
          </cell>
          <cell r="P5626">
            <v>0</v>
          </cell>
        </row>
        <row r="5627">
          <cell r="K5627">
            <v>0</v>
          </cell>
          <cell r="M5627">
            <v>0</v>
          </cell>
          <cell r="P5627">
            <v>0</v>
          </cell>
        </row>
        <row r="5628">
          <cell r="K5628">
            <v>0</v>
          </cell>
          <cell r="M5628">
            <v>0</v>
          </cell>
          <cell r="P5628">
            <v>0</v>
          </cell>
        </row>
        <row r="5629">
          <cell r="K5629">
            <v>0</v>
          </cell>
          <cell r="M5629">
            <v>0</v>
          </cell>
          <cell r="P5629">
            <v>0</v>
          </cell>
        </row>
        <row r="5630">
          <cell r="K5630">
            <v>0</v>
          </cell>
          <cell r="M5630">
            <v>0</v>
          </cell>
          <cell r="P5630">
            <v>0</v>
          </cell>
        </row>
        <row r="5631">
          <cell r="K5631">
            <v>0</v>
          </cell>
          <cell r="M5631">
            <v>0</v>
          </cell>
          <cell r="P5631">
            <v>0</v>
          </cell>
        </row>
        <row r="5632">
          <cell r="K5632">
            <v>0</v>
          </cell>
          <cell r="M5632">
            <v>0</v>
          </cell>
          <cell r="P5632">
            <v>0</v>
          </cell>
        </row>
        <row r="5633">
          <cell r="K5633">
            <v>0</v>
          </cell>
          <cell r="M5633">
            <v>0</v>
          </cell>
          <cell r="P5633">
            <v>0</v>
          </cell>
        </row>
        <row r="5634">
          <cell r="K5634">
            <v>0</v>
          </cell>
          <cell r="M5634">
            <v>0</v>
          </cell>
          <cell r="P5634">
            <v>0</v>
          </cell>
        </row>
        <row r="5635">
          <cell r="K5635">
            <v>0</v>
          </cell>
          <cell r="M5635">
            <v>0</v>
          </cell>
          <cell r="P5635">
            <v>0</v>
          </cell>
        </row>
        <row r="5636">
          <cell r="K5636">
            <v>0</v>
          </cell>
          <cell r="M5636">
            <v>0</v>
          </cell>
          <cell r="P5636">
            <v>0</v>
          </cell>
        </row>
        <row r="5637">
          <cell r="K5637">
            <v>0</v>
          </cell>
          <cell r="M5637">
            <v>0</v>
          </cell>
          <cell r="P5637">
            <v>0</v>
          </cell>
        </row>
        <row r="5638">
          <cell r="K5638">
            <v>0</v>
          </cell>
          <cell r="M5638">
            <v>0</v>
          </cell>
          <cell r="P5638">
            <v>0</v>
          </cell>
        </row>
        <row r="5639">
          <cell r="K5639">
            <v>0</v>
          </cell>
          <cell r="M5639">
            <v>0</v>
          </cell>
          <cell r="P5639">
            <v>0</v>
          </cell>
        </row>
        <row r="5640">
          <cell r="K5640">
            <v>0</v>
          </cell>
          <cell r="M5640">
            <v>0</v>
          </cell>
          <cell r="P5640">
            <v>0</v>
          </cell>
        </row>
        <row r="5641">
          <cell r="K5641">
            <v>0</v>
          </cell>
          <cell r="M5641">
            <v>0</v>
          </cell>
          <cell r="P5641">
            <v>0</v>
          </cell>
        </row>
        <row r="5642">
          <cell r="K5642">
            <v>0</v>
          </cell>
          <cell r="M5642">
            <v>0</v>
          </cell>
          <cell r="P5642">
            <v>0</v>
          </cell>
        </row>
        <row r="5643">
          <cell r="K5643">
            <v>0</v>
          </cell>
          <cell r="M5643">
            <v>0</v>
          </cell>
          <cell r="P5643">
            <v>0</v>
          </cell>
        </row>
        <row r="5644">
          <cell r="K5644">
            <v>0</v>
          </cell>
          <cell r="M5644">
            <v>0</v>
          </cell>
          <cell r="P5644">
            <v>0</v>
          </cell>
        </row>
        <row r="5645">
          <cell r="K5645">
            <v>0</v>
          </cell>
          <cell r="M5645">
            <v>0</v>
          </cell>
          <cell r="P5645">
            <v>0</v>
          </cell>
        </row>
        <row r="5646">
          <cell r="K5646">
            <v>0</v>
          </cell>
          <cell r="M5646">
            <v>0</v>
          </cell>
          <cell r="P5646">
            <v>0</v>
          </cell>
        </row>
        <row r="5647">
          <cell r="K5647">
            <v>0</v>
          </cell>
          <cell r="M5647">
            <v>0</v>
          </cell>
          <cell r="P5647">
            <v>0</v>
          </cell>
        </row>
        <row r="5648">
          <cell r="K5648">
            <v>0</v>
          </cell>
          <cell r="M5648">
            <v>0</v>
          </cell>
          <cell r="P5648">
            <v>0</v>
          </cell>
        </row>
        <row r="5649">
          <cell r="K5649">
            <v>0</v>
          </cell>
          <cell r="M5649">
            <v>0</v>
          </cell>
          <cell r="P5649">
            <v>0</v>
          </cell>
        </row>
        <row r="5650">
          <cell r="K5650">
            <v>0</v>
          </cell>
          <cell r="M5650">
            <v>0</v>
          </cell>
          <cell r="P5650">
            <v>0</v>
          </cell>
        </row>
        <row r="5651">
          <cell r="K5651">
            <v>0</v>
          </cell>
          <cell r="M5651">
            <v>0</v>
          </cell>
          <cell r="P5651">
            <v>0</v>
          </cell>
        </row>
        <row r="5652">
          <cell r="K5652">
            <v>0</v>
          </cell>
          <cell r="M5652">
            <v>0</v>
          </cell>
          <cell r="P5652">
            <v>0</v>
          </cell>
        </row>
        <row r="5653">
          <cell r="K5653">
            <v>0</v>
          </cell>
          <cell r="M5653">
            <v>0</v>
          </cell>
          <cell r="P5653">
            <v>0</v>
          </cell>
        </row>
        <row r="5654">
          <cell r="K5654">
            <v>0</v>
          </cell>
          <cell r="M5654">
            <v>0</v>
          </cell>
          <cell r="P5654">
            <v>0</v>
          </cell>
        </row>
        <row r="5655">
          <cell r="K5655">
            <v>0</v>
          </cell>
          <cell r="M5655">
            <v>0</v>
          </cell>
          <cell r="P5655">
            <v>0</v>
          </cell>
        </row>
        <row r="5656">
          <cell r="K5656">
            <v>0</v>
          </cell>
          <cell r="M5656">
            <v>0</v>
          </cell>
          <cell r="P5656">
            <v>0</v>
          </cell>
        </row>
        <row r="5657">
          <cell r="K5657">
            <v>0</v>
          </cell>
          <cell r="M5657">
            <v>0</v>
          </cell>
          <cell r="P5657">
            <v>0</v>
          </cell>
        </row>
        <row r="5658">
          <cell r="K5658">
            <v>0</v>
          </cell>
          <cell r="M5658">
            <v>0</v>
          </cell>
          <cell r="P5658">
            <v>0</v>
          </cell>
        </row>
        <row r="5659">
          <cell r="K5659">
            <v>0</v>
          </cell>
          <cell r="M5659">
            <v>0</v>
          </cell>
          <cell r="P5659">
            <v>0</v>
          </cell>
        </row>
        <row r="5660">
          <cell r="K5660">
            <v>0</v>
          </cell>
          <cell r="M5660">
            <v>0</v>
          </cell>
          <cell r="P5660">
            <v>0</v>
          </cell>
        </row>
        <row r="5661">
          <cell r="K5661">
            <v>0</v>
          </cell>
          <cell r="M5661">
            <v>0</v>
          </cell>
          <cell r="P5661">
            <v>0</v>
          </cell>
        </row>
        <row r="5662">
          <cell r="K5662">
            <v>0</v>
          </cell>
          <cell r="M5662">
            <v>0</v>
          </cell>
          <cell r="P5662">
            <v>0</v>
          </cell>
        </row>
        <row r="5663">
          <cell r="K5663">
            <v>0</v>
          </cell>
          <cell r="M5663">
            <v>0</v>
          </cell>
          <cell r="P5663">
            <v>0</v>
          </cell>
        </row>
        <row r="5664">
          <cell r="K5664">
            <v>0</v>
          </cell>
          <cell r="M5664">
            <v>0</v>
          </cell>
          <cell r="P5664">
            <v>0</v>
          </cell>
        </row>
        <row r="5665">
          <cell r="K5665">
            <v>0</v>
          </cell>
          <cell r="M5665">
            <v>0</v>
          </cell>
          <cell r="P5665">
            <v>0</v>
          </cell>
        </row>
        <row r="5666">
          <cell r="K5666">
            <v>0</v>
          </cell>
          <cell r="M5666">
            <v>0</v>
          </cell>
          <cell r="P5666">
            <v>0</v>
          </cell>
        </row>
        <row r="5667">
          <cell r="K5667">
            <v>0</v>
          </cell>
          <cell r="M5667">
            <v>0</v>
          </cell>
          <cell r="P5667">
            <v>0</v>
          </cell>
        </row>
        <row r="5668">
          <cell r="K5668">
            <v>0</v>
          </cell>
          <cell r="M5668">
            <v>0</v>
          </cell>
          <cell r="P5668">
            <v>0</v>
          </cell>
        </row>
        <row r="5669">
          <cell r="K5669">
            <v>0</v>
          </cell>
          <cell r="M5669">
            <v>0</v>
          </cell>
          <cell r="P5669">
            <v>0</v>
          </cell>
        </row>
        <row r="5670">
          <cell r="K5670">
            <v>0</v>
          </cell>
          <cell r="M5670">
            <v>0</v>
          </cell>
          <cell r="P5670">
            <v>0</v>
          </cell>
        </row>
        <row r="5671">
          <cell r="K5671">
            <v>0</v>
          </cell>
          <cell r="M5671">
            <v>0</v>
          </cell>
          <cell r="P5671">
            <v>0</v>
          </cell>
        </row>
        <row r="5672">
          <cell r="K5672">
            <v>0</v>
          </cell>
          <cell r="M5672">
            <v>0</v>
          </cell>
          <cell r="P5672">
            <v>0</v>
          </cell>
        </row>
        <row r="5673">
          <cell r="K5673">
            <v>0</v>
          </cell>
          <cell r="M5673">
            <v>0</v>
          </cell>
          <cell r="P5673">
            <v>0</v>
          </cell>
        </row>
        <row r="5674">
          <cell r="K5674">
            <v>0</v>
          </cell>
          <cell r="M5674">
            <v>0</v>
          </cell>
          <cell r="P5674">
            <v>0</v>
          </cell>
        </row>
        <row r="5675">
          <cell r="K5675">
            <v>0</v>
          </cell>
          <cell r="M5675">
            <v>0</v>
          </cell>
          <cell r="P5675">
            <v>0</v>
          </cell>
        </row>
        <row r="5676">
          <cell r="K5676">
            <v>0</v>
          </cell>
          <cell r="M5676">
            <v>0</v>
          </cell>
          <cell r="P5676">
            <v>0</v>
          </cell>
        </row>
        <row r="5677">
          <cell r="K5677">
            <v>0</v>
          </cell>
          <cell r="M5677">
            <v>0</v>
          </cell>
          <cell r="P5677">
            <v>0</v>
          </cell>
        </row>
        <row r="5678">
          <cell r="K5678">
            <v>0</v>
          </cell>
          <cell r="M5678">
            <v>0</v>
          </cell>
          <cell r="P5678">
            <v>0</v>
          </cell>
        </row>
        <row r="5679">
          <cell r="K5679">
            <v>0</v>
          </cell>
          <cell r="M5679">
            <v>0</v>
          </cell>
          <cell r="P5679">
            <v>0</v>
          </cell>
        </row>
        <row r="5680">
          <cell r="K5680">
            <v>0</v>
          </cell>
          <cell r="M5680">
            <v>0</v>
          </cell>
          <cell r="P5680">
            <v>0</v>
          </cell>
        </row>
        <row r="5681">
          <cell r="K5681">
            <v>0</v>
          </cell>
          <cell r="M5681">
            <v>0</v>
          </cell>
          <cell r="P5681">
            <v>0</v>
          </cell>
        </row>
        <row r="5682">
          <cell r="K5682">
            <v>0</v>
          </cell>
          <cell r="M5682">
            <v>0</v>
          </cell>
          <cell r="P5682">
            <v>0</v>
          </cell>
        </row>
        <row r="5683">
          <cell r="K5683">
            <v>0</v>
          </cell>
          <cell r="M5683">
            <v>0</v>
          </cell>
          <cell r="P5683">
            <v>0</v>
          </cell>
        </row>
        <row r="5684">
          <cell r="K5684">
            <v>0</v>
          </cell>
          <cell r="M5684">
            <v>0</v>
          </cell>
          <cell r="P5684">
            <v>0</v>
          </cell>
        </row>
        <row r="5685">
          <cell r="K5685">
            <v>0</v>
          </cell>
          <cell r="M5685">
            <v>0</v>
          </cell>
          <cell r="P5685">
            <v>0</v>
          </cell>
        </row>
        <row r="5686">
          <cell r="K5686">
            <v>0</v>
          </cell>
          <cell r="M5686">
            <v>0</v>
          </cell>
          <cell r="P5686">
            <v>0</v>
          </cell>
        </row>
        <row r="5687">
          <cell r="K5687">
            <v>0</v>
          </cell>
          <cell r="M5687">
            <v>0</v>
          </cell>
          <cell r="P5687">
            <v>0</v>
          </cell>
        </row>
        <row r="5688">
          <cell r="K5688">
            <v>0</v>
          </cell>
          <cell r="M5688">
            <v>0</v>
          </cell>
          <cell r="P5688">
            <v>0</v>
          </cell>
        </row>
        <row r="5689">
          <cell r="K5689">
            <v>0</v>
          </cell>
          <cell r="M5689">
            <v>0</v>
          </cell>
          <cell r="P5689">
            <v>0</v>
          </cell>
        </row>
        <row r="5690">
          <cell r="K5690">
            <v>0</v>
          </cell>
          <cell r="M5690">
            <v>0</v>
          </cell>
          <cell r="P5690">
            <v>0</v>
          </cell>
        </row>
        <row r="5691">
          <cell r="K5691">
            <v>0</v>
          </cell>
          <cell r="M5691">
            <v>0</v>
          </cell>
          <cell r="P5691">
            <v>0</v>
          </cell>
        </row>
        <row r="5692">
          <cell r="K5692">
            <v>0</v>
          </cell>
          <cell r="M5692">
            <v>0</v>
          </cell>
          <cell r="P5692">
            <v>0</v>
          </cell>
        </row>
        <row r="5693">
          <cell r="K5693">
            <v>0</v>
          </cell>
          <cell r="M5693">
            <v>0</v>
          </cell>
          <cell r="P5693">
            <v>0</v>
          </cell>
        </row>
        <row r="5694">
          <cell r="K5694">
            <v>0</v>
          </cell>
          <cell r="M5694">
            <v>0</v>
          </cell>
          <cell r="P5694">
            <v>0</v>
          </cell>
        </row>
        <row r="5695">
          <cell r="K5695">
            <v>0</v>
          </cell>
          <cell r="M5695">
            <v>0</v>
          </cell>
          <cell r="P5695">
            <v>0</v>
          </cell>
        </row>
        <row r="5696">
          <cell r="K5696">
            <v>0</v>
          </cell>
          <cell r="M5696">
            <v>0</v>
          </cell>
          <cell r="P5696">
            <v>0</v>
          </cell>
        </row>
        <row r="5697">
          <cell r="K5697">
            <v>0</v>
          </cell>
          <cell r="M5697">
            <v>0</v>
          </cell>
          <cell r="P5697">
            <v>0</v>
          </cell>
        </row>
        <row r="5698">
          <cell r="K5698">
            <v>0</v>
          </cell>
          <cell r="M5698">
            <v>0</v>
          </cell>
          <cell r="P5698">
            <v>0</v>
          </cell>
        </row>
        <row r="5699">
          <cell r="K5699">
            <v>0</v>
          </cell>
          <cell r="M5699">
            <v>0</v>
          </cell>
          <cell r="P5699">
            <v>0</v>
          </cell>
        </row>
        <row r="5700">
          <cell r="K5700">
            <v>0</v>
          </cell>
          <cell r="M5700">
            <v>0</v>
          </cell>
          <cell r="P5700">
            <v>0</v>
          </cell>
        </row>
        <row r="5701">
          <cell r="K5701">
            <v>0</v>
          </cell>
          <cell r="M5701">
            <v>0</v>
          </cell>
          <cell r="P5701">
            <v>0</v>
          </cell>
        </row>
        <row r="5702">
          <cell r="K5702">
            <v>0</v>
          </cell>
          <cell r="M5702">
            <v>0</v>
          </cell>
          <cell r="P5702">
            <v>0</v>
          </cell>
        </row>
        <row r="5703">
          <cell r="K5703">
            <v>0</v>
          </cell>
          <cell r="M5703">
            <v>0</v>
          </cell>
          <cell r="P5703">
            <v>0</v>
          </cell>
        </row>
        <row r="5704">
          <cell r="K5704">
            <v>0</v>
          </cell>
          <cell r="M5704">
            <v>0</v>
          </cell>
          <cell r="P5704">
            <v>0</v>
          </cell>
        </row>
        <row r="5705">
          <cell r="K5705">
            <v>0</v>
          </cell>
          <cell r="M5705">
            <v>0</v>
          </cell>
          <cell r="P5705">
            <v>0</v>
          </cell>
        </row>
        <row r="5706">
          <cell r="K5706">
            <v>0</v>
          </cell>
          <cell r="M5706">
            <v>0</v>
          </cell>
          <cell r="P5706">
            <v>0</v>
          </cell>
        </row>
        <row r="5707">
          <cell r="K5707">
            <v>0</v>
          </cell>
          <cell r="M5707">
            <v>0</v>
          </cell>
          <cell r="P5707">
            <v>0</v>
          </cell>
        </row>
        <row r="5708">
          <cell r="K5708">
            <v>0</v>
          </cell>
          <cell r="M5708">
            <v>0</v>
          </cell>
          <cell r="P5708">
            <v>0</v>
          </cell>
        </row>
        <row r="5709">
          <cell r="K5709">
            <v>0</v>
          </cell>
          <cell r="M5709">
            <v>0</v>
          </cell>
          <cell r="P5709">
            <v>0</v>
          </cell>
        </row>
        <row r="5710">
          <cell r="K5710">
            <v>0</v>
          </cell>
          <cell r="M5710">
            <v>0</v>
          </cell>
          <cell r="P5710">
            <v>0</v>
          </cell>
        </row>
        <row r="5711">
          <cell r="K5711">
            <v>0</v>
          </cell>
          <cell r="M5711">
            <v>0</v>
          </cell>
          <cell r="P5711">
            <v>0</v>
          </cell>
        </row>
        <row r="5712">
          <cell r="K5712">
            <v>0</v>
          </cell>
          <cell r="M5712">
            <v>0</v>
          </cell>
          <cell r="P5712">
            <v>0</v>
          </cell>
        </row>
        <row r="5713">
          <cell r="K5713">
            <v>0</v>
          </cell>
          <cell r="M5713">
            <v>0</v>
          </cell>
          <cell r="P5713">
            <v>0</v>
          </cell>
        </row>
        <row r="5714">
          <cell r="K5714">
            <v>0</v>
          </cell>
          <cell r="M5714">
            <v>0</v>
          </cell>
          <cell r="P5714">
            <v>0</v>
          </cell>
        </row>
        <row r="5715">
          <cell r="K5715">
            <v>0</v>
          </cell>
          <cell r="M5715">
            <v>0</v>
          </cell>
          <cell r="P5715">
            <v>0</v>
          </cell>
        </row>
        <row r="5716">
          <cell r="K5716">
            <v>0</v>
          </cell>
          <cell r="M5716">
            <v>0</v>
          </cell>
          <cell r="P5716">
            <v>0</v>
          </cell>
        </row>
        <row r="5717">
          <cell r="K5717">
            <v>0</v>
          </cell>
          <cell r="M5717">
            <v>0</v>
          </cell>
          <cell r="P5717">
            <v>0</v>
          </cell>
        </row>
        <row r="5718">
          <cell r="K5718">
            <v>0</v>
          </cell>
          <cell r="M5718">
            <v>0</v>
          </cell>
          <cell r="P5718">
            <v>0</v>
          </cell>
        </row>
        <row r="5719">
          <cell r="K5719">
            <v>0</v>
          </cell>
          <cell r="M5719">
            <v>0</v>
          </cell>
          <cell r="P5719">
            <v>0</v>
          </cell>
        </row>
        <row r="5720">
          <cell r="K5720">
            <v>0</v>
          </cell>
          <cell r="M5720">
            <v>0</v>
          </cell>
          <cell r="P5720">
            <v>0</v>
          </cell>
        </row>
        <row r="5721">
          <cell r="K5721">
            <v>0</v>
          </cell>
          <cell r="M5721">
            <v>0</v>
          </cell>
          <cell r="P5721">
            <v>0</v>
          </cell>
        </row>
        <row r="5722">
          <cell r="K5722">
            <v>0</v>
          </cell>
          <cell r="M5722">
            <v>0</v>
          </cell>
          <cell r="P5722">
            <v>0</v>
          </cell>
        </row>
        <row r="5723">
          <cell r="K5723">
            <v>0</v>
          </cell>
          <cell r="M5723">
            <v>0</v>
          </cell>
          <cell r="P5723">
            <v>0</v>
          </cell>
        </row>
        <row r="5724">
          <cell r="K5724">
            <v>0</v>
          </cell>
          <cell r="M5724">
            <v>0</v>
          </cell>
          <cell r="P5724">
            <v>0</v>
          </cell>
        </row>
        <row r="5725">
          <cell r="K5725">
            <v>0</v>
          </cell>
          <cell r="M5725">
            <v>0</v>
          </cell>
          <cell r="P5725">
            <v>0</v>
          </cell>
        </row>
        <row r="5726">
          <cell r="K5726">
            <v>0</v>
          </cell>
          <cell r="M5726">
            <v>0</v>
          </cell>
          <cell r="P5726">
            <v>0</v>
          </cell>
        </row>
        <row r="5727">
          <cell r="K5727">
            <v>0</v>
          </cell>
          <cell r="M5727">
            <v>0</v>
          </cell>
          <cell r="P5727">
            <v>0</v>
          </cell>
        </row>
        <row r="5728">
          <cell r="K5728">
            <v>0</v>
          </cell>
          <cell r="M5728">
            <v>0</v>
          </cell>
          <cell r="P5728">
            <v>0</v>
          </cell>
        </row>
        <row r="5729">
          <cell r="K5729">
            <v>0</v>
          </cell>
          <cell r="M5729">
            <v>0</v>
          </cell>
          <cell r="P5729">
            <v>0</v>
          </cell>
        </row>
        <row r="5730">
          <cell r="K5730">
            <v>0</v>
          </cell>
          <cell r="M5730">
            <v>0</v>
          </cell>
          <cell r="P5730">
            <v>0</v>
          </cell>
        </row>
        <row r="5731">
          <cell r="K5731">
            <v>0</v>
          </cell>
          <cell r="M5731">
            <v>0</v>
          </cell>
          <cell r="P5731">
            <v>0</v>
          </cell>
        </row>
        <row r="5732">
          <cell r="K5732">
            <v>0</v>
          </cell>
          <cell r="M5732">
            <v>0</v>
          </cell>
          <cell r="P5732">
            <v>0</v>
          </cell>
        </row>
        <row r="5733">
          <cell r="K5733">
            <v>0</v>
          </cell>
          <cell r="M5733">
            <v>0</v>
          </cell>
          <cell r="P5733">
            <v>0</v>
          </cell>
        </row>
        <row r="5734">
          <cell r="K5734">
            <v>0</v>
          </cell>
          <cell r="M5734">
            <v>0</v>
          </cell>
          <cell r="P5734">
            <v>0</v>
          </cell>
        </row>
        <row r="5735">
          <cell r="K5735">
            <v>0</v>
          </cell>
          <cell r="M5735">
            <v>0</v>
          </cell>
          <cell r="P5735">
            <v>0</v>
          </cell>
        </row>
        <row r="5736">
          <cell r="K5736">
            <v>0</v>
          </cell>
          <cell r="M5736">
            <v>0</v>
          </cell>
          <cell r="P5736">
            <v>0</v>
          </cell>
        </row>
        <row r="5737">
          <cell r="K5737">
            <v>0</v>
          </cell>
          <cell r="M5737">
            <v>0</v>
          </cell>
          <cell r="P5737">
            <v>0</v>
          </cell>
        </row>
        <row r="5738">
          <cell r="K5738">
            <v>0</v>
          </cell>
          <cell r="M5738">
            <v>0</v>
          </cell>
          <cell r="P5738">
            <v>0</v>
          </cell>
        </row>
        <row r="5739">
          <cell r="K5739">
            <v>0</v>
          </cell>
          <cell r="M5739">
            <v>0</v>
          </cell>
          <cell r="P5739">
            <v>0</v>
          </cell>
        </row>
        <row r="5740">
          <cell r="K5740">
            <v>0</v>
          </cell>
          <cell r="M5740">
            <v>0</v>
          </cell>
          <cell r="P5740">
            <v>0</v>
          </cell>
        </row>
        <row r="5741">
          <cell r="K5741">
            <v>0</v>
          </cell>
          <cell r="M5741">
            <v>0</v>
          </cell>
          <cell r="P5741">
            <v>0</v>
          </cell>
        </row>
        <row r="5742">
          <cell r="K5742">
            <v>0</v>
          </cell>
          <cell r="M5742">
            <v>0</v>
          </cell>
          <cell r="P5742">
            <v>0</v>
          </cell>
        </row>
        <row r="5743">
          <cell r="K5743">
            <v>0</v>
          </cell>
          <cell r="M5743">
            <v>0</v>
          </cell>
          <cell r="P5743">
            <v>0</v>
          </cell>
        </row>
        <row r="5744">
          <cell r="K5744">
            <v>0</v>
          </cell>
          <cell r="M5744">
            <v>0</v>
          </cell>
          <cell r="P5744">
            <v>0</v>
          </cell>
        </row>
        <row r="5745">
          <cell r="K5745">
            <v>0</v>
          </cell>
          <cell r="M5745">
            <v>0</v>
          </cell>
          <cell r="P5745">
            <v>0</v>
          </cell>
        </row>
        <row r="5746">
          <cell r="K5746">
            <v>0</v>
          </cell>
          <cell r="M5746">
            <v>0</v>
          </cell>
          <cell r="P5746">
            <v>0</v>
          </cell>
        </row>
        <row r="5747">
          <cell r="K5747">
            <v>0</v>
          </cell>
          <cell r="M5747">
            <v>0</v>
          </cell>
          <cell r="P5747">
            <v>0</v>
          </cell>
        </row>
        <row r="5748">
          <cell r="K5748">
            <v>0</v>
          </cell>
          <cell r="M5748">
            <v>0</v>
          </cell>
          <cell r="P5748">
            <v>0</v>
          </cell>
        </row>
        <row r="5749">
          <cell r="K5749">
            <v>0</v>
          </cell>
          <cell r="M5749">
            <v>0</v>
          </cell>
          <cell r="P5749">
            <v>0</v>
          </cell>
        </row>
        <row r="5750">
          <cell r="K5750">
            <v>0</v>
          </cell>
          <cell r="M5750">
            <v>0</v>
          </cell>
          <cell r="P5750">
            <v>0</v>
          </cell>
        </row>
        <row r="5751">
          <cell r="K5751">
            <v>0</v>
          </cell>
          <cell r="M5751">
            <v>0</v>
          </cell>
          <cell r="P5751">
            <v>0</v>
          </cell>
        </row>
        <row r="5752">
          <cell r="K5752">
            <v>0</v>
          </cell>
          <cell r="M5752">
            <v>0</v>
          </cell>
          <cell r="P5752">
            <v>0</v>
          </cell>
        </row>
        <row r="5753">
          <cell r="K5753">
            <v>0</v>
          </cell>
          <cell r="M5753">
            <v>0</v>
          </cell>
          <cell r="P5753">
            <v>0</v>
          </cell>
        </row>
        <row r="5754">
          <cell r="K5754">
            <v>0</v>
          </cell>
          <cell r="M5754">
            <v>0</v>
          </cell>
          <cell r="P5754">
            <v>0</v>
          </cell>
        </row>
        <row r="5755">
          <cell r="K5755">
            <v>0</v>
          </cell>
          <cell r="M5755">
            <v>0</v>
          </cell>
          <cell r="P5755">
            <v>0</v>
          </cell>
        </row>
        <row r="5756">
          <cell r="K5756">
            <v>0</v>
          </cell>
          <cell r="M5756">
            <v>0</v>
          </cell>
          <cell r="P5756">
            <v>0</v>
          </cell>
        </row>
        <row r="5757">
          <cell r="K5757">
            <v>0</v>
          </cell>
          <cell r="M5757">
            <v>0</v>
          </cell>
          <cell r="P5757">
            <v>0</v>
          </cell>
        </row>
        <row r="5758">
          <cell r="K5758">
            <v>0</v>
          </cell>
          <cell r="M5758">
            <v>0</v>
          </cell>
          <cell r="P5758">
            <v>0</v>
          </cell>
        </row>
        <row r="5759">
          <cell r="K5759">
            <v>0</v>
          </cell>
          <cell r="M5759">
            <v>0</v>
          </cell>
          <cell r="P5759">
            <v>0</v>
          </cell>
        </row>
        <row r="5760">
          <cell r="K5760">
            <v>0</v>
          </cell>
          <cell r="M5760">
            <v>0</v>
          </cell>
          <cell r="P5760">
            <v>0</v>
          </cell>
        </row>
        <row r="5761">
          <cell r="K5761">
            <v>0</v>
          </cell>
          <cell r="M5761">
            <v>0</v>
          </cell>
          <cell r="P5761">
            <v>0</v>
          </cell>
        </row>
        <row r="5762">
          <cell r="K5762">
            <v>0</v>
          </cell>
          <cell r="M5762">
            <v>0</v>
          </cell>
          <cell r="P5762">
            <v>0</v>
          </cell>
        </row>
        <row r="5763">
          <cell r="K5763">
            <v>0</v>
          </cell>
          <cell r="M5763">
            <v>0</v>
          </cell>
          <cell r="P5763">
            <v>0</v>
          </cell>
        </row>
        <row r="5764">
          <cell r="K5764">
            <v>0</v>
          </cell>
          <cell r="M5764">
            <v>0</v>
          </cell>
          <cell r="P5764">
            <v>0</v>
          </cell>
        </row>
        <row r="5765">
          <cell r="K5765">
            <v>0</v>
          </cell>
          <cell r="M5765">
            <v>0</v>
          </cell>
          <cell r="P5765">
            <v>0</v>
          </cell>
        </row>
        <row r="5766">
          <cell r="K5766">
            <v>0</v>
          </cell>
          <cell r="M5766">
            <v>0</v>
          </cell>
          <cell r="P5766">
            <v>0</v>
          </cell>
        </row>
        <row r="5767">
          <cell r="K5767">
            <v>0</v>
          </cell>
          <cell r="M5767">
            <v>0</v>
          </cell>
          <cell r="P5767">
            <v>0</v>
          </cell>
        </row>
        <row r="5768">
          <cell r="K5768">
            <v>0</v>
          </cell>
          <cell r="M5768">
            <v>0</v>
          </cell>
          <cell r="P5768">
            <v>0</v>
          </cell>
        </row>
        <row r="5769">
          <cell r="K5769">
            <v>0</v>
          </cell>
          <cell r="M5769">
            <v>0</v>
          </cell>
          <cell r="P5769">
            <v>0</v>
          </cell>
        </row>
        <row r="5770">
          <cell r="K5770">
            <v>0</v>
          </cell>
          <cell r="M5770">
            <v>0</v>
          </cell>
          <cell r="P5770">
            <v>0</v>
          </cell>
        </row>
        <row r="5771">
          <cell r="K5771">
            <v>0</v>
          </cell>
          <cell r="M5771">
            <v>0</v>
          </cell>
          <cell r="P5771">
            <v>0</v>
          </cell>
        </row>
        <row r="5772">
          <cell r="K5772">
            <v>0</v>
          </cell>
          <cell r="M5772">
            <v>0</v>
          </cell>
          <cell r="P5772">
            <v>0</v>
          </cell>
        </row>
        <row r="5773">
          <cell r="K5773">
            <v>0</v>
          </cell>
          <cell r="M5773">
            <v>0</v>
          </cell>
          <cell r="P5773">
            <v>0</v>
          </cell>
        </row>
        <row r="5774">
          <cell r="K5774">
            <v>0</v>
          </cell>
          <cell r="M5774">
            <v>0</v>
          </cell>
          <cell r="P5774">
            <v>0</v>
          </cell>
        </row>
        <row r="5775">
          <cell r="K5775">
            <v>0</v>
          </cell>
          <cell r="M5775">
            <v>0</v>
          </cell>
          <cell r="P5775">
            <v>0</v>
          </cell>
        </row>
        <row r="5776">
          <cell r="K5776">
            <v>0</v>
          </cell>
          <cell r="M5776">
            <v>0</v>
          </cell>
          <cell r="P5776">
            <v>0</v>
          </cell>
        </row>
        <row r="5777">
          <cell r="K5777">
            <v>0</v>
          </cell>
          <cell r="M5777">
            <v>0</v>
          </cell>
          <cell r="P5777">
            <v>0</v>
          </cell>
        </row>
        <row r="5778">
          <cell r="K5778">
            <v>0</v>
          </cell>
          <cell r="M5778">
            <v>0</v>
          </cell>
          <cell r="P5778">
            <v>0</v>
          </cell>
        </row>
        <row r="5779">
          <cell r="K5779">
            <v>0</v>
          </cell>
          <cell r="M5779">
            <v>0</v>
          </cell>
          <cell r="P5779">
            <v>0</v>
          </cell>
        </row>
        <row r="5780">
          <cell r="K5780">
            <v>0</v>
          </cell>
          <cell r="M5780">
            <v>0</v>
          </cell>
          <cell r="P5780">
            <v>0</v>
          </cell>
        </row>
        <row r="5781">
          <cell r="K5781">
            <v>0</v>
          </cell>
          <cell r="M5781">
            <v>0</v>
          </cell>
          <cell r="P5781">
            <v>0</v>
          </cell>
        </row>
        <row r="5782">
          <cell r="K5782">
            <v>0</v>
          </cell>
          <cell r="M5782">
            <v>0</v>
          </cell>
          <cell r="P5782">
            <v>0</v>
          </cell>
        </row>
        <row r="5783">
          <cell r="K5783">
            <v>0</v>
          </cell>
          <cell r="M5783">
            <v>0</v>
          </cell>
          <cell r="P5783">
            <v>0</v>
          </cell>
        </row>
        <row r="5784">
          <cell r="K5784">
            <v>0</v>
          </cell>
          <cell r="M5784">
            <v>0</v>
          </cell>
          <cell r="P5784">
            <v>0</v>
          </cell>
        </row>
        <row r="5785">
          <cell r="K5785">
            <v>0</v>
          </cell>
          <cell r="M5785">
            <v>0</v>
          </cell>
          <cell r="P5785">
            <v>0</v>
          </cell>
        </row>
        <row r="5786">
          <cell r="K5786">
            <v>0</v>
          </cell>
          <cell r="M5786">
            <v>0</v>
          </cell>
          <cell r="P5786">
            <v>0</v>
          </cell>
        </row>
        <row r="5787">
          <cell r="K5787">
            <v>0</v>
          </cell>
          <cell r="M5787">
            <v>0</v>
          </cell>
          <cell r="P5787">
            <v>0</v>
          </cell>
        </row>
        <row r="5788">
          <cell r="K5788">
            <v>0</v>
          </cell>
          <cell r="M5788">
            <v>0</v>
          </cell>
          <cell r="P5788">
            <v>0</v>
          </cell>
        </row>
        <row r="5789">
          <cell r="K5789">
            <v>0</v>
          </cell>
          <cell r="M5789">
            <v>0</v>
          </cell>
          <cell r="P5789">
            <v>0</v>
          </cell>
        </row>
        <row r="5790">
          <cell r="K5790">
            <v>0</v>
          </cell>
          <cell r="M5790">
            <v>0</v>
          </cell>
          <cell r="P5790">
            <v>0</v>
          </cell>
        </row>
        <row r="5791">
          <cell r="K5791">
            <v>0</v>
          </cell>
          <cell r="M5791">
            <v>0</v>
          </cell>
          <cell r="P5791">
            <v>0</v>
          </cell>
        </row>
        <row r="5792">
          <cell r="K5792">
            <v>0</v>
          </cell>
          <cell r="M5792">
            <v>0</v>
          </cell>
          <cell r="P5792">
            <v>0</v>
          </cell>
        </row>
        <row r="5793">
          <cell r="K5793">
            <v>0</v>
          </cell>
          <cell r="M5793">
            <v>0</v>
          </cell>
          <cell r="P5793">
            <v>0</v>
          </cell>
        </row>
        <row r="5794">
          <cell r="K5794">
            <v>0</v>
          </cell>
          <cell r="M5794">
            <v>0</v>
          </cell>
          <cell r="P5794">
            <v>0</v>
          </cell>
        </row>
        <row r="5795">
          <cell r="K5795">
            <v>0</v>
          </cell>
          <cell r="M5795">
            <v>0</v>
          </cell>
          <cell r="P5795">
            <v>0</v>
          </cell>
        </row>
        <row r="5796">
          <cell r="K5796">
            <v>0</v>
          </cell>
          <cell r="M5796">
            <v>0</v>
          </cell>
          <cell r="P5796">
            <v>0</v>
          </cell>
        </row>
        <row r="5797">
          <cell r="K5797">
            <v>0</v>
          </cell>
          <cell r="M5797">
            <v>0</v>
          </cell>
          <cell r="P5797">
            <v>0</v>
          </cell>
        </row>
        <row r="5798">
          <cell r="K5798">
            <v>0</v>
          </cell>
          <cell r="M5798">
            <v>0</v>
          </cell>
          <cell r="P5798">
            <v>0</v>
          </cell>
        </row>
        <row r="5799">
          <cell r="K5799">
            <v>0</v>
          </cell>
          <cell r="M5799">
            <v>0</v>
          </cell>
          <cell r="P5799">
            <v>0</v>
          </cell>
        </row>
        <row r="5800">
          <cell r="K5800">
            <v>0</v>
          </cell>
          <cell r="M5800">
            <v>0</v>
          </cell>
          <cell r="P5800">
            <v>0</v>
          </cell>
        </row>
        <row r="5801">
          <cell r="K5801">
            <v>0</v>
          </cell>
          <cell r="M5801">
            <v>0</v>
          </cell>
          <cell r="P5801">
            <v>0</v>
          </cell>
        </row>
        <row r="5802">
          <cell r="K5802">
            <v>0</v>
          </cell>
          <cell r="M5802">
            <v>0</v>
          </cell>
          <cell r="P5802">
            <v>0</v>
          </cell>
        </row>
        <row r="5803">
          <cell r="K5803">
            <v>0</v>
          </cell>
          <cell r="M5803">
            <v>0</v>
          </cell>
          <cell r="P5803">
            <v>0</v>
          </cell>
        </row>
        <row r="5804">
          <cell r="K5804">
            <v>0</v>
          </cell>
          <cell r="M5804">
            <v>0</v>
          </cell>
          <cell r="P5804">
            <v>0</v>
          </cell>
        </row>
        <row r="5805">
          <cell r="K5805">
            <v>0</v>
          </cell>
          <cell r="M5805">
            <v>0</v>
          </cell>
          <cell r="P5805">
            <v>0</v>
          </cell>
        </row>
        <row r="5806">
          <cell r="K5806">
            <v>0</v>
          </cell>
          <cell r="M5806">
            <v>0</v>
          </cell>
          <cell r="P5806">
            <v>0</v>
          </cell>
        </row>
        <row r="5807">
          <cell r="K5807">
            <v>0</v>
          </cell>
          <cell r="M5807">
            <v>0</v>
          </cell>
          <cell r="P5807">
            <v>0</v>
          </cell>
        </row>
        <row r="5808">
          <cell r="K5808">
            <v>0</v>
          </cell>
          <cell r="M5808">
            <v>0</v>
          </cell>
          <cell r="P5808">
            <v>0</v>
          </cell>
        </row>
        <row r="5809">
          <cell r="K5809">
            <v>0</v>
          </cell>
          <cell r="M5809">
            <v>0</v>
          </cell>
          <cell r="P5809">
            <v>0</v>
          </cell>
        </row>
        <row r="5810">
          <cell r="K5810">
            <v>0</v>
          </cell>
          <cell r="M5810">
            <v>0</v>
          </cell>
          <cell r="P5810">
            <v>0</v>
          </cell>
        </row>
        <row r="5811">
          <cell r="K5811">
            <v>0</v>
          </cell>
          <cell r="M5811">
            <v>0</v>
          </cell>
          <cell r="P5811">
            <v>0</v>
          </cell>
        </row>
        <row r="5812">
          <cell r="K5812">
            <v>0</v>
          </cell>
          <cell r="M5812">
            <v>0</v>
          </cell>
          <cell r="P5812">
            <v>0</v>
          </cell>
        </row>
        <row r="5813">
          <cell r="K5813">
            <v>0</v>
          </cell>
          <cell r="M5813">
            <v>0</v>
          </cell>
          <cell r="P5813">
            <v>0</v>
          </cell>
        </row>
        <row r="5814">
          <cell r="K5814">
            <v>0</v>
          </cell>
          <cell r="M5814">
            <v>0</v>
          </cell>
          <cell r="P5814">
            <v>0</v>
          </cell>
        </row>
        <row r="5815">
          <cell r="K5815">
            <v>0</v>
          </cell>
          <cell r="M5815">
            <v>0</v>
          </cell>
          <cell r="P5815">
            <v>0</v>
          </cell>
        </row>
        <row r="5816">
          <cell r="K5816">
            <v>0</v>
          </cell>
          <cell r="M5816">
            <v>0</v>
          </cell>
          <cell r="P5816">
            <v>0</v>
          </cell>
        </row>
        <row r="5817">
          <cell r="K5817">
            <v>0</v>
          </cell>
          <cell r="M5817">
            <v>0</v>
          </cell>
          <cell r="P5817">
            <v>0</v>
          </cell>
        </row>
        <row r="5818">
          <cell r="K5818">
            <v>0</v>
          </cell>
          <cell r="M5818">
            <v>0</v>
          </cell>
          <cell r="P5818">
            <v>0</v>
          </cell>
        </row>
        <row r="5819">
          <cell r="K5819">
            <v>0</v>
          </cell>
          <cell r="M5819">
            <v>0</v>
          </cell>
          <cell r="P5819">
            <v>0</v>
          </cell>
        </row>
        <row r="5820">
          <cell r="K5820">
            <v>0</v>
          </cell>
          <cell r="M5820">
            <v>0</v>
          </cell>
          <cell r="P5820">
            <v>0</v>
          </cell>
        </row>
        <row r="5821">
          <cell r="K5821">
            <v>0</v>
          </cell>
          <cell r="M5821">
            <v>0</v>
          </cell>
          <cell r="P5821">
            <v>0</v>
          </cell>
        </row>
        <row r="5822">
          <cell r="K5822">
            <v>0</v>
          </cell>
          <cell r="M5822">
            <v>0</v>
          </cell>
          <cell r="P5822">
            <v>0</v>
          </cell>
        </row>
        <row r="5823">
          <cell r="K5823">
            <v>0</v>
          </cell>
          <cell r="M5823">
            <v>0</v>
          </cell>
          <cell r="P5823">
            <v>0</v>
          </cell>
        </row>
        <row r="5824">
          <cell r="K5824">
            <v>0</v>
          </cell>
          <cell r="M5824">
            <v>0</v>
          </cell>
          <cell r="P5824">
            <v>0</v>
          </cell>
        </row>
        <row r="5825">
          <cell r="K5825">
            <v>0</v>
          </cell>
          <cell r="M5825">
            <v>0</v>
          </cell>
          <cell r="P5825">
            <v>0</v>
          </cell>
        </row>
        <row r="5826">
          <cell r="K5826">
            <v>0</v>
          </cell>
          <cell r="M5826">
            <v>0</v>
          </cell>
          <cell r="P5826">
            <v>0</v>
          </cell>
        </row>
        <row r="5827">
          <cell r="K5827">
            <v>0</v>
          </cell>
          <cell r="M5827">
            <v>0</v>
          </cell>
          <cell r="P5827">
            <v>0</v>
          </cell>
        </row>
        <row r="5828">
          <cell r="K5828">
            <v>0</v>
          </cell>
          <cell r="M5828">
            <v>0</v>
          </cell>
          <cell r="P5828">
            <v>0</v>
          </cell>
        </row>
        <row r="5829">
          <cell r="K5829">
            <v>0</v>
          </cell>
          <cell r="M5829">
            <v>0</v>
          </cell>
          <cell r="P5829">
            <v>0</v>
          </cell>
        </row>
        <row r="5830">
          <cell r="K5830">
            <v>0</v>
          </cell>
          <cell r="M5830">
            <v>0</v>
          </cell>
          <cell r="P5830">
            <v>0</v>
          </cell>
        </row>
        <row r="5831">
          <cell r="K5831">
            <v>0</v>
          </cell>
          <cell r="M5831">
            <v>0</v>
          </cell>
          <cell r="P5831">
            <v>0</v>
          </cell>
        </row>
        <row r="5832">
          <cell r="K5832">
            <v>0</v>
          </cell>
          <cell r="M5832">
            <v>0</v>
          </cell>
          <cell r="P5832">
            <v>0</v>
          </cell>
        </row>
        <row r="5833">
          <cell r="K5833">
            <v>0</v>
          </cell>
          <cell r="M5833">
            <v>0</v>
          </cell>
          <cell r="P5833">
            <v>0</v>
          </cell>
        </row>
        <row r="5834">
          <cell r="K5834">
            <v>0</v>
          </cell>
          <cell r="M5834">
            <v>0</v>
          </cell>
          <cell r="P5834">
            <v>0</v>
          </cell>
        </row>
        <row r="5835">
          <cell r="K5835">
            <v>0</v>
          </cell>
          <cell r="M5835">
            <v>0</v>
          </cell>
          <cell r="P5835">
            <v>0</v>
          </cell>
        </row>
        <row r="5836">
          <cell r="K5836">
            <v>0</v>
          </cell>
          <cell r="M5836">
            <v>0</v>
          </cell>
          <cell r="P5836">
            <v>0</v>
          </cell>
        </row>
        <row r="5837">
          <cell r="K5837">
            <v>0</v>
          </cell>
          <cell r="M5837">
            <v>0</v>
          </cell>
          <cell r="P5837">
            <v>0</v>
          </cell>
        </row>
        <row r="5838">
          <cell r="K5838">
            <v>0</v>
          </cell>
          <cell r="M5838">
            <v>0</v>
          </cell>
          <cell r="P5838">
            <v>0</v>
          </cell>
        </row>
        <row r="5839">
          <cell r="K5839">
            <v>0</v>
          </cell>
          <cell r="M5839">
            <v>0</v>
          </cell>
          <cell r="P5839">
            <v>0</v>
          </cell>
        </row>
        <row r="5840">
          <cell r="K5840">
            <v>0</v>
          </cell>
          <cell r="M5840">
            <v>0</v>
          </cell>
          <cell r="P5840">
            <v>0</v>
          </cell>
        </row>
        <row r="5841">
          <cell r="K5841">
            <v>0</v>
          </cell>
          <cell r="M5841">
            <v>0</v>
          </cell>
          <cell r="P5841">
            <v>0</v>
          </cell>
        </row>
        <row r="5842">
          <cell r="K5842">
            <v>0</v>
          </cell>
          <cell r="M5842">
            <v>0</v>
          </cell>
          <cell r="P5842">
            <v>0</v>
          </cell>
        </row>
        <row r="5843">
          <cell r="K5843">
            <v>0</v>
          </cell>
          <cell r="M5843">
            <v>0</v>
          </cell>
          <cell r="P5843">
            <v>0</v>
          </cell>
        </row>
        <row r="5844">
          <cell r="K5844">
            <v>0</v>
          </cell>
          <cell r="M5844">
            <v>0</v>
          </cell>
          <cell r="P5844">
            <v>0</v>
          </cell>
        </row>
        <row r="5845">
          <cell r="K5845">
            <v>0</v>
          </cell>
          <cell r="M5845">
            <v>0</v>
          </cell>
          <cell r="P5845">
            <v>0</v>
          </cell>
        </row>
        <row r="5846">
          <cell r="K5846">
            <v>0</v>
          </cell>
          <cell r="M5846">
            <v>0</v>
          </cell>
          <cell r="P5846">
            <v>0</v>
          </cell>
        </row>
        <row r="5847">
          <cell r="K5847">
            <v>0</v>
          </cell>
          <cell r="M5847">
            <v>0</v>
          </cell>
          <cell r="P5847">
            <v>0</v>
          </cell>
        </row>
        <row r="5848">
          <cell r="K5848">
            <v>0</v>
          </cell>
          <cell r="M5848">
            <v>0</v>
          </cell>
          <cell r="P5848">
            <v>0</v>
          </cell>
        </row>
        <row r="5849">
          <cell r="K5849">
            <v>0</v>
          </cell>
          <cell r="M5849">
            <v>0</v>
          </cell>
          <cell r="P5849">
            <v>0</v>
          </cell>
        </row>
        <row r="5850">
          <cell r="K5850">
            <v>0</v>
          </cell>
          <cell r="M5850">
            <v>0</v>
          </cell>
          <cell r="P5850">
            <v>0</v>
          </cell>
        </row>
        <row r="5851">
          <cell r="K5851">
            <v>0</v>
          </cell>
          <cell r="M5851">
            <v>0</v>
          </cell>
          <cell r="P5851">
            <v>0</v>
          </cell>
        </row>
        <row r="5852">
          <cell r="K5852">
            <v>0</v>
          </cell>
          <cell r="M5852">
            <v>0</v>
          </cell>
          <cell r="P5852">
            <v>0</v>
          </cell>
        </row>
        <row r="5853">
          <cell r="K5853">
            <v>0</v>
          </cell>
          <cell r="M5853">
            <v>0</v>
          </cell>
          <cell r="P5853">
            <v>0</v>
          </cell>
        </row>
        <row r="5854">
          <cell r="K5854">
            <v>0</v>
          </cell>
          <cell r="M5854">
            <v>0</v>
          </cell>
          <cell r="P5854">
            <v>0</v>
          </cell>
        </row>
        <row r="5855">
          <cell r="K5855">
            <v>0</v>
          </cell>
          <cell r="M5855">
            <v>0</v>
          </cell>
          <cell r="P5855">
            <v>0</v>
          </cell>
        </row>
        <row r="5856">
          <cell r="K5856">
            <v>0</v>
          </cell>
          <cell r="M5856">
            <v>0</v>
          </cell>
          <cell r="P5856">
            <v>0</v>
          </cell>
        </row>
        <row r="5857">
          <cell r="K5857">
            <v>0</v>
          </cell>
          <cell r="M5857">
            <v>0</v>
          </cell>
          <cell r="P5857">
            <v>0</v>
          </cell>
        </row>
        <row r="5858">
          <cell r="K5858">
            <v>0</v>
          </cell>
          <cell r="M5858">
            <v>0</v>
          </cell>
          <cell r="P5858">
            <v>0</v>
          </cell>
        </row>
        <row r="5859">
          <cell r="K5859">
            <v>0</v>
          </cell>
          <cell r="M5859">
            <v>0</v>
          </cell>
          <cell r="P5859">
            <v>0</v>
          </cell>
        </row>
        <row r="5860">
          <cell r="K5860">
            <v>0</v>
          </cell>
          <cell r="M5860">
            <v>0</v>
          </cell>
          <cell r="P5860">
            <v>0</v>
          </cell>
        </row>
        <row r="5861">
          <cell r="K5861">
            <v>0</v>
          </cell>
          <cell r="M5861">
            <v>0</v>
          </cell>
          <cell r="P5861">
            <v>0</v>
          </cell>
        </row>
        <row r="5862">
          <cell r="K5862">
            <v>0</v>
          </cell>
          <cell r="M5862">
            <v>0</v>
          </cell>
          <cell r="P5862">
            <v>0</v>
          </cell>
        </row>
        <row r="5863">
          <cell r="K5863">
            <v>0</v>
          </cell>
          <cell r="M5863">
            <v>0</v>
          </cell>
          <cell r="P5863">
            <v>0</v>
          </cell>
        </row>
        <row r="5864">
          <cell r="K5864">
            <v>0</v>
          </cell>
          <cell r="M5864">
            <v>0</v>
          </cell>
          <cell r="P5864">
            <v>0</v>
          </cell>
        </row>
        <row r="5865">
          <cell r="K5865">
            <v>0</v>
          </cell>
          <cell r="M5865">
            <v>0</v>
          </cell>
          <cell r="P5865">
            <v>0</v>
          </cell>
        </row>
        <row r="5866">
          <cell r="K5866">
            <v>0</v>
          </cell>
          <cell r="M5866">
            <v>0</v>
          </cell>
          <cell r="P5866">
            <v>0</v>
          </cell>
        </row>
        <row r="5867">
          <cell r="K5867">
            <v>0</v>
          </cell>
          <cell r="M5867">
            <v>0</v>
          </cell>
          <cell r="P5867">
            <v>0</v>
          </cell>
        </row>
        <row r="5868">
          <cell r="K5868">
            <v>0</v>
          </cell>
          <cell r="M5868">
            <v>0</v>
          </cell>
          <cell r="P5868">
            <v>0</v>
          </cell>
        </row>
        <row r="5869">
          <cell r="K5869">
            <v>0</v>
          </cell>
          <cell r="M5869">
            <v>0</v>
          </cell>
          <cell r="P5869">
            <v>0</v>
          </cell>
        </row>
        <row r="5870">
          <cell r="K5870">
            <v>0</v>
          </cell>
          <cell r="M5870">
            <v>0</v>
          </cell>
          <cell r="P5870">
            <v>0</v>
          </cell>
        </row>
        <row r="5871">
          <cell r="K5871">
            <v>0</v>
          </cell>
          <cell r="M5871">
            <v>0</v>
          </cell>
          <cell r="P5871">
            <v>0</v>
          </cell>
        </row>
        <row r="5872">
          <cell r="K5872">
            <v>0</v>
          </cell>
          <cell r="M5872">
            <v>0</v>
          </cell>
          <cell r="P5872">
            <v>0</v>
          </cell>
        </row>
        <row r="5873">
          <cell r="K5873">
            <v>0</v>
          </cell>
          <cell r="M5873">
            <v>0</v>
          </cell>
          <cell r="P5873">
            <v>0</v>
          </cell>
        </row>
        <row r="5874">
          <cell r="K5874">
            <v>0</v>
          </cell>
          <cell r="M5874">
            <v>0</v>
          </cell>
          <cell r="P5874">
            <v>0</v>
          </cell>
        </row>
        <row r="5875">
          <cell r="K5875">
            <v>0</v>
          </cell>
          <cell r="M5875">
            <v>0</v>
          </cell>
          <cell r="P5875">
            <v>0</v>
          </cell>
        </row>
        <row r="5876">
          <cell r="K5876">
            <v>0</v>
          </cell>
          <cell r="M5876">
            <v>0</v>
          </cell>
          <cell r="P5876">
            <v>0</v>
          </cell>
        </row>
        <row r="5877">
          <cell r="K5877">
            <v>0</v>
          </cell>
          <cell r="M5877">
            <v>0</v>
          </cell>
          <cell r="P5877">
            <v>0</v>
          </cell>
        </row>
        <row r="5878">
          <cell r="K5878">
            <v>0</v>
          </cell>
          <cell r="M5878">
            <v>0</v>
          </cell>
          <cell r="P5878">
            <v>0</v>
          </cell>
        </row>
        <row r="5879">
          <cell r="K5879">
            <v>0</v>
          </cell>
          <cell r="M5879">
            <v>0</v>
          </cell>
          <cell r="P5879">
            <v>0</v>
          </cell>
        </row>
        <row r="5880">
          <cell r="K5880">
            <v>0</v>
          </cell>
          <cell r="M5880">
            <v>0</v>
          </cell>
          <cell r="P5880">
            <v>0</v>
          </cell>
        </row>
        <row r="5881">
          <cell r="K5881">
            <v>0</v>
          </cell>
          <cell r="M5881">
            <v>0</v>
          </cell>
          <cell r="P5881">
            <v>0</v>
          </cell>
        </row>
        <row r="5882">
          <cell r="K5882">
            <v>0</v>
          </cell>
          <cell r="M5882">
            <v>0</v>
          </cell>
          <cell r="P5882">
            <v>0</v>
          </cell>
        </row>
        <row r="5883">
          <cell r="K5883">
            <v>0</v>
          </cell>
          <cell r="M5883">
            <v>0</v>
          </cell>
          <cell r="P5883">
            <v>0</v>
          </cell>
        </row>
        <row r="5884">
          <cell r="K5884">
            <v>0</v>
          </cell>
          <cell r="M5884">
            <v>0</v>
          </cell>
          <cell r="P5884">
            <v>0</v>
          </cell>
        </row>
        <row r="5885">
          <cell r="K5885">
            <v>0</v>
          </cell>
          <cell r="M5885">
            <v>0</v>
          </cell>
          <cell r="P5885">
            <v>0</v>
          </cell>
        </row>
        <row r="5886">
          <cell r="K5886">
            <v>0</v>
          </cell>
          <cell r="M5886">
            <v>0</v>
          </cell>
          <cell r="P5886">
            <v>0</v>
          </cell>
        </row>
        <row r="5887">
          <cell r="K5887">
            <v>0</v>
          </cell>
          <cell r="M5887">
            <v>0</v>
          </cell>
          <cell r="P5887">
            <v>0</v>
          </cell>
        </row>
        <row r="5888">
          <cell r="K5888">
            <v>0</v>
          </cell>
          <cell r="M5888">
            <v>0</v>
          </cell>
          <cell r="P5888">
            <v>0</v>
          </cell>
        </row>
        <row r="5889">
          <cell r="K5889">
            <v>0</v>
          </cell>
          <cell r="M5889">
            <v>0</v>
          </cell>
          <cell r="P5889">
            <v>0</v>
          </cell>
        </row>
        <row r="5890">
          <cell r="K5890">
            <v>0</v>
          </cell>
          <cell r="M5890">
            <v>0</v>
          </cell>
          <cell r="P5890">
            <v>0</v>
          </cell>
        </row>
        <row r="5891">
          <cell r="K5891">
            <v>0</v>
          </cell>
          <cell r="M5891">
            <v>0</v>
          </cell>
          <cell r="P5891">
            <v>0</v>
          </cell>
        </row>
        <row r="5892">
          <cell r="K5892">
            <v>0</v>
          </cell>
          <cell r="M5892">
            <v>0</v>
          </cell>
          <cell r="P5892">
            <v>0</v>
          </cell>
        </row>
        <row r="5893">
          <cell r="K5893">
            <v>0</v>
          </cell>
          <cell r="M5893">
            <v>0</v>
          </cell>
          <cell r="P5893">
            <v>0</v>
          </cell>
        </row>
        <row r="5894">
          <cell r="K5894">
            <v>0</v>
          </cell>
          <cell r="M5894">
            <v>0</v>
          </cell>
          <cell r="P5894">
            <v>0</v>
          </cell>
        </row>
        <row r="5895">
          <cell r="K5895">
            <v>0</v>
          </cell>
          <cell r="M5895">
            <v>0</v>
          </cell>
          <cell r="P5895">
            <v>0</v>
          </cell>
        </row>
        <row r="5896">
          <cell r="K5896">
            <v>0</v>
          </cell>
          <cell r="M5896">
            <v>0</v>
          </cell>
          <cell r="P5896">
            <v>0</v>
          </cell>
        </row>
        <row r="5897">
          <cell r="K5897">
            <v>0</v>
          </cell>
          <cell r="M5897">
            <v>0</v>
          </cell>
          <cell r="P5897">
            <v>0</v>
          </cell>
        </row>
        <row r="5898">
          <cell r="K5898">
            <v>0</v>
          </cell>
          <cell r="M5898">
            <v>0</v>
          </cell>
          <cell r="P5898">
            <v>0</v>
          </cell>
        </row>
        <row r="5899">
          <cell r="K5899">
            <v>0</v>
          </cell>
          <cell r="M5899">
            <v>0</v>
          </cell>
          <cell r="P5899">
            <v>0</v>
          </cell>
        </row>
        <row r="5900">
          <cell r="K5900">
            <v>0</v>
          </cell>
          <cell r="M5900">
            <v>0</v>
          </cell>
          <cell r="P5900">
            <v>0</v>
          </cell>
        </row>
        <row r="5901">
          <cell r="K5901">
            <v>0</v>
          </cell>
          <cell r="M5901">
            <v>0</v>
          </cell>
          <cell r="P5901">
            <v>0</v>
          </cell>
        </row>
        <row r="5902">
          <cell r="K5902">
            <v>0</v>
          </cell>
          <cell r="M5902">
            <v>0</v>
          </cell>
          <cell r="P5902">
            <v>0</v>
          </cell>
        </row>
        <row r="5903">
          <cell r="K5903">
            <v>0</v>
          </cell>
          <cell r="M5903">
            <v>0</v>
          </cell>
          <cell r="P5903">
            <v>0</v>
          </cell>
        </row>
        <row r="5904">
          <cell r="K5904">
            <v>0</v>
          </cell>
          <cell r="M5904">
            <v>0</v>
          </cell>
          <cell r="P5904">
            <v>0</v>
          </cell>
        </row>
        <row r="5905">
          <cell r="K5905">
            <v>0</v>
          </cell>
          <cell r="M5905">
            <v>0</v>
          </cell>
          <cell r="P5905">
            <v>0</v>
          </cell>
        </row>
        <row r="5906">
          <cell r="K5906">
            <v>0</v>
          </cell>
          <cell r="M5906">
            <v>0</v>
          </cell>
          <cell r="P5906">
            <v>0</v>
          </cell>
        </row>
        <row r="5907">
          <cell r="K5907">
            <v>0</v>
          </cell>
          <cell r="M5907">
            <v>0</v>
          </cell>
          <cell r="P5907">
            <v>0</v>
          </cell>
        </row>
        <row r="5908">
          <cell r="K5908">
            <v>0</v>
          </cell>
          <cell r="M5908">
            <v>0</v>
          </cell>
          <cell r="P5908">
            <v>0</v>
          </cell>
        </row>
        <row r="5909">
          <cell r="K5909">
            <v>0</v>
          </cell>
          <cell r="M5909">
            <v>0</v>
          </cell>
          <cell r="P5909">
            <v>0</v>
          </cell>
        </row>
        <row r="5910">
          <cell r="K5910">
            <v>0</v>
          </cell>
          <cell r="M5910">
            <v>0</v>
          </cell>
          <cell r="P5910">
            <v>0</v>
          </cell>
        </row>
        <row r="5911">
          <cell r="K5911">
            <v>0</v>
          </cell>
          <cell r="M5911">
            <v>0</v>
          </cell>
          <cell r="P5911">
            <v>0</v>
          </cell>
        </row>
        <row r="5912">
          <cell r="K5912">
            <v>0</v>
          </cell>
          <cell r="M5912">
            <v>0</v>
          </cell>
          <cell r="P5912">
            <v>0</v>
          </cell>
        </row>
        <row r="5913">
          <cell r="K5913">
            <v>0</v>
          </cell>
          <cell r="M5913">
            <v>0</v>
          </cell>
          <cell r="P5913">
            <v>0</v>
          </cell>
        </row>
        <row r="5914">
          <cell r="K5914">
            <v>0</v>
          </cell>
          <cell r="M5914">
            <v>0</v>
          </cell>
          <cell r="P5914">
            <v>0</v>
          </cell>
        </row>
        <row r="5915">
          <cell r="K5915">
            <v>0</v>
          </cell>
          <cell r="M5915">
            <v>0</v>
          </cell>
          <cell r="P5915">
            <v>0</v>
          </cell>
        </row>
        <row r="5916">
          <cell r="K5916">
            <v>0</v>
          </cell>
          <cell r="M5916">
            <v>0</v>
          </cell>
          <cell r="P5916">
            <v>0</v>
          </cell>
        </row>
        <row r="5917">
          <cell r="K5917">
            <v>0</v>
          </cell>
          <cell r="M5917">
            <v>0</v>
          </cell>
          <cell r="P5917">
            <v>0</v>
          </cell>
        </row>
        <row r="5918">
          <cell r="K5918">
            <v>0</v>
          </cell>
          <cell r="M5918">
            <v>0</v>
          </cell>
          <cell r="P5918">
            <v>0</v>
          </cell>
        </row>
        <row r="5919">
          <cell r="K5919">
            <v>0</v>
          </cell>
          <cell r="M5919">
            <v>0</v>
          </cell>
          <cell r="P5919">
            <v>0</v>
          </cell>
        </row>
        <row r="5920">
          <cell r="K5920">
            <v>0</v>
          </cell>
          <cell r="M5920">
            <v>0</v>
          </cell>
          <cell r="P5920">
            <v>0</v>
          </cell>
        </row>
        <row r="5921">
          <cell r="K5921">
            <v>0</v>
          </cell>
          <cell r="M5921">
            <v>0</v>
          </cell>
          <cell r="P5921">
            <v>0</v>
          </cell>
        </row>
        <row r="5922">
          <cell r="K5922">
            <v>0</v>
          </cell>
          <cell r="M5922">
            <v>0</v>
          </cell>
          <cell r="P5922">
            <v>0</v>
          </cell>
        </row>
        <row r="5923">
          <cell r="K5923">
            <v>0</v>
          </cell>
          <cell r="M5923">
            <v>0</v>
          </cell>
          <cell r="P5923">
            <v>0</v>
          </cell>
        </row>
        <row r="5924">
          <cell r="K5924">
            <v>0</v>
          </cell>
          <cell r="M5924">
            <v>0</v>
          </cell>
          <cell r="P5924">
            <v>0</v>
          </cell>
        </row>
        <row r="5925">
          <cell r="K5925">
            <v>0</v>
          </cell>
          <cell r="M5925">
            <v>0</v>
          </cell>
          <cell r="P5925">
            <v>0</v>
          </cell>
        </row>
        <row r="5926">
          <cell r="K5926">
            <v>0</v>
          </cell>
          <cell r="M5926">
            <v>0</v>
          </cell>
          <cell r="P5926">
            <v>0</v>
          </cell>
        </row>
        <row r="5927">
          <cell r="K5927">
            <v>0</v>
          </cell>
          <cell r="M5927">
            <v>0</v>
          </cell>
          <cell r="P5927">
            <v>0</v>
          </cell>
        </row>
        <row r="5928">
          <cell r="K5928">
            <v>0</v>
          </cell>
          <cell r="M5928">
            <v>0</v>
          </cell>
          <cell r="P5928">
            <v>0</v>
          </cell>
        </row>
        <row r="5929">
          <cell r="K5929">
            <v>0</v>
          </cell>
          <cell r="M5929">
            <v>0</v>
          </cell>
          <cell r="P5929">
            <v>0</v>
          </cell>
        </row>
        <row r="5930">
          <cell r="K5930">
            <v>0</v>
          </cell>
          <cell r="M5930">
            <v>0</v>
          </cell>
          <cell r="P5930">
            <v>0</v>
          </cell>
        </row>
        <row r="5931">
          <cell r="K5931">
            <v>0</v>
          </cell>
          <cell r="M5931">
            <v>0</v>
          </cell>
          <cell r="P5931">
            <v>0</v>
          </cell>
        </row>
        <row r="5932">
          <cell r="K5932">
            <v>0</v>
          </cell>
          <cell r="M5932">
            <v>0</v>
          </cell>
          <cell r="P5932">
            <v>0</v>
          </cell>
        </row>
        <row r="5933">
          <cell r="K5933">
            <v>0</v>
          </cell>
          <cell r="M5933">
            <v>0</v>
          </cell>
          <cell r="P5933">
            <v>0</v>
          </cell>
        </row>
        <row r="5934">
          <cell r="K5934">
            <v>0</v>
          </cell>
          <cell r="M5934">
            <v>0</v>
          </cell>
          <cell r="P5934">
            <v>0</v>
          </cell>
        </row>
        <row r="5935">
          <cell r="K5935">
            <v>0</v>
          </cell>
          <cell r="M5935">
            <v>0</v>
          </cell>
          <cell r="P5935">
            <v>0</v>
          </cell>
        </row>
        <row r="5936">
          <cell r="K5936">
            <v>0</v>
          </cell>
          <cell r="M5936">
            <v>0</v>
          </cell>
          <cell r="P5936">
            <v>0</v>
          </cell>
        </row>
        <row r="5937">
          <cell r="K5937">
            <v>0</v>
          </cell>
          <cell r="M5937">
            <v>0</v>
          </cell>
          <cell r="P5937">
            <v>0</v>
          </cell>
        </row>
        <row r="5938">
          <cell r="K5938">
            <v>0</v>
          </cell>
          <cell r="M5938">
            <v>0</v>
          </cell>
          <cell r="P5938">
            <v>0</v>
          </cell>
        </row>
        <row r="5939">
          <cell r="K5939">
            <v>0</v>
          </cell>
          <cell r="M5939">
            <v>0</v>
          </cell>
          <cell r="P5939">
            <v>0</v>
          </cell>
        </row>
        <row r="5940">
          <cell r="K5940">
            <v>0</v>
          </cell>
          <cell r="M5940">
            <v>0</v>
          </cell>
          <cell r="P5940">
            <v>0</v>
          </cell>
        </row>
        <row r="5941">
          <cell r="K5941">
            <v>0</v>
          </cell>
          <cell r="M5941">
            <v>0</v>
          </cell>
          <cell r="P5941">
            <v>0</v>
          </cell>
        </row>
        <row r="5942">
          <cell r="K5942">
            <v>0</v>
          </cell>
          <cell r="M5942">
            <v>0</v>
          </cell>
          <cell r="P5942">
            <v>0</v>
          </cell>
        </row>
        <row r="5943">
          <cell r="K5943">
            <v>0</v>
          </cell>
          <cell r="M5943">
            <v>0</v>
          </cell>
          <cell r="P5943">
            <v>0</v>
          </cell>
        </row>
        <row r="5944">
          <cell r="K5944">
            <v>0</v>
          </cell>
          <cell r="M5944">
            <v>0</v>
          </cell>
          <cell r="P5944">
            <v>0</v>
          </cell>
        </row>
        <row r="5945">
          <cell r="K5945">
            <v>0</v>
          </cell>
          <cell r="M5945">
            <v>0</v>
          </cell>
          <cell r="P5945">
            <v>0</v>
          </cell>
        </row>
        <row r="5946">
          <cell r="K5946">
            <v>0</v>
          </cell>
          <cell r="M5946">
            <v>0</v>
          </cell>
          <cell r="P5946">
            <v>0</v>
          </cell>
        </row>
        <row r="5947">
          <cell r="K5947">
            <v>0</v>
          </cell>
          <cell r="M5947">
            <v>0</v>
          </cell>
          <cell r="P5947">
            <v>0</v>
          </cell>
        </row>
        <row r="5948">
          <cell r="K5948">
            <v>0</v>
          </cell>
          <cell r="M5948">
            <v>0</v>
          </cell>
          <cell r="P5948">
            <v>0</v>
          </cell>
        </row>
        <row r="5949">
          <cell r="K5949">
            <v>0</v>
          </cell>
          <cell r="M5949">
            <v>0</v>
          </cell>
          <cell r="P5949">
            <v>0</v>
          </cell>
        </row>
        <row r="5950">
          <cell r="K5950">
            <v>0</v>
          </cell>
          <cell r="M5950">
            <v>0</v>
          </cell>
          <cell r="P5950">
            <v>0</v>
          </cell>
        </row>
        <row r="5951">
          <cell r="K5951">
            <v>0</v>
          </cell>
          <cell r="M5951">
            <v>0</v>
          </cell>
          <cell r="P5951">
            <v>0</v>
          </cell>
        </row>
        <row r="5952">
          <cell r="K5952">
            <v>0</v>
          </cell>
          <cell r="M5952">
            <v>0</v>
          </cell>
          <cell r="P5952">
            <v>0</v>
          </cell>
        </row>
        <row r="5953">
          <cell r="K5953">
            <v>0</v>
          </cell>
          <cell r="M5953">
            <v>0</v>
          </cell>
          <cell r="P5953">
            <v>0</v>
          </cell>
        </row>
        <row r="5954">
          <cell r="K5954">
            <v>0</v>
          </cell>
          <cell r="M5954">
            <v>0</v>
          </cell>
          <cell r="P5954">
            <v>0</v>
          </cell>
        </row>
        <row r="5955">
          <cell r="K5955">
            <v>0</v>
          </cell>
          <cell r="M5955">
            <v>0</v>
          </cell>
          <cell r="P5955">
            <v>0</v>
          </cell>
        </row>
        <row r="5956">
          <cell r="K5956">
            <v>0</v>
          </cell>
          <cell r="M5956">
            <v>0</v>
          </cell>
          <cell r="P5956">
            <v>0</v>
          </cell>
        </row>
        <row r="5957">
          <cell r="K5957">
            <v>0</v>
          </cell>
          <cell r="M5957">
            <v>0</v>
          </cell>
          <cell r="P5957">
            <v>0</v>
          </cell>
        </row>
        <row r="5958">
          <cell r="K5958">
            <v>0</v>
          </cell>
          <cell r="M5958">
            <v>0</v>
          </cell>
          <cell r="P5958">
            <v>0</v>
          </cell>
        </row>
        <row r="5959">
          <cell r="K5959">
            <v>0</v>
          </cell>
          <cell r="M5959">
            <v>0</v>
          </cell>
          <cell r="P5959">
            <v>0</v>
          </cell>
        </row>
        <row r="5960">
          <cell r="K5960">
            <v>0</v>
          </cell>
          <cell r="M5960">
            <v>0</v>
          </cell>
          <cell r="P5960">
            <v>0</v>
          </cell>
        </row>
        <row r="5961">
          <cell r="K5961">
            <v>0</v>
          </cell>
          <cell r="M5961">
            <v>0</v>
          </cell>
          <cell r="P5961">
            <v>0</v>
          </cell>
        </row>
        <row r="5962">
          <cell r="K5962">
            <v>0</v>
          </cell>
          <cell r="M5962">
            <v>0</v>
          </cell>
          <cell r="P5962">
            <v>0</v>
          </cell>
        </row>
        <row r="5963">
          <cell r="K5963">
            <v>0</v>
          </cell>
          <cell r="M5963">
            <v>0</v>
          </cell>
          <cell r="P5963">
            <v>0</v>
          </cell>
        </row>
        <row r="5964">
          <cell r="K5964">
            <v>0</v>
          </cell>
          <cell r="M5964">
            <v>0</v>
          </cell>
          <cell r="P5964">
            <v>0</v>
          </cell>
        </row>
        <row r="5965">
          <cell r="K5965">
            <v>0</v>
          </cell>
          <cell r="M5965">
            <v>0</v>
          </cell>
          <cell r="P5965">
            <v>0</v>
          </cell>
        </row>
        <row r="5966">
          <cell r="K5966">
            <v>0</v>
          </cell>
          <cell r="M5966">
            <v>0</v>
          </cell>
          <cell r="P5966">
            <v>0</v>
          </cell>
        </row>
        <row r="5967">
          <cell r="K5967">
            <v>0</v>
          </cell>
          <cell r="M5967">
            <v>0</v>
          </cell>
          <cell r="P5967">
            <v>0</v>
          </cell>
        </row>
        <row r="5968">
          <cell r="K5968">
            <v>0</v>
          </cell>
          <cell r="M5968">
            <v>0</v>
          </cell>
          <cell r="P5968">
            <v>0</v>
          </cell>
        </row>
        <row r="5969">
          <cell r="K5969">
            <v>0</v>
          </cell>
          <cell r="M5969">
            <v>0</v>
          </cell>
          <cell r="P5969">
            <v>0</v>
          </cell>
        </row>
        <row r="5970">
          <cell r="K5970">
            <v>0</v>
          </cell>
          <cell r="M5970">
            <v>0</v>
          </cell>
          <cell r="P5970">
            <v>0</v>
          </cell>
        </row>
        <row r="5971">
          <cell r="K5971">
            <v>0</v>
          </cell>
          <cell r="M5971">
            <v>0</v>
          </cell>
          <cell r="P5971">
            <v>0</v>
          </cell>
        </row>
        <row r="5972">
          <cell r="K5972">
            <v>0</v>
          </cell>
          <cell r="M5972">
            <v>0</v>
          </cell>
          <cell r="P5972">
            <v>0</v>
          </cell>
        </row>
        <row r="5973">
          <cell r="K5973">
            <v>0</v>
          </cell>
          <cell r="M5973">
            <v>0</v>
          </cell>
          <cell r="P5973">
            <v>0</v>
          </cell>
        </row>
        <row r="5974">
          <cell r="K5974">
            <v>0</v>
          </cell>
          <cell r="M5974">
            <v>0</v>
          </cell>
          <cell r="P5974">
            <v>0</v>
          </cell>
        </row>
        <row r="5975">
          <cell r="K5975">
            <v>0</v>
          </cell>
          <cell r="M5975">
            <v>0</v>
          </cell>
          <cell r="P5975">
            <v>0</v>
          </cell>
        </row>
        <row r="5976">
          <cell r="K5976">
            <v>0</v>
          </cell>
          <cell r="M5976">
            <v>0</v>
          </cell>
          <cell r="P5976">
            <v>0</v>
          </cell>
        </row>
        <row r="5977">
          <cell r="K5977">
            <v>0</v>
          </cell>
          <cell r="M5977">
            <v>0</v>
          </cell>
          <cell r="P5977">
            <v>0</v>
          </cell>
        </row>
        <row r="5978">
          <cell r="K5978">
            <v>0</v>
          </cell>
          <cell r="M5978">
            <v>0</v>
          </cell>
          <cell r="P5978">
            <v>0</v>
          </cell>
        </row>
        <row r="5979">
          <cell r="K5979">
            <v>0</v>
          </cell>
          <cell r="M5979">
            <v>0</v>
          </cell>
          <cell r="P5979">
            <v>0</v>
          </cell>
        </row>
        <row r="5980">
          <cell r="K5980">
            <v>0</v>
          </cell>
          <cell r="M5980">
            <v>0</v>
          </cell>
          <cell r="P5980">
            <v>0</v>
          </cell>
        </row>
        <row r="5981">
          <cell r="K5981">
            <v>0</v>
          </cell>
          <cell r="M5981">
            <v>0</v>
          </cell>
          <cell r="P5981">
            <v>0</v>
          </cell>
        </row>
        <row r="5982">
          <cell r="K5982">
            <v>0</v>
          </cell>
          <cell r="M5982">
            <v>0</v>
          </cell>
          <cell r="P5982">
            <v>0</v>
          </cell>
        </row>
        <row r="5983">
          <cell r="K5983">
            <v>0</v>
          </cell>
          <cell r="M5983">
            <v>0</v>
          </cell>
          <cell r="P5983">
            <v>0</v>
          </cell>
        </row>
        <row r="5984">
          <cell r="K5984">
            <v>0</v>
          </cell>
          <cell r="M5984">
            <v>0</v>
          </cell>
          <cell r="P5984">
            <v>0</v>
          </cell>
        </row>
        <row r="5985">
          <cell r="K5985">
            <v>0</v>
          </cell>
          <cell r="M5985">
            <v>0</v>
          </cell>
          <cell r="P5985">
            <v>0</v>
          </cell>
        </row>
        <row r="5986">
          <cell r="K5986">
            <v>0</v>
          </cell>
          <cell r="M5986">
            <v>0</v>
          </cell>
          <cell r="P5986">
            <v>0</v>
          </cell>
        </row>
        <row r="5987">
          <cell r="K5987">
            <v>0</v>
          </cell>
          <cell r="M5987">
            <v>0</v>
          </cell>
          <cell r="P5987">
            <v>0</v>
          </cell>
        </row>
        <row r="5988">
          <cell r="K5988">
            <v>0</v>
          </cell>
          <cell r="M5988">
            <v>0</v>
          </cell>
          <cell r="P5988">
            <v>0</v>
          </cell>
        </row>
        <row r="5989">
          <cell r="K5989">
            <v>0</v>
          </cell>
          <cell r="M5989">
            <v>0</v>
          </cell>
          <cell r="P5989">
            <v>0</v>
          </cell>
        </row>
        <row r="5990">
          <cell r="K5990">
            <v>0</v>
          </cell>
          <cell r="M5990">
            <v>0</v>
          </cell>
          <cell r="P5990">
            <v>0</v>
          </cell>
        </row>
        <row r="5991">
          <cell r="K5991">
            <v>0</v>
          </cell>
          <cell r="M5991">
            <v>0</v>
          </cell>
          <cell r="P5991">
            <v>0</v>
          </cell>
        </row>
        <row r="5992">
          <cell r="K5992">
            <v>0</v>
          </cell>
          <cell r="M5992">
            <v>0</v>
          </cell>
          <cell r="P5992">
            <v>0</v>
          </cell>
        </row>
        <row r="5993">
          <cell r="K5993">
            <v>0</v>
          </cell>
          <cell r="M5993">
            <v>0</v>
          </cell>
          <cell r="P5993">
            <v>0</v>
          </cell>
        </row>
        <row r="5994">
          <cell r="K5994">
            <v>0</v>
          </cell>
          <cell r="M5994">
            <v>0</v>
          </cell>
          <cell r="P5994">
            <v>0</v>
          </cell>
        </row>
        <row r="5995">
          <cell r="K5995">
            <v>0</v>
          </cell>
          <cell r="M5995">
            <v>0</v>
          </cell>
          <cell r="P5995">
            <v>0</v>
          </cell>
        </row>
        <row r="5996">
          <cell r="K5996">
            <v>0</v>
          </cell>
          <cell r="M5996">
            <v>0</v>
          </cell>
          <cell r="P5996">
            <v>0</v>
          </cell>
        </row>
        <row r="5997">
          <cell r="K5997">
            <v>0</v>
          </cell>
          <cell r="M5997">
            <v>0</v>
          </cell>
          <cell r="P5997">
            <v>0</v>
          </cell>
        </row>
        <row r="5998">
          <cell r="K5998">
            <v>0</v>
          </cell>
          <cell r="M5998">
            <v>0</v>
          </cell>
          <cell r="P5998">
            <v>0</v>
          </cell>
        </row>
        <row r="5999">
          <cell r="K5999">
            <v>0</v>
          </cell>
          <cell r="M5999">
            <v>0</v>
          </cell>
          <cell r="P5999">
            <v>0</v>
          </cell>
        </row>
        <row r="6000">
          <cell r="K6000">
            <v>0</v>
          </cell>
          <cell r="M6000">
            <v>0</v>
          </cell>
          <cell r="P6000">
            <v>0</v>
          </cell>
        </row>
        <row r="6001">
          <cell r="K6001">
            <v>0</v>
          </cell>
          <cell r="M6001">
            <v>0</v>
          </cell>
          <cell r="P6001">
            <v>0</v>
          </cell>
        </row>
        <row r="6002">
          <cell r="K6002">
            <v>0</v>
          </cell>
          <cell r="M6002">
            <v>0</v>
          </cell>
          <cell r="P6002">
            <v>0</v>
          </cell>
        </row>
        <row r="6003">
          <cell r="K6003">
            <v>0</v>
          </cell>
          <cell r="M6003">
            <v>0</v>
          </cell>
          <cell r="P6003">
            <v>0</v>
          </cell>
        </row>
        <row r="6004">
          <cell r="K6004">
            <v>0</v>
          </cell>
          <cell r="M6004">
            <v>0</v>
          </cell>
          <cell r="P6004">
            <v>0</v>
          </cell>
        </row>
        <row r="6005">
          <cell r="K6005">
            <v>0</v>
          </cell>
          <cell r="M6005">
            <v>0</v>
          </cell>
          <cell r="P6005">
            <v>0</v>
          </cell>
        </row>
        <row r="6006">
          <cell r="K6006">
            <v>0</v>
          </cell>
          <cell r="M6006">
            <v>0</v>
          </cell>
          <cell r="P6006">
            <v>0</v>
          </cell>
        </row>
        <row r="6007">
          <cell r="K6007">
            <v>0</v>
          </cell>
          <cell r="M6007">
            <v>0</v>
          </cell>
          <cell r="P6007">
            <v>0</v>
          </cell>
        </row>
        <row r="6008">
          <cell r="K6008">
            <v>0</v>
          </cell>
          <cell r="M6008">
            <v>0</v>
          </cell>
          <cell r="P6008">
            <v>0</v>
          </cell>
        </row>
        <row r="6009">
          <cell r="K6009">
            <v>0</v>
          </cell>
          <cell r="M6009">
            <v>0</v>
          </cell>
          <cell r="P6009">
            <v>0</v>
          </cell>
        </row>
        <row r="6010">
          <cell r="K6010">
            <v>0</v>
          </cell>
          <cell r="M6010">
            <v>0</v>
          </cell>
          <cell r="P6010">
            <v>0</v>
          </cell>
        </row>
        <row r="6011">
          <cell r="K6011">
            <v>0</v>
          </cell>
          <cell r="M6011">
            <v>0</v>
          </cell>
          <cell r="P6011">
            <v>0</v>
          </cell>
        </row>
        <row r="6012">
          <cell r="K6012">
            <v>0</v>
          </cell>
          <cell r="M6012">
            <v>0</v>
          </cell>
          <cell r="P6012">
            <v>0</v>
          </cell>
        </row>
        <row r="6013">
          <cell r="K6013">
            <v>0</v>
          </cell>
          <cell r="M6013">
            <v>0</v>
          </cell>
          <cell r="P6013">
            <v>0</v>
          </cell>
        </row>
        <row r="6014">
          <cell r="K6014">
            <v>0</v>
          </cell>
          <cell r="M6014">
            <v>0</v>
          </cell>
          <cell r="P6014">
            <v>0</v>
          </cell>
        </row>
        <row r="6015">
          <cell r="K6015">
            <v>0</v>
          </cell>
          <cell r="M6015">
            <v>0</v>
          </cell>
          <cell r="P6015">
            <v>0</v>
          </cell>
        </row>
        <row r="6016">
          <cell r="K6016">
            <v>0</v>
          </cell>
          <cell r="M6016">
            <v>0</v>
          </cell>
          <cell r="P6016">
            <v>0</v>
          </cell>
        </row>
        <row r="6017">
          <cell r="K6017">
            <v>0</v>
          </cell>
          <cell r="M6017">
            <v>0</v>
          </cell>
          <cell r="P6017">
            <v>0</v>
          </cell>
        </row>
        <row r="6018">
          <cell r="K6018">
            <v>0</v>
          </cell>
          <cell r="M6018">
            <v>0</v>
          </cell>
          <cell r="P6018">
            <v>0</v>
          </cell>
        </row>
        <row r="6019">
          <cell r="K6019">
            <v>0</v>
          </cell>
          <cell r="M6019">
            <v>0</v>
          </cell>
          <cell r="P6019">
            <v>0</v>
          </cell>
        </row>
        <row r="6020">
          <cell r="K6020">
            <v>0</v>
          </cell>
          <cell r="M6020">
            <v>0</v>
          </cell>
          <cell r="P6020">
            <v>0</v>
          </cell>
        </row>
        <row r="6021">
          <cell r="K6021">
            <v>0</v>
          </cell>
          <cell r="M6021">
            <v>0</v>
          </cell>
          <cell r="P6021">
            <v>0</v>
          </cell>
        </row>
        <row r="6022">
          <cell r="K6022">
            <v>0</v>
          </cell>
          <cell r="M6022">
            <v>0</v>
          </cell>
          <cell r="P6022">
            <v>0</v>
          </cell>
        </row>
        <row r="6023">
          <cell r="K6023">
            <v>0</v>
          </cell>
          <cell r="M6023">
            <v>0</v>
          </cell>
          <cell r="P6023">
            <v>0</v>
          </cell>
        </row>
        <row r="6024">
          <cell r="K6024">
            <v>0</v>
          </cell>
          <cell r="M6024">
            <v>0</v>
          </cell>
          <cell r="P6024">
            <v>0</v>
          </cell>
        </row>
        <row r="6025">
          <cell r="K6025">
            <v>0</v>
          </cell>
          <cell r="M6025">
            <v>0</v>
          </cell>
          <cell r="P6025">
            <v>0</v>
          </cell>
        </row>
        <row r="6026">
          <cell r="K6026">
            <v>0</v>
          </cell>
          <cell r="M6026">
            <v>0</v>
          </cell>
          <cell r="P6026">
            <v>0</v>
          </cell>
        </row>
        <row r="6027">
          <cell r="K6027">
            <v>0</v>
          </cell>
          <cell r="M6027">
            <v>0</v>
          </cell>
          <cell r="P6027">
            <v>0</v>
          </cell>
        </row>
        <row r="6028">
          <cell r="K6028">
            <v>0</v>
          </cell>
          <cell r="M6028">
            <v>0</v>
          </cell>
          <cell r="P6028">
            <v>0</v>
          </cell>
        </row>
        <row r="6029">
          <cell r="K6029">
            <v>0</v>
          </cell>
          <cell r="M6029">
            <v>0</v>
          </cell>
          <cell r="P6029">
            <v>0</v>
          </cell>
        </row>
        <row r="6030">
          <cell r="K6030">
            <v>0</v>
          </cell>
          <cell r="M6030">
            <v>0</v>
          </cell>
          <cell r="P6030">
            <v>0</v>
          </cell>
        </row>
        <row r="6031">
          <cell r="K6031">
            <v>0</v>
          </cell>
          <cell r="M6031">
            <v>0</v>
          </cell>
          <cell r="P6031">
            <v>0</v>
          </cell>
        </row>
        <row r="6032">
          <cell r="K6032">
            <v>0</v>
          </cell>
          <cell r="M6032">
            <v>0</v>
          </cell>
          <cell r="P6032">
            <v>0</v>
          </cell>
        </row>
        <row r="6033">
          <cell r="K6033">
            <v>0</v>
          </cell>
          <cell r="M6033">
            <v>0</v>
          </cell>
          <cell r="P6033">
            <v>0</v>
          </cell>
        </row>
        <row r="6034">
          <cell r="K6034">
            <v>0</v>
          </cell>
          <cell r="M6034">
            <v>0</v>
          </cell>
          <cell r="P6034">
            <v>0</v>
          </cell>
        </row>
        <row r="6035">
          <cell r="K6035">
            <v>0</v>
          </cell>
          <cell r="M6035">
            <v>0</v>
          </cell>
          <cell r="P6035">
            <v>0</v>
          </cell>
        </row>
        <row r="6036">
          <cell r="K6036">
            <v>0</v>
          </cell>
          <cell r="M6036">
            <v>0</v>
          </cell>
          <cell r="P6036">
            <v>0</v>
          </cell>
        </row>
        <row r="6037">
          <cell r="K6037">
            <v>0</v>
          </cell>
          <cell r="M6037">
            <v>0</v>
          </cell>
          <cell r="P6037">
            <v>0</v>
          </cell>
        </row>
        <row r="6038">
          <cell r="K6038">
            <v>0</v>
          </cell>
          <cell r="M6038">
            <v>0</v>
          </cell>
          <cell r="P6038">
            <v>0</v>
          </cell>
        </row>
        <row r="6039">
          <cell r="K6039">
            <v>0</v>
          </cell>
          <cell r="M6039">
            <v>0</v>
          </cell>
          <cell r="P6039">
            <v>0</v>
          </cell>
        </row>
        <row r="6040">
          <cell r="K6040">
            <v>0</v>
          </cell>
          <cell r="M6040">
            <v>0</v>
          </cell>
          <cell r="P6040">
            <v>0</v>
          </cell>
        </row>
        <row r="6041">
          <cell r="K6041">
            <v>0</v>
          </cell>
          <cell r="M6041">
            <v>0</v>
          </cell>
          <cell r="P6041">
            <v>0</v>
          </cell>
        </row>
        <row r="6042">
          <cell r="K6042">
            <v>0</v>
          </cell>
          <cell r="M6042">
            <v>0</v>
          </cell>
          <cell r="P6042">
            <v>0</v>
          </cell>
        </row>
        <row r="6043">
          <cell r="K6043">
            <v>0</v>
          </cell>
          <cell r="M6043">
            <v>0</v>
          </cell>
          <cell r="P6043">
            <v>0</v>
          </cell>
        </row>
        <row r="6044">
          <cell r="K6044">
            <v>0</v>
          </cell>
          <cell r="M6044">
            <v>0</v>
          </cell>
          <cell r="P6044">
            <v>0</v>
          </cell>
        </row>
        <row r="6045">
          <cell r="K6045">
            <v>0</v>
          </cell>
          <cell r="M6045">
            <v>0</v>
          </cell>
          <cell r="P6045">
            <v>0</v>
          </cell>
        </row>
        <row r="6046">
          <cell r="K6046">
            <v>0</v>
          </cell>
          <cell r="M6046">
            <v>0</v>
          </cell>
          <cell r="P6046">
            <v>0</v>
          </cell>
        </row>
        <row r="6047">
          <cell r="K6047">
            <v>0</v>
          </cell>
          <cell r="M6047">
            <v>0</v>
          </cell>
          <cell r="P6047">
            <v>0</v>
          </cell>
        </row>
        <row r="6048">
          <cell r="K6048">
            <v>0</v>
          </cell>
          <cell r="M6048">
            <v>0</v>
          </cell>
          <cell r="P6048">
            <v>0</v>
          </cell>
        </row>
        <row r="6049">
          <cell r="K6049">
            <v>0</v>
          </cell>
          <cell r="M6049">
            <v>0</v>
          </cell>
          <cell r="P6049">
            <v>0</v>
          </cell>
        </row>
        <row r="6050">
          <cell r="K6050">
            <v>0</v>
          </cell>
          <cell r="M6050">
            <v>0</v>
          </cell>
          <cell r="P6050">
            <v>0</v>
          </cell>
        </row>
        <row r="6051">
          <cell r="K6051">
            <v>0</v>
          </cell>
          <cell r="M6051">
            <v>0</v>
          </cell>
          <cell r="P6051">
            <v>0</v>
          </cell>
        </row>
        <row r="6052">
          <cell r="K6052">
            <v>0</v>
          </cell>
          <cell r="M6052">
            <v>0</v>
          </cell>
          <cell r="P6052">
            <v>0</v>
          </cell>
        </row>
        <row r="6053">
          <cell r="K6053">
            <v>0</v>
          </cell>
          <cell r="M6053">
            <v>0</v>
          </cell>
          <cell r="P6053">
            <v>0</v>
          </cell>
        </row>
        <row r="6054">
          <cell r="K6054">
            <v>0</v>
          </cell>
          <cell r="M6054">
            <v>0</v>
          </cell>
          <cell r="P6054">
            <v>0</v>
          </cell>
        </row>
        <row r="6055">
          <cell r="K6055">
            <v>0</v>
          </cell>
          <cell r="M6055">
            <v>0</v>
          </cell>
          <cell r="P6055">
            <v>0</v>
          </cell>
        </row>
        <row r="6056">
          <cell r="K6056">
            <v>0</v>
          </cell>
          <cell r="M6056">
            <v>0</v>
          </cell>
          <cell r="P6056">
            <v>0</v>
          </cell>
        </row>
        <row r="6057">
          <cell r="K6057">
            <v>0</v>
          </cell>
          <cell r="M6057">
            <v>0</v>
          </cell>
          <cell r="P6057">
            <v>0</v>
          </cell>
        </row>
        <row r="6058">
          <cell r="K6058">
            <v>0</v>
          </cell>
          <cell r="M6058">
            <v>0</v>
          </cell>
          <cell r="P6058">
            <v>0</v>
          </cell>
        </row>
        <row r="6059">
          <cell r="K6059">
            <v>0</v>
          </cell>
          <cell r="M6059">
            <v>0</v>
          </cell>
          <cell r="P6059">
            <v>0</v>
          </cell>
        </row>
        <row r="6060">
          <cell r="K6060">
            <v>0</v>
          </cell>
          <cell r="M6060">
            <v>0</v>
          </cell>
          <cell r="P6060">
            <v>0</v>
          </cell>
        </row>
        <row r="6061">
          <cell r="K6061">
            <v>0</v>
          </cell>
          <cell r="M6061">
            <v>0</v>
          </cell>
          <cell r="P6061">
            <v>0</v>
          </cell>
        </row>
        <row r="6062">
          <cell r="K6062">
            <v>0</v>
          </cell>
          <cell r="M6062">
            <v>0</v>
          </cell>
          <cell r="P6062">
            <v>0</v>
          </cell>
        </row>
        <row r="6063">
          <cell r="K6063">
            <v>0</v>
          </cell>
          <cell r="M6063">
            <v>0</v>
          </cell>
          <cell r="P6063">
            <v>0</v>
          </cell>
        </row>
        <row r="6064">
          <cell r="K6064">
            <v>0</v>
          </cell>
          <cell r="M6064">
            <v>0</v>
          </cell>
          <cell r="P6064">
            <v>0</v>
          </cell>
        </row>
        <row r="6065">
          <cell r="K6065">
            <v>0</v>
          </cell>
          <cell r="M6065">
            <v>0</v>
          </cell>
          <cell r="P6065">
            <v>0</v>
          </cell>
        </row>
        <row r="6066">
          <cell r="K6066">
            <v>0</v>
          </cell>
          <cell r="M6066">
            <v>0</v>
          </cell>
          <cell r="P6066">
            <v>0</v>
          </cell>
        </row>
        <row r="6067">
          <cell r="K6067">
            <v>0</v>
          </cell>
          <cell r="M6067">
            <v>0</v>
          </cell>
          <cell r="P6067">
            <v>0</v>
          </cell>
        </row>
        <row r="6068">
          <cell r="K6068">
            <v>0</v>
          </cell>
          <cell r="M6068">
            <v>0</v>
          </cell>
          <cell r="P6068">
            <v>0</v>
          </cell>
        </row>
        <row r="6069">
          <cell r="K6069">
            <v>0</v>
          </cell>
          <cell r="M6069">
            <v>0</v>
          </cell>
          <cell r="P6069">
            <v>0</v>
          </cell>
        </row>
        <row r="6070">
          <cell r="K6070">
            <v>0</v>
          </cell>
          <cell r="M6070">
            <v>0</v>
          </cell>
          <cell r="P6070">
            <v>0</v>
          </cell>
        </row>
        <row r="6071">
          <cell r="K6071">
            <v>0</v>
          </cell>
          <cell r="M6071">
            <v>0</v>
          </cell>
          <cell r="P6071">
            <v>0</v>
          </cell>
        </row>
        <row r="6072">
          <cell r="K6072">
            <v>0</v>
          </cell>
          <cell r="M6072">
            <v>0</v>
          </cell>
          <cell r="P6072">
            <v>0</v>
          </cell>
        </row>
        <row r="6073">
          <cell r="K6073">
            <v>0</v>
          </cell>
          <cell r="M6073">
            <v>0</v>
          </cell>
          <cell r="P6073">
            <v>0</v>
          </cell>
        </row>
        <row r="6074">
          <cell r="K6074">
            <v>0</v>
          </cell>
          <cell r="M6074">
            <v>0</v>
          </cell>
          <cell r="P6074">
            <v>0</v>
          </cell>
        </row>
        <row r="6075">
          <cell r="K6075">
            <v>0</v>
          </cell>
          <cell r="M6075">
            <v>0</v>
          </cell>
          <cell r="P6075">
            <v>0</v>
          </cell>
        </row>
        <row r="6076">
          <cell r="K6076">
            <v>0</v>
          </cell>
          <cell r="M6076">
            <v>0</v>
          </cell>
          <cell r="P6076">
            <v>0</v>
          </cell>
        </row>
        <row r="6077">
          <cell r="K6077">
            <v>0</v>
          </cell>
          <cell r="M6077">
            <v>0</v>
          </cell>
          <cell r="P6077">
            <v>0</v>
          </cell>
        </row>
        <row r="6078">
          <cell r="K6078">
            <v>0</v>
          </cell>
          <cell r="M6078">
            <v>0</v>
          </cell>
          <cell r="P6078">
            <v>0</v>
          </cell>
        </row>
        <row r="6079">
          <cell r="K6079">
            <v>0</v>
          </cell>
          <cell r="M6079">
            <v>0</v>
          </cell>
          <cell r="P6079">
            <v>0</v>
          </cell>
        </row>
        <row r="6080">
          <cell r="K6080">
            <v>0</v>
          </cell>
          <cell r="M6080">
            <v>0</v>
          </cell>
          <cell r="P6080">
            <v>0</v>
          </cell>
        </row>
        <row r="6081">
          <cell r="K6081">
            <v>0</v>
          </cell>
          <cell r="M6081">
            <v>0</v>
          </cell>
          <cell r="P6081">
            <v>0</v>
          </cell>
        </row>
        <row r="6082">
          <cell r="K6082">
            <v>0</v>
          </cell>
          <cell r="M6082">
            <v>0</v>
          </cell>
          <cell r="P6082">
            <v>0</v>
          </cell>
        </row>
        <row r="6083">
          <cell r="K6083">
            <v>0</v>
          </cell>
          <cell r="M6083">
            <v>0</v>
          </cell>
          <cell r="P6083">
            <v>0</v>
          </cell>
        </row>
        <row r="6084">
          <cell r="K6084">
            <v>0</v>
          </cell>
          <cell r="M6084">
            <v>0</v>
          </cell>
          <cell r="P6084">
            <v>0</v>
          </cell>
        </row>
        <row r="6085">
          <cell r="K6085">
            <v>0</v>
          </cell>
          <cell r="M6085">
            <v>0</v>
          </cell>
          <cell r="P6085">
            <v>0</v>
          </cell>
        </row>
        <row r="6086">
          <cell r="K6086">
            <v>0</v>
          </cell>
          <cell r="M6086">
            <v>0</v>
          </cell>
          <cell r="P6086">
            <v>0</v>
          </cell>
        </row>
        <row r="6087">
          <cell r="K6087">
            <v>0</v>
          </cell>
          <cell r="M6087">
            <v>0</v>
          </cell>
          <cell r="P6087">
            <v>0</v>
          </cell>
        </row>
        <row r="6088">
          <cell r="K6088">
            <v>0</v>
          </cell>
          <cell r="M6088">
            <v>0</v>
          </cell>
          <cell r="P6088">
            <v>0</v>
          </cell>
        </row>
        <row r="6089">
          <cell r="K6089">
            <v>0</v>
          </cell>
          <cell r="M6089">
            <v>0</v>
          </cell>
          <cell r="P6089">
            <v>0</v>
          </cell>
        </row>
        <row r="6090">
          <cell r="K6090">
            <v>0</v>
          </cell>
          <cell r="M6090">
            <v>0</v>
          </cell>
          <cell r="P6090">
            <v>0</v>
          </cell>
        </row>
        <row r="6091">
          <cell r="K6091">
            <v>0</v>
          </cell>
          <cell r="M6091">
            <v>0</v>
          </cell>
          <cell r="P6091">
            <v>0</v>
          </cell>
        </row>
        <row r="6092">
          <cell r="K6092">
            <v>0</v>
          </cell>
          <cell r="M6092">
            <v>0</v>
          </cell>
          <cell r="P6092">
            <v>0</v>
          </cell>
        </row>
        <row r="6093">
          <cell r="K6093">
            <v>0</v>
          </cell>
          <cell r="M6093">
            <v>0</v>
          </cell>
          <cell r="P6093">
            <v>0</v>
          </cell>
        </row>
        <row r="6094">
          <cell r="K6094">
            <v>0</v>
          </cell>
          <cell r="M6094">
            <v>0</v>
          </cell>
          <cell r="P6094">
            <v>0</v>
          </cell>
        </row>
        <row r="6095">
          <cell r="K6095">
            <v>0</v>
          </cell>
          <cell r="M6095">
            <v>0</v>
          </cell>
          <cell r="P6095">
            <v>0</v>
          </cell>
        </row>
        <row r="6096">
          <cell r="K6096">
            <v>0</v>
          </cell>
          <cell r="M6096">
            <v>0</v>
          </cell>
          <cell r="P6096">
            <v>0</v>
          </cell>
        </row>
        <row r="6097">
          <cell r="K6097">
            <v>0</v>
          </cell>
          <cell r="M6097">
            <v>0</v>
          </cell>
          <cell r="P6097">
            <v>0</v>
          </cell>
        </row>
        <row r="6098">
          <cell r="K6098">
            <v>0</v>
          </cell>
          <cell r="M6098">
            <v>0</v>
          </cell>
          <cell r="P6098">
            <v>0</v>
          </cell>
        </row>
        <row r="6099">
          <cell r="K6099">
            <v>0</v>
          </cell>
          <cell r="M6099">
            <v>0</v>
          </cell>
          <cell r="P6099">
            <v>0</v>
          </cell>
        </row>
        <row r="6100">
          <cell r="K6100">
            <v>0</v>
          </cell>
          <cell r="M6100">
            <v>0</v>
          </cell>
          <cell r="P6100">
            <v>0</v>
          </cell>
        </row>
        <row r="6101">
          <cell r="K6101">
            <v>0</v>
          </cell>
          <cell r="M6101">
            <v>0</v>
          </cell>
          <cell r="P6101">
            <v>0</v>
          </cell>
        </row>
        <row r="6102">
          <cell r="K6102">
            <v>0</v>
          </cell>
          <cell r="M6102">
            <v>0</v>
          </cell>
          <cell r="P6102">
            <v>0</v>
          </cell>
        </row>
        <row r="6103">
          <cell r="K6103">
            <v>0</v>
          </cell>
          <cell r="M6103">
            <v>0</v>
          </cell>
          <cell r="P6103">
            <v>0</v>
          </cell>
        </row>
        <row r="6104">
          <cell r="K6104">
            <v>0</v>
          </cell>
          <cell r="M6104">
            <v>0</v>
          </cell>
          <cell r="P6104">
            <v>0</v>
          </cell>
        </row>
        <row r="6105">
          <cell r="K6105">
            <v>0</v>
          </cell>
          <cell r="M6105">
            <v>0</v>
          </cell>
          <cell r="P6105">
            <v>0</v>
          </cell>
        </row>
        <row r="6106">
          <cell r="K6106">
            <v>0</v>
          </cell>
          <cell r="M6106">
            <v>0</v>
          </cell>
          <cell r="P6106">
            <v>0</v>
          </cell>
        </row>
        <row r="6107">
          <cell r="K6107">
            <v>0</v>
          </cell>
          <cell r="M6107">
            <v>0</v>
          </cell>
          <cell r="P6107">
            <v>0</v>
          </cell>
        </row>
        <row r="6108">
          <cell r="K6108">
            <v>0</v>
          </cell>
          <cell r="M6108">
            <v>0</v>
          </cell>
          <cell r="P6108">
            <v>0</v>
          </cell>
        </row>
        <row r="6109">
          <cell r="K6109">
            <v>0</v>
          </cell>
          <cell r="M6109">
            <v>0</v>
          </cell>
          <cell r="P6109">
            <v>0</v>
          </cell>
        </row>
        <row r="6110">
          <cell r="K6110">
            <v>0</v>
          </cell>
          <cell r="M6110">
            <v>0</v>
          </cell>
          <cell r="P6110">
            <v>0</v>
          </cell>
        </row>
        <row r="6111">
          <cell r="K6111">
            <v>0</v>
          </cell>
          <cell r="M6111">
            <v>0</v>
          </cell>
          <cell r="P6111">
            <v>0</v>
          </cell>
        </row>
        <row r="6112">
          <cell r="K6112">
            <v>0</v>
          </cell>
          <cell r="M6112">
            <v>0</v>
          </cell>
          <cell r="P6112">
            <v>0</v>
          </cell>
        </row>
        <row r="6113">
          <cell r="K6113">
            <v>0</v>
          </cell>
          <cell r="M6113">
            <v>0</v>
          </cell>
          <cell r="P6113">
            <v>0</v>
          </cell>
        </row>
        <row r="6114">
          <cell r="K6114">
            <v>0</v>
          </cell>
          <cell r="M6114">
            <v>0</v>
          </cell>
          <cell r="P6114">
            <v>0</v>
          </cell>
        </row>
        <row r="6115">
          <cell r="K6115">
            <v>0</v>
          </cell>
          <cell r="M6115">
            <v>0</v>
          </cell>
          <cell r="P6115">
            <v>0</v>
          </cell>
        </row>
        <row r="6116">
          <cell r="K6116">
            <v>0</v>
          </cell>
          <cell r="M6116">
            <v>0</v>
          </cell>
          <cell r="P6116">
            <v>0</v>
          </cell>
        </row>
        <row r="6117">
          <cell r="K6117">
            <v>0</v>
          </cell>
          <cell r="M6117">
            <v>0</v>
          </cell>
          <cell r="P6117">
            <v>0</v>
          </cell>
        </row>
        <row r="6118">
          <cell r="K6118">
            <v>0</v>
          </cell>
          <cell r="M6118">
            <v>0</v>
          </cell>
          <cell r="P6118">
            <v>0</v>
          </cell>
        </row>
        <row r="6119">
          <cell r="K6119">
            <v>0</v>
          </cell>
          <cell r="M6119">
            <v>0</v>
          </cell>
          <cell r="P6119">
            <v>0</v>
          </cell>
        </row>
        <row r="6120">
          <cell r="K6120">
            <v>0</v>
          </cell>
          <cell r="M6120">
            <v>0</v>
          </cell>
          <cell r="P6120">
            <v>0</v>
          </cell>
        </row>
        <row r="6121">
          <cell r="K6121">
            <v>0</v>
          </cell>
          <cell r="M6121">
            <v>0</v>
          </cell>
          <cell r="P6121">
            <v>0</v>
          </cell>
        </row>
        <row r="6122">
          <cell r="K6122">
            <v>0</v>
          </cell>
          <cell r="M6122">
            <v>0</v>
          </cell>
          <cell r="P6122">
            <v>0</v>
          </cell>
        </row>
        <row r="6123">
          <cell r="K6123">
            <v>0</v>
          </cell>
          <cell r="M6123">
            <v>0</v>
          </cell>
          <cell r="P6123">
            <v>0</v>
          </cell>
        </row>
        <row r="6124">
          <cell r="K6124">
            <v>0</v>
          </cell>
          <cell r="M6124">
            <v>0</v>
          </cell>
          <cell r="P6124">
            <v>0</v>
          </cell>
        </row>
        <row r="6125">
          <cell r="K6125">
            <v>0</v>
          </cell>
          <cell r="M6125">
            <v>0</v>
          </cell>
          <cell r="P6125">
            <v>0</v>
          </cell>
        </row>
        <row r="6126">
          <cell r="K6126">
            <v>0</v>
          </cell>
          <cell r="M6126">
            <v>0</v>
          </cell>
          <cell r="P6126">
            <v>0</v>
          </cell>
        </row>
        <row r="6127">
          <cell r="K6127">
            <v>0</v>
          </cell>
          <cell r="M6127">
            <v>0</v>
          </cell>
          <cell r="P6127">
            <v>0</v>
          </cell>
        </row>
        <row r="6128">
          <cell r="K6128">
            <v>0</v>
          </cell>
          <cell r="M6128">
            <v>0</v>
          </cell>
          <cell r="P6128">
            <v>0</v>
          </cell>
        </row>
        <row r="6129">
          <cell r="K6129">
            <v>0</v>
          </cell>
          <cell r="M6129">
            <v>0</v>
          </cell>
          <cell r="P6129">
            <v>0</v>
          </cell>
        </row>
        <row r="6130">
          <cell r="K6130">
            <v>0</v>
          </cell>
          <cell r="M6130">
            <v>0</v>
          </cell>
          <cell r="P6130">
            <v>0</v>
          </cell>
        </row>
        <row r="6131">
          <cell r="K6131">
            <v>0</v>
          </cell>
          <cell r="M6131">
            <v>0</v>
          </cell>
          <cell r="P6131">
            <v>0</v>
          </cell>
        </row>
        <row r="6132">
          <cell r="K6132">
            <v>0</v>
          </cell>
          <cell r="M6132">
            <v>0</v>
          </cell>
          <cell r="P6132">
            <v>0</v>
          </cell>
        </row>
        <row r="6133">
          <cell r="K6133">
            <v>0</v>
          </cell>
          <cell r="M6133">
            <v>0</v>
          </cell>
          <cell r="P6133">
            <v>0</v>
          </cell>
        </row>
        <row r="6134">
          <cell r="K6134">
            <v>0</v>
          </cell>
          <cell r="M6134">
            <v>0</v>
          </cell>
          <cell r="P6134">
            <v>0</v>
          </cell>
        </row>
        <row r="6135">
          <cell r="K6135">
            <v>0</v>
          </cell>
          <cell r="M6135">
            <v>0</v>
          </cell>
          <cell r="P6135">
            <v>0</v>
          </cell>
        </row>
        <row r="6136">
          <cell r="K6136">
            <v>0</v>
          </cell>
          <cell r="M6136">
            <v>0</v>
          </cell>
          <cell r="P6136">
            <v>0</v>
          </cell>
        </row>
        <row r="6137">
          <cell r="K6137">
            <v>0</v>
          </cell>
          <cell r="M6137">
            <v>0</v>
          </cell>
          <cell r="P6137">
            <v>0</v>
          </cell>
        </row>
        <row r="6138">
          <cell r="K6138">
            <v>0</v>
          </cell>
          <cell r="M6138">
            <v>0</v>
          </cell>
          <cell r="P6138">
            <v>0</v>
          </cell>
        </row>
        <row r="6139">
          <cell r="K6139">
            <v>0</v>
          </cell>
          <cell r="M6139">
            <v>0</v>
          </cell>
          <cell r="P6139">
            <v>0</v>
          </cell>
        </row>
        <row r="6140">
          <cell r="K6140">
            <v>0</v>
          </cell>
          <cell r="M6140">
            <v>0</v>
          </cell>
          <cell r="P6140">
            <v>0</v>
          </cell>
        </row>
        <row r="6141">
          <cell r="K6141">
            <v>0</v>
          </cell>
          <cell r="M6141">
            <v>0</v>
          </cell>
          <cell r="P6141">
            <v>0</v>
          </cell>
        </row>
        <row r="6142">
          <cell r="K6142">
            <v>0</v>
          </cell>
          <cell r="M6142">
            <v>0</v>
          </cell>
          <cell r="P6142">
            <v>0</v>
          </cell>
        </row>
        <row r="6143">
          <cell r="K6143">
            <v>0</v>
          </cell>
          <cell r="M6143">
            <v>0</v>
          </cell>
          <cell r="P6143">
            <v>0</v>
          </cell>
        </row>
        <row r="6144">
          <cell r="K6144">
            <v>0</v>
          </cell>
          <cell r="M6144">
            <v>0</v>
          </cell>
          <cell r="P6144">
            <v>0</v>
          </cell>
        </row>
        <row r="6145">
          <cell r="K6145">
            <v>0</v>
          </cell>
          <cell r="M6145">
            <v>0</v>
          </cell>
          <cell r="P6145">
            <v>0</v>
          </cell>
        </row>
        <row r="6146">
          <cell r="K6146">
            <v>0</v>
          </cell>
          <cell r="M6146">
            <v>0</v>
          </cell>
          <cell r="P6146">
            <v>0</v>
          </cell>
        </row>
        <row r="6147">
          <cell r="K6147">
            <v>0</v>
          </cell>
          <cell r="M6147">
            <v>0</v>
          </cell>
          <cell r="P6147">
            <v>0</v>
          </cell>
        </row>
        <row r="6148">
          <cell r="K6148">
            <v>0</v>
          </cell>
          <cell r="M6148">
            <v>0</v>
          </cell>
          <cell r="P6148">
            <v>0</v>
          </cell>
        </row>
        <row r="6149">
          <cell r="K6149">
            <v>0</v>
          </cell>
          <cell r="M6149">
            <v>0</v>
          </cell>
          <cell r="P6149">
            <v>0</v>
          </cell>
        </row>
        <row r="6150">
          <cell r="K6150">
            <v>0</v>
          </cell>
          <cell r="M6150">
            <v>0</v>
          </cell>
          <cell r="P6150">
            <v>0</v>
          </cell>
        </row>
        <row r="6151">
          <cell r="K6151">
            <v>0</v>
          </cell>
          <cell r="M6151">
            <v>0</v>
          </cell>
          <cell r="P6151">
            <v>0</v>
          </cell>
        </row>
        <row r="6152">
          <cell r="K6152">
            <v>0</v>
          </cell>
          <cell r="M6152">
            <v>0</v>
          </cell>
          <cell r="P6152">
            <v>0</v>
          </cell>
        </row>
        <row r="6153">
          <cell r="K6153">
            <v>0</v>
          </cell>
          <cell r="M6153">
            <v>0</v>
          </cell>
          <cell r="P6153">
            <v>0</v>
          </cell>
        </row>
        <row r="6154">
          <cell r="K6154">
            <v>0</v>
          </cell>
          <cell r="M6154">
            <v>0</v>
          </cell>
          <cell r="P6154">
            <v>0</v>
          </cell>
        </row>
        <row r="6155">
          <cell r="K6155">
            <v>0</v>
          </cell>
          <cell r="M6155">
            <v>0</v>
          </cell>
          <cell r="P6155">
            <v>0</v>
          </cell>
        </row>
        <row r="6156">
          <cell r="K6156">
            <v>0</v>
          </cell>
          <cell r="M6156">
            <v>0</v>
          </cell>
          <cell r="P6156">
            <v>0</v>
          </cell>
        </row>
        <row r="6157">
          <cell r="K6157">
            <v>0</v>
          </cell>
          <cell r="M6157">
            <v>0</v>
          </cell>
          <cell r="P6157">
            <v>0</v>
          </cell>
        </row>
        <row r="6158">
          <cell r="K6158">
            <v>0</v>
          </cell>
          <cell r="M6158">
            <v>0</v>
          </cell>
          <cell r="P6158">
            <v>0</v>
          </cell>
        </row>
        <row r="6159">
          <cell r="K6159">
            <v>0</v>
          </cell>
          <cell r="M6159">
            <v>0</v>
          </cell>
          <cell r="P6159">
            <v>0</v>
          </cell>
        </row>
        <row r="6160">
          <cell r="K6160">
            <v>0</v>
          </cell>
          <cell r="M6160">
            <v>0</v>
          </cell>
          <cell r="P6160">
            <v>0</v>
          </cell>
        </row>
        <row r="6161">
          <cell r="K6161">
            <v>0</v>
          </cell>
          <cell r="M6161">
            <v>0</v>
          </cell>
          <cell r="P6161">
            <v>0</v>
          </cell>
        </row>
        <row r="6162">
          <cell r="K6162">
            <v>0</v>
          </cell>
          <cell r="M6162">
            <v>0</v>
          </cell>
          <cell r="P6162">
            <v>0</v>
          </cell>
        </row>
        <row r="6163">
          <cell r="K6163">
            <v>0</v>
          </cell>
          <cell r="M6163">
            <v>0</v>
          </cell>
          <cell r="P6163">
            <v>0</v>
          </cell>
        </row>
        <row r="6164">
          <cell r="K6164">
            <v>0</v>
          </cell>
          <cell r="M6164">
            <v>0</v>
          </cell>
          <cell r="P6164">
            <v>0</v>
          </cell>
        </row>
        <row r="6165">
          <cell r="K6165">
            <v>0</v>
          </cell>
          <cell r="M6165">
            <v>0</v>
          </cell>
          <cell r="P6165">
            <v>0</v>
          </cell>
        </row>
        <row r="6166">
          <cell r="K6166">
            <v>0</v>
          </cell>
          <cell r="M6166">
            <v>0</v>
          </cell>
          <cell r="P6166">
            <v>0</v>
          </cell>
        </row>
        <row r="6167">
          <cell r="K6167">
            <v>0</v>
          </cell>
          <cell r="M6167">
            <v>0</v>
          </cell>
          <cell r="P6167">
            <v>0</v>
          </cell>
        </row>
        <row r="6168">
          <cell r="K6168">
            <v>0</v>
          </cell>
          <cell r="M6168">
            <v>0</v>
          </cell>
          <cell r="P6168">
            <v>0</v>
          </cell>
        </row>
        <row r="6169">
          <cell r="K6169">
            <v>0</v>
          </cell>
          <cell r="M6169">
            <v>0</v>
          </cell>
          <cell r="P6169">
            <v>0</v>
          </cell>
        </row>
        <row r="6170">
          <cell r="K6170">
            <v>0</v>
          </cell>
          <cell r="M6170">
            <v>0</v>
          </cell>
          <cell r="P6170">
            <v>0</v>
          </cell>
        </row>
        <row r="6171">
          <cell r="K6171">
            <v>0</v>
          </cell>
          <cell r="M6171">
            <v>0</v>
          </cell>
          <cell r="P6171">
            <v>0</v>
          </cell>
        </row>
        <row r="6172">
          <cell r="K6172">
            <v>0</v>
          </cell>
          <cell r="M6172">
            <v>0</v>
          </cell>
          <cell r="P6172">
            <v>0</v>
          </cell>
        </row>
        <row r="6173">
          <cell r="K6173">
            <v>0</v>
          </cell>
          <cell r="M6173">
            <v>0</v>
          </cell>
          <cell r="P6173">
            <v>0</v>
          </cell>
        </row>
        <row r="6174">
          <cell r="K6174">
            <v>0</v>
          </cell>
          <cell r="M6174">
            <v>0</v>
          </cell>
          <cell r="P6174">
            <v>0</v>
          </cell>
        </row>
        <row r="6175">
          <cell r="K6175">
            <v>0</v>
          </cell>
          <cell r="M6175">
            <v>0</v>
          </cell>
          <cell r="P6175">
            <v>0</v>
          </cell>
        </row>
        <row r="6176">
          <cell r="K6176">
            <v>0</v>
          </cell>
          <cell r="M6176">
            <v>0</v>
          </cell>
          <cell r="P6176">
            <v>0</v>
          </cell>
        </row>
        <row r="6177">
          <cell r="K6177">
            <v>0</v>
          </cell>
          <cell r="M6177">
            <v>0</v>
          </cell>
          <cell r="P6177">
            <v>0</v>
          </cell>
        </row>
        <row r="6178">
          <cell r="K6178">
            <v>0</v>
          </cell>
          <cell r="M6178">
            <v>0</v>
          </cell>
          <cell r="P6178">
            <v>0</v>
          </cell>
        </row>
        <row r="6179">
          <cell r="K6179">
            <v>0</v>
          </cell>
          <cell r="M6179">
            <v>0</v>
          </cell>
          <cell r="P6179">
            <v>0</v>
          </cell>
        </row>
        <row r="6180">
          <cell r="K6180">
            <v>0</v>
          </cell>
          <cell r="M6180">
            <v>0</v>
          </cell>
          <cell r="P6180">
            <v>0</v>
          </cell>
        </row>
        <row r="6181">
          <cell r="K6181">
            <v>0</v>
          </cell>
          <cell r="M6181">
            <v>0</v>
          </cell>
          <cell r="P6181">
            <v>0</v>
          </cell>
        </row>
        <row r="6182">
          <cell r="K6182">
            <v>0</v>
          </cell>
          <cell r="M6182">
            <v>0</v>
          </cell>
          <cell r="P6182">
            <v>0</v>
          </cell>
        </row>
        <row r="6183">
          <cell r="K6183">
            <v>0</v>
          </cell>
          <cell r="M6183">
            <v>0</v>
          </cell>
          <cell r="P6183">
            <v>0</v>
          </cell>
        </row>
        <row r="6184">
          <cell r="K6184">
            <v>0</v>
          </cell>
          <cell r="M6184">
            <v>0</v>
          </cell>
          <cell r="P6184">
            <v>0</v>
          </cell>
        </row>
        <row r="6185">
          <cell r="K6185">
            <v>0</v>
          </cell>
          <cell r="M6185">
            <v>0</v>
          </cell>
          <cell r="P6185">
            <v>0</v>
          </cell>
        </row>
        <row r="6186">
          <cell r="K6186">
            <v>0</v>
          </cell>
          <cell r="M6186">
            <v>0</v>
          </cell>
          <cell r="P6186">
            <v>0</v>
          </cell>
        </row>
        <row r="6187">
          <cell r="K6187">
            <v>0</v>
          </cell>
          <cell r="M6187">
            <v>0</v>
          </cell>
          <cell r="P6187">
            <v>0</v>
          </cell>
        </row>
        <row r="6188">
          <cell r="K6188">
            <v>0</v>
          </cell>
          <cell r="M6188">
            <v>0</v>
          </cell>
          <cell r="P6188">
            <v>0</v>
          </cell>
        </row>
        <row r="6189">
          <cell r="K6189">
            <v>0</v>
          </cell>
          <cell r="M6189">
            <v>0</v>
          </cell>
          <cell r="P6189">
            <v>0</v>
          </cell>
        </row>
        <row r="6190">
          <cell r="K6190">
            <v>0</v>
          </cell>
          <cell r="M6190">
            <v>0</v>
          </cell>
          <cell r="P6190">
            <v>0</v>
          </cell>
        </row>
        <row r="6191">
          <cell r="K6191">
            <v>0</v>
          </cell>
          <cell r="M6191">
            <v>0</v>
          </cell>
          <cell r="P6191">
            <v>0</v>
          </cell>
        </row>
        <row r="6192">
          <cell r="K6192">
            <v>0</v>
          </cell>
          <cell r="M6192">
            <v>0</v>
          </cell>
          <cell r="P6192">
            <v>0</v>
          </cell>
        </row>
        <row r="6193">
          <cell r="K6193">
            <v>0</v>
          </cell>
          <cell r="M6193">
            <v>0</v>
          </cell>
          <cell r="P6193">
            <v>0</v>
          </cell>
        </row>
        <row r="6194">
          <cell r="K6194">
            <v>0</v>
          </cell>
          <cell r="M6194">
            <v>0</v>
          </cell>
          <cell r="P6194">
            <v>0</v>
          </cell>
        </row>
        <row r="6195">
          <cell r="K6195">
            <v>0</v>
          </cell>
          <cell r="M6195">
            <v>0</v>
          </cell>
          <cell r="P6195">
            <v>0</v>
          </cell>
        </row>
        <row r="6196">
          <cell r="K6196">
            <v>0</v>
          </cell>
          <cell r="M6196">
            <v>0</v>
          </cell>
          <cell r="P6196">
            <v>0</v>
          </cell>
        </row>
        <row r="6197">
          <cell r="K6197">
            <v>0</v>
          </cell>
          <cell r="M6197">
            <v>0</v>
          </cell>
          <cell r="P6197">
            <v>0</v>
          </cell>
        </row>
        <row r="6198">
          <cell r="K6198">
            <v>0</v>
          </cell>
          <cell r="M6198">
            <v>0</v>
          </cell>
          <cell r="P6198">
            <v>0</v>
          </cell>
        </row>
        <row r="6199">
          <cell r="K6199">
            <v>0</v>
          </cell>
          <cell r="M6199">
            <v>0</v>
          </cell>
          <cell r="P6199">
            <v>0</v>
          </cell>
        </row>
        <row r="6200">
          <cell r="K6200">
            <v>0</v>
          </cell>
          <cell r="M6200">
            <v>0</v>
          </cell>
          <cell r="P6200">
            <v>0</v>
          </cell>
        </row>
        <row r="6201">
          <cell r="K6201">
            <v>0</v>
          </cell>
          <cell r="M6201">
            <v>0</v>
          </cell>
          <cell r="P6201">
            <v>0</v>
          </cell>
        </row>
        <row r="6202">
          <cell r="K6202">
            <v>0</v>
          </cell>
          <cell r="M6202">
            <v>0</v>
          </cell>
          <cell r="P6202">
            <v>0</v>
          </cell>
        </row>
        <row r="6203">
          <cell r="K6203">
            <v>0</v>
          </cell>
          <cell r="M6203">
            <v>0</v>
          </cell>
          <cell r="P6203">
            <v>0</v>
          </cell>
        </row>
        <row r="6204">
          <cell r="K6204">
            <v>0</v>
          </cell>
          <cell r="M6204">
            <v>0</v>
          </cell>
          <cell r="P6204">
            <v>0</v>
          </cell>
        </row>
        <row r="6205">
          <cell r="K6205">
            <v>0</v>
          </cell>
          <cell r="M6205">
            <v>0</v>
          </cell>
          <cell r="P6205">
            <v>0</v>
          </cell>
        </row>
        <row r="6206">
          <cell r="K6206">
            <v>0</v>
          </cell>
          <cell r="M6206">
            <v>0</v>
          </cell>
          <cell r="P6206">
            <v>0</v>
          </cell>
        </row>
        <row r="6207">
          <cell r="K6207">
            <v>0</v>
          </cell>
          <cell r="M6207">
            <v>0</v>
          </cell>
          <cell r="P6207">
            <v>0</v>
          </cell>
        </row>
        <row r="6208">
          <cell r="K6208">
            <v>0</v>
          </cell>
          <cell r="M6208">
            <v>0</v>
          </cell>
          <cell r="P6208">
            <v>0</v>
          </cell>
        </row>
        <row r="6209">
          <cell r="K6209">
            <v>0</v>
          </cell>
          <cell r="M6209">
            <v>0</v>
          </cell>
          <cell r="P6209">
            <v>0</v>
          </cell>
        </row>
        <row r="6210">
          <cell r="K6210">
            <v>0</v>
          </cell>
          <cell r="M6210">
            <v>0</v>
          </cell>
          <cell r="P6210">
            <v>0</v>
          </cell>
        </row>
        <row r="6211">
          <cell r="K6211">
            <v>0</v>
          </cell>
          <cell r="M6211">
            <v>0</v>
          </cell>
          <cell r="P6211">
            <v>0</v>
          </cell>
        </row>
        <row r="6212">
          <cell r="K6212">
            <v>0</v>
          </cell>
          <cell r="M6212">
            <v>0</v>
          </cell>
          <cell r="P6212">
            <v>0</v>
          </cell>
        </row>
        <row r="6213">
          <cell r="K6213">
            <v>0</v>
          </cell>
          <cell r="M6213">
            <v>0</v>
          </cell>
          <cell r="P6213">
            <v>0</v>
          </cell>
        </row>
        <row r="6214">
          <cell r="K6214">
            <v>0</v>
          </cell>
          <cell r="M6214">
            <v>0</v>
          </cell>
          <cell r="P6214">
            <v>0</v>
          </cell>
        </row>
        <row r="6215">
          <cell r="K6215">
            <v>0</v>
          </cell>
          <cell r="M6215">
            <v>0</v>
          </cell>
          <cell r="P6215">
            <v>0</v>
          </cell>
        </row>
        <row r="6216">
          <cell r="K6216">
            <v>0</v>
          </cell>
          <cell r="M6216">
            <v>0</v>
          </cell>
          <cell r="P6216">
            <v>0</v>
          </cell>
        </row>
        <row r="6217">
          <cell r="K6217">
            <v>0</v>
          </cell>
          <cell r="M6217">
            <v>0</v>
          </cell>
          <cell r="P6217">
            <v>0</v>
          </cell>
        </row>
        <row r="6218">
          <cell r="K6218">
            <v>0</v>
          </cell>
          <cell r="M6218">
            <v>0</v>
          </cell>
          <cell r="P6218">
            <v>0</v>
          </cell>
        </row>
        <row r="6219">
          <cell r="K6219">
            <v>0</v>
          </cell>
          <cell r="M6219">
            <v>0</v>
          </cell>
          <cell r="P6219">
            <v>0</v>
          </cell>
        </row>
        <row r="6220">
          <cell r="K6220">
            <v>0</v>
          </cell>
          <cell r="M6220">
            <v>0</v>
          </cell>
          <cell r="P6220">
            <v>0</v>
          </cell>
        </row>
        <row r="6221">
          <cell r="K6221">
            <v>0</v>
          </cell>
          <cell r="M6221">
            <v>0</v>
          </cell>
          <cell r="P6221">
            <v>0</v>
          </cell>
        </row>
        <row r="6222">
          <cell r="K6222">
            <v>0</v>
          </cell>
          <cell r="M6222">
            <v>0</v>
          </cell>
          <cell r="P6222">
            <v>0</v>
          </cell>
        </row>
        <row r="6223">
          <cell r="K6223">
            <v>0</v>
          </cell>
          <cell r="M6223">
            <v>0</v>
          </cell>
          <cell r="P6223">
            <v>0</v>
          </cell>
        </row>
        <row r="6224">
          <cell r="K6224">
            <v>0</v>
          </cell>
          <cell r="M6224">
            <v>0</v>
          </cell>
          <cell r="P6224">
            <v>0</v>
          </cell>
        </row>
        <row r="6225">
          <cell r="K6225">
            <v>0</v>
          </cell>
          <cell r="M6225">
            <v>0</v>
          </cell>
          <cell r="P6225">
            <v>0</v>
          </cell>
        </row>
        <row r="6226">
          <cell r="K6226">
            <v>0</v>
          </cell>
          <cell r="M6226">
            <v>0</v>
          </cell>
          <cell r="P6226">
            <v>0</v>
          </cell>
        </row>
        <row r="6227">
          <cell r="K6227">
            <v>0</v>
          </cell>
          <cell r="M6227">
            <v>0</v>
          </cell>
          <cell r="P6227">
            <v>0</v>
          </cell>
        </row>
        <row r="6228">
          <cell r="K6228">
            <v>0</v>
          </cell>
          <cell r="M6228">
            <v>0</v>
          </cell>
          <cell r="P6228">
            <v>0</v>
          </cell>
        </row>
        <row r="6229">
          <cell r="K6229">
            <v>0</v>
          </cell>
          <cell r="M6229">
            <v>0</v>
          </cell>
          <cell r="P6229">
            <v>0</v>
          </cell>
        </row>
        <row r="6230">
          <cell r="K6230">
            <v>0</v>
          </cell>
          <cell r="M6230">
            <v>0</v>
          </cell>
          <cell r="P6230">
            <v>0</v>
          </cell>
        </row>
        <row r="6231">
          <cell r="K6231">
            <v>0</v>
          </cell>
          <cell r="M6231">
            <v>0</v>
          </cell>
          <cell r="P6231">
            <v>0</v>
          </cell>
        </row>
        <row r="6232">
          <cell r="K6232">
            <v>0</v>
          </cell>
          <cell r="M6232">
            <v>0</v>
          </cell>
          <cell r="P6232">
            <v>0</v>
          </cell>
        </row>
        <row r="6233">
          <cell r="K6233">
            <v>0</v>
          </cell>
          <cell r="M6233">
            <v>0</v>
          </cell>
          <cell r="P6233">
            <v>0</v>
          </cell>
        </row>
        <row r="6234">
          <cell r="K6234">
            <v>0</v>
          </cell>
          <cell r="M6234">
            <v>0</v>
          </cell>
          <cell r="P6234">
            <v>0</v>
          </cell>
        </row>
        <row r="6235">
          <cell r="K6235">
            <v>0</v>
          </cell>
          <cell r="M6235">
            <v>0</v>
          </cell>
          <cell r="P6235">
            <v>0</v>
          </cell>
        </row>
        <row r="6236">
          <cell r="K6236">
            <v>0</v>
          </cell>
          <cell r="M6236">
            <v>0</v>
          </cell>
          <cell r="P6236">
            <v>0</v>
          </cell>
        </row>
        <row r="6237">
          <cell r="K6237">
            <v>0</v>
          </cell>
          <cell r="M6237">
            <v>0</v>
          </cell>
          <cell r="P6237">
            <v>0</v>
          </cell>
        </row>
        <row r="6238">
          <cell r="K6238">
            <v>0</v>
          </cell>
          <cell r="M6238">
            <v>0</v>
          </cell>
          <cell r="P6238">
            <v>0</v>
          </cell>
        </row>
        <row r="6239">
          <cell r="K6239">
            <v>0</v>
          </cell>
          <cell r="M6239">
            <v>0</v>
          </cell>
          <cell r="P6239">
            <v>0</v>
          </cell>
        </row>
        <row r="6240">
          <cell r="K6240">
            <v>0</v>
          </cell>
          <cell r="M6240">
            <v>0</v>
          </cell>
          <cell r="P6240">
            <v>0</v>
          </cell>
        </row>
        <row r="6241">
          <cell r="K6241">
            <v>0</v>
          </cell>
          <cell r="M6241">
            <v>0</v>
          </cell>
          <cell r="P6241">
            <v>0</v>
          </cell>
        </row>
        <row r="6242">
          <cell r="K6242">
            <v>0</v>
          </cell>
          <cell r="M6242">
            <v>0</v>
          </cell>
          <cell r="P6242">
            <v>0</v>
          </cell>
        </row>
        <row r="6243">
          <cell r="K6243">
            <v>0</v>
          </cell>
          <cell r="M6243">
            <v>0</v>
          </cell>
          <cell r="P6243">
            <v>0</v>
          </cell>
        </row>
        <row r="6244">
          <cell r="K6244">
            <v>0</v>
          </cell>
          <cell r="M6244">
            <v>0</v>
          </cell>
          <cell r="P6244">
            <v>0</v>
          </cell>
        </row>
        <row r="6245">
          <cell r="K6245">
            <v>0</v>
          </cell>
          <cell r="M6245">
            <v>0</v>
          </cell>
          <cell r="P6245">
            <v>0</v>
          </cell>
        </row>
        <row r="6246">
          <cell r="K6246">
            <v>0</v>
          </cell>
          <cell r="M6246">
            <v>0</v>
          </cell>
          <cell r="P6246">
            <v>0</v>
          </cell>
        </row>
        <row r="6247">
          <cell r="K6247">
            <v>0</v>
          </cell>
          <cell r="M6247">
            <v>0</v>
          </cell>
          <cell r="P6247">
            <v>0</v>
          </cell>
        </row>
        <row r="6248">
          <cell r="K6248">
            <v>0</v>
          </cell>
          <cell r="M6248">
            <v>0</v>
          </cell>
          <cell r="P6248">
            <v>0</v>
          </cell>
        </row>
        <row r="6249">
          <cell r="K6249">
            <v>0</v>
          </cell>
          <cell r="M6249">
            <v>0</v>
          </cell>
          <cell r="P6249">
            <v>0</v>
          </cell>
        </row>
        <row r="6250">
          <cell r="K6250">
            <v>0</v>
          </cell>
          <cell r="M6250">
            <v>0</v>
          </cell>
          <cell r="P6250">
            <v>0</v>
          </cell>
        </row>
        <row r="6251">
          <cell r="K6251">
            <v>0</v>
          </cell>
          <cell r="M6251">
            <v>0</v>
          </cell>
          <cell r="P6251">
            <v>0</v>
          </cell>
        </row>
        <row r="6252">
          <cell r="K6252">
            <v>0</v>
          </cell>
          <cell r="M6252">
            <v>0</v>
          </cell>
          <cell r="P6252">
            <v>0</v>
          </cell>
        </row>
        <row r="6253">
          <cell r="K6253">
            <v>0</v>
          </cell>
          <cell r="M6253">
            <v>0</v>
          </cell>
          <cell r="P6253">
            <v>0</v>
          </cell>
        </row>
        <row r="6254">
          <cell r="K6254">
            <v>0</v>
          </cell>
          <cell r="M6254">
            <v>0</v>
          </cell>
          <cell r="P6254">
            <v>0</v>
          </cell>
        </row>
        <row r="6255">
          <cell r="K6255">
            <v>0</v>
          </cell>
          <cell r="M6255">
            <v>0</v>
          </cell>
          <cell r="P6255">
            <v>0</v>
          </cell>
        </row>
        <row r="6256">
          <cell r="K6256">
            <v>0</v>
          </cell>
          <cell r="M6256">
            <v>0</v>
          </cell>
          <cell r="P6256">
            <v>0</v>
          </cell>
        </row>
        <row r="6257">
          <cell r="K6257">
            <v>0</v>
          </cell>
          <cell r="M6257">
            <v>0</v>
          </cell>
          <cell r="P6257">
            <v>0</v>
          </cell>
        </row>
        <row r="6258">
          <cell r="K6258">
            <v>0</v>
          </cell>
          <cell r="M6258">
            <v>0</v>
          </cell>
          <cell r="P6258">
            <v>0</v>
          </cell>
        </row>
        <row r="6259">
          <cell r="K6259">
            <v>0</v>
          </cell>
          <cell r="M6259">
            <v>0</v>
          </cell>
          <cell r="P6259">
            <v>0</v>
          </cell>
        </row>
        <row r="6260">
          <cell r="K6260">
            <v>0</v>
          </cell>
          <cell r="M6260">
            <v>0</v>
          </cell>
          <cell r="P6260">
            <v>0</v>
          </cell>
        </row>
        <row r="6261">
          <cell r="K6261">
            <v>0</v>
          </cell>
          <cell r="M6261">
            <v>0</v>
          </cell>
          <cell r="P6261">
            <v>0</v>
          </cell>
        </row>
        <row r="6262">
          <cell r="K6262">
            <v>0</v>
          </cell>
          <cell r="M6262">
            <v>0</v>
          </cell>
          <cell r="P6262">
            <v>0</v>
          </cell>
        </row>
        <row r="6263">
          <cell r="K6263">
            <v>0</v>
          </cell>
          <cell r="M6263">
            <v>0</v>
          </cell>
          <cell r="P6263">
            <v>0</v>
          </cell>
        </row>
        <row r="6264">
          <cell r="K6264">
            <v>0</v>
          </cell>
          <cell r="M6264">
            <v>0</v>
          </cell>
          <cell r="P6264">
            <v>0</v>
          </cell>
        </row>
        <row r="6265">
          <cell r="K6265">
            <v>0</v>
          </cell>
          <cell r="M6265">
            <v>0</v>
          </cell>
          <cell r="P6265">
            <v>0</v>
          </cell>
        </row>
        <row r="6266">
          <cell r="K6266">
            <v>0</v>
          </cell>
          <cell r="M6266">
            <v>0</v>
          </cell>
          <cell r="P6266">
            <v>0</v>
          </cell>
        </row>
        <row r="6267">
          <cell r="K6267">
            <v>0</v>
          </cell>
          <cell r="M6267">
            <v>0</v>
          </cell>
          <cell r="P6267">
            <v>0</v>
          </cell>
        </row>
        <row r="6268">
          <cell r="K6268">
            <v>0</v>
          </cell>
          <cell r="M6268">
            <v>0</v>
          </cell>
          <cell r="P6268">
            <v>0</v>
          </cell>
        </row>
        <row r="6269">
          <cell r="K6269">
            <v>0</v>
          </cell>
          <cell r="M6269">
            <v>0</v>
          </cell>
          <cell r="P6269">
            <v>0</v>
          </cell>
        </row>
        <row r="6270">
          <cell r="K6270">
            <v>0</v>
          </cell>
          <cell r="M6270">
            <v>0</v>
          </cell>
          <cell r="P6270">
            <v>0</v>
          </cell>
        </row>
        <row r="6271">
          <cell r="K6271">
            <v>0</v>
          </cell>
          <cell r="M6271">
            <v>0</v>
          </cell>
          <cell r="P6271">
            <v>0</v>
          </cell>
        </row>
        <row r="6272">
          <cell r="K6272">
            <v>0</v>
          </cell>
          <cell r="M6272">
            <v>0</v>
          </cell>
          <cell r="P6272">
            <v>0</v>
          </cell>
        </row>
        <row r="6273">
          <cell r="K6273">
            <v>0</v>
          </cell>
          <cell r="M6273">
            <v>0</v>
          </cell>
          <cell r="P6273">
            <v>0</v>
          </cell>
        </row>
        <row r="6274">
          <cell r="K6274">
            <v>0</v>
          </cell>
          <cell r="M6274">
            <v>0</v>
          </cell>
          <cell r="P6274">
            <v>0</v>
          </cell>
        </row>
        <row r="6275">
          <cell r="K6275">
            <v>0</v>
          </cell>
          <cell r="M6275">
            <v>0</v>
          </cell>
          <cell r="P6275">
            <v>0</v>
          </cell>
        </row>
        <row r="6276">
          <cell r="K6276">
            <v>0</v>
          </cell>
          <cell r="M6276">
            <v>0</v>
          </cell>
          <cell r="P6276">
            <v>0</v>
          </cell>
        </row>
        <row r="6277">
          <cell r="K6277">
            <v>0</v>
          </cell>
          <cell r="M6277">
            <v>0</v>
          </cell>
          <cell r="P6277">
            <v>0</v>
          </cell>
        </row>
        <row r="6278">
          <cell r="K6278">
            <v>0</v>
          </cell>
          <cell r="M6278">
            <v>0</v>
          </cell>
          <cell r="P6278">
            <v>0</v>
          </cell>
        </row>
        <row r="6279">
          <cell r="K6279">
            <v>0</v>
          </cell>
          <cell r="M6279">
            <v>0</v>
          </cell>
          <cell r="P6279">
            <v>0</v>
          </cell>
        </row>
        <row r="6280">
          <cell r="K6280">
            <v>0</v>
          </cell>
          <cell r="M6280">
            <v>0</v>
          </cell>
          <cell r="P6280">
            <v>0</v>
          </cell>
        </row>
        <row r="6281">
          <cell r="K6281">
            <v>0</v>
          </cell>
          <cell r="M6281">
            <v>0</v>
          </cell>
          <cell r="P6281">
            <v>0</v>
          </cell>
        </row>
        <row r="6282">
          <cell r="K6282">
            <v>0</v>
          </cell>
          <cell r="M6282">
            <v>0</v>
          </cell>
          <cell r="P6282">
            <v>0</v>
          </cell>
        </row>
        <row r="6283">
          <cell r="K6283">
            <v>0</v>
          </cell>
          <cell r="M6283">
            <v>0</v>
          </cell>
          <cell r="P6283">
            <v>0</v>
          </cell>
        </row>
        <row r="6284">
          <cell r="K6284">
            <v>0</v>
          </cell>
          <cell r="M6284">
            <v>0</v>
          </cell>
          <cell r="P6284">
            <v>0</v>
          </cell>
        </row>
        <row r="6285">
          <cell r="K6285">
            <v>0</v>
          </cell>
          <cell r="M6285">
            <v>0</v>
          </cell>
          <cell r="P6285">
            <v>0</v>
          </cell>
        </row>
        <row r="6286">
          <cell r="K6286">
            <v>0</v>
          </cell>
          <cell r="M6286">
            <v>0</v>
          </cell>
          <cell r="P6286">
            <v>0</v>
          </cell>
        </row>
        <row r="6287">
          <cell r="K6287">
            <v>0</v>
          </cell>
          <cell r="M6287">
            <v>0</v>
          </cell>
          <cell r="P6287">
            <v>0</v>
          </cell>
        </row>
        <row r="6288">
          <cell r="K6288">
            <v>0</v>
          </cell>
          <cell r="M6288">
            <v>0</v>
          </cell>
          <cell r="P6288">
            <v>0</v>
          </cell>
        </row>
        <row r="6289">
          <cell r="K6289">
            <v>0</v>
          </cell>
          <cell r="M6289">
            <v>0</v>
          </cell>
          <cell r="P6289">
            <v>0</v>
          </cell>
        </row>
        <row r="6290">
          <cell r="K6290">
            <v>0</v>
          </cell>
          <cell r="M6290">
            <v>0</v>
          </cell>
          <cell r="P6290">
            <v>0</v>
          </cell>
        </row>
        <row r="6291">
          <cell r="K6291">
            <v>0</v>
          </cell>
          <cell r="M6291">
            <v>0</v>
          </cell>
          <cell r="P6291">
            <v>0</v>
          </cell>
        </row>
        <row r="6292">
          <cell r="K6292">
            <v>0</v>
          </cell>
          <cell r="M6292">
            <v>0</v>
          </cell>
          <cell r="P6292">
            <v>0</v>
          </cell>
        </row>
        <row r="6293">
          <cell r="K6293">
            <v>0</v>
          </cell>
          <cell r="M6293">
            <v>0</v>
          </cell>
          <cell r="P6293">
            <v>0</v>
          </cell>
        </row>
        <row r="6294">
          <cell r="K6294">
            <v>0</v>
          </cell>
          <cell r="M6294">
            <v>0</v>
          </cell>
          <cell r="P6294">
            <v>0</v>
          </cell>
        </row>
        <row r="6295">
          <cell r="K6295">
            <v>0</v>
          </cell>
          <cell r="M6295">
            <v>0</v>
          </cell>
          <cell r="P6295">
            <v>0</v>
          </cell>
        </row>
        <row r="6296">
          <cell r="K6296">
            <v>0</v>
          </cell>
          <cell r="M6296">
            <v>0</v>
          </cell>
          <cell r="P6296">
            <v>0</v>
          </cell>
        </row>
        <row r="6297">
          <cell r="K6297">
            <v>0</v>
          </cell>
          <cell r="M6297">
            <v>0</v>
          </cell>
          <cell r="P6297">
            <v>0</v>
          </cell>
        </row>
        <row r="6298">
          <cell r="K6298">
            <v>0</v>
          </cell>
          <cell r="M6298">
            <v>0</v>
          </cell>
          <cell r="P6298">
            <v>0</v>
          </cell>
        </row>
        <row r="6299">
          <cell r="K6299">
            <v>0</v>
          </cell>
          <cell r="M6299">
            <v>0</v>
          </cell>
          <cell r="P6299">
            <v>0</v>
          </cell>
        </row>
        <row r="6300">
          <cell r="K6300">
            <v>0</v>
          </cell>
          <cell r="M6300">
            <v>0</v>
          </cell>
          <cell r="P6300">
            <v>0</v>
          </cell>
        </row>
        <row r="6301">
          <cell r="K6301">
            <v>0</v>
          </cell>
          <cell r="M6301">
            <v>0</v>
          </cell>
          <cell r="P6301">
            <v>0</v>
          </cell>
        </row>
        <row r="6302">
          <cell r="K6302">
            <v>0</v>
          </cell>
          <cell r="M6302">
            <v>0</v>
          </cell>
          <cell r="P6302">
            <v>0</v>
          </cell>
        </row>
        <row r="6303">
          <cell r="K6303">
            <v>0</v>
          </cell>
          <cell r="M6303">
            <v>0</v>
          </cell>
          <cell r="P6303">
            <v>0</v>
          </cell>
        </row>
        <row r="6304">
          <cell r="K6304">
            <v>0</v>
          </cell>
          <cell r="M6304">
            <v>0</v>
          </cell>
          <cell r="P6304">
            <v>0</v>
          </cell>
        </row>
        <row r="6305">
          <cell r="K6305">
            <v>0</v>
          </cell>
          <cell r="M6305">
            <v>0</v>
          </cell>
          <cell r="P6305">
            <v>0</v>
          </cell>
        </row>
        <row r="6306">
          <cell r="K6306">
            <v>0</v>
          </cell>
          <cell r="M6306">
            <v>0</v>
          </cell>
          <cell r="P6306">
            <v>0</v>
          </cell>
        </row>
        <row r="6307">
          <cell r="K6307">
            <v>0</v>
          </cell>
          <cell r="M6307">
            <v>0</v>
          </cell>
          <cell r="P6307">
            <v>0</v>
          </cell>
        </row>
        <row r="6308">
          <cell r="K6308">
            <v>0</v>
          </cell>
          <cell r="M6308">
            <v>0</v>
          </cell>
          <cell r="P6308">
            <v>0</v>
          </cell>
        </row>
        <row r="6309">
          <cell r="K6309">
            <v>0</v>
          </cell>
          <cell r="M6309">
            <v>0</v>
          </cell>
          <cell r="P6309">
            <v>0</v>
          </cell>
        </row>
        <row r="6310">
          <cell r="K6310">
            <v>0</v>
          </cell>
          <cell r="M6310">
            <v>0</v>
          </cell>
          <cell r="P6310">
            <v>0</v>
          </cell>
        </row>
        <row r="6311">
          <cell r="K6311">
            <v>0</v>
          </cell>
          <cell r="M6311">
            <v>0</v>
          </cell>
          <cell r="P6311">
            <v>0</v>
          </cell>
        </row>
        <row r="6312">
          <cell r="K6312">
            <v>0</v>
          </cell>
          <cell r="M6312">
            <v>0</v>
          </cell>
          <cell r="P6312">
            <v>0</v>
          </cell>
        </row>
        <row r="6313">
          <cell r="K6313">
            <v>0</v>
          </cell>
          <cell r="M6313">
            <v>0</v>
          </cell>
          <cell r="P6313">
            <v>0</v>
          </cell>
        </row>
        <row r="6314">
          <cell r="K6314">
            <v>0</v>
          </cell>
          <cell r="M6314">
            <v>0</v>
          </cell>
          <cell r="P6314">
            <v>0</v>
          </cell>
        </row>
        <row r="6315">
          <cell r="K6315">
            <v>0</v>
          </cell>
          <cell r="M6315">
            <v>0</v>
          </cell>
          <cell r="P6315">
            <v>0</v>
          </cell>
        </row>
        <row r="6316">
          <cell r="K6316">
            <v>0</v>
          </cell>
          <cell r="M6316">
            <v>0</v>
          </cell>
          <cell r="P6316">
            <v>0</v>
          </cell>
        </row>
        <row r="6317">
          <cell r="K6317">
            <v>0</v>
          </cell>
          <cell r="M6317">
            <v>0</v>
          </cell>
          <cell r="P6317">
            <v>0</v>
          </cell>
        </row>
        <row r="6318">
          <cell r="K6318">
            <v>0</v>
          </cell>
          <cell r="M6318">
            <v>0</v>
          </cell>
          <cell r="P6318">
            <v>0</v>
          </cell>
        </row>
        <row r="6319">
          <cell r="K6319">
            <v>0</v>
          </cell>
          <cell r="M6319">
            <v>0</v>
          </cell>
          <cell r="P6319">
            <v>0</v>
          </cell>
        </row>
        <row r="6320">
          <cell r="K6320">
            <v>0</v>
          </cell>
          <cell r="M6320">
            <v>0</v>
          </cell>
          <cell r="P6320">
            <v>0</v>
          </cell>
        </row>
        <row r="6321">
          <cell r="K6321">
            <v>0</v>
          </cell>
          <cell r="M6321">
            <v>0</v>
          </cell>
          <cell r="P6321">
            <v>0</v>
          </cell>
        </row>
        <row r="6322">
          <cell r="K6322">
            <v>0</v>
          </cell>
          <cell r="M6322">
            <v>0</v>
          </cell>
          <cell r="P6322">
            <v>0</v>
          </cell>
        </row>
        <row r="6323">
          <cell r="K6323">
            <v>0</v>
          </cell>
          <cell r="M6323">
            <v>0</v>
          </cell>
          <cell r="P6323">
            <v>0</v>
          </cell>
        </row>
        <row r="6324">
          <cell r="K6324">
            <v>0</v>
          </cell>
          <cell r="M6324">
            <v>0</v>
          </cell>
          <cell r="P6324">
            <v>0</v>
          </cell>
        </row>
        <row r="6325">
          <cell r="K6325">
            <v>0</v>
          </cell>
          <cell r="M6325">
            <v>0</v>
          </cell>
          <cell r="P6325">
            <v>0</v>
          </cell>
        </row>
        <row r="6326">
          <cell r="K6326">
            <v>0</v>
          </cell>
          <cell r="M6326">
            <v>0</v>
          </cell>
          <cell r="P6326">
            <v>0</v>
          </cell>
        </row>
        <row r="6327">
          <cell r="K6327">
            <v>0</v>
          </cell>
          <cell r="M6327">
            <v>0</v>
          </cell>
          <cell r="P6327">
            <v>0</v>
          </cell>
        </row>
        <row r="6328">
          <cell r="K6328">
            <v>0</v>
          </cell>
          <cell r="M6328">
            <v>0</v>
          </cell>
          <cell r="P6328">
            <v>0</v>
          </cell>
        </row>
        <row r="6329">
          <cell r="K6329">
            <v>0</v>
          </cell>
          <cell r="M6329">
            <v>0</v>
          </cell>
          <cell r="P6329">
            <v>0</v>
          </cell>
        </row>
        <row r="6330">
          <cell r="K6330">
            <v>0</v>
          </cell>
          <cell r="M6330">
            <v>0</v>
          </cell>
          <cell r="P6330">
            <v>0</v>
          </cell>
        </row>
        <row r="6331">
          <cell r="K6331">
            <v>0</v>
          </cell>
          <cell r="M6331">
            <v>0</v>
          </cell>
          <cell r="P6331">
            <v>0</v>
          </cell>
        </row>
        <row r="6332">
          <cell r="K6332">
            <v>0</v>
          </cell>
          <cell r="M6332">
            <v>0</v>
          </cell>
          <cell r="P6332">
            <v>0</v>
          </cell>
        </row>
        <row r="6333">
          <cell r="K6333">
            <v>0</v>
          </cell>
          <cell r="M6333">
            <v>0</v>
          </cell>
          <cell r="P6333">
            <v>0</v>
          </cell>
        </row>
        <row r="6334">
          <cell r="K6334">
            <v>0</v>
          </cell>
          <cell r="M6334">
            <v>0</v>
          </cell>
          <cell r="P6334">
            <v>0</v>
          </cell>
        </row>
        <row r="6335">
          <cell r="K6335">
            <v>0</v>
          </cell>
          <cell r="M6335">
            <v>0</v>
          </cell>
          <cell r="P6335">
            <v>0</v>
          </cell>
        </row>
        <row r="6336">
          <cell r="K6336">
            <v>0</v>
          </cell>
          <cell r="M6336">
            <v>0</v>
          </cell>
          <cell r="P6336">
            <v>0</v>
          </cell>
        </row>
        <row r="6337">
          <cell r="K6337">
            <v>0</v>
          </cell>
          <cell r="M6337">
            <v>0</v>
          </cell>
          <cell r="P6337">
            <v>0</v>
          </cell>
        </row>
        <row r="6338">
          <cell r="K6338">
            <v>0</v>
          </cell>
          <cell r="M6338">
            <v>0</v>
          </cell>
          <cell r="P6338">
            <v>0</v>
          </cell>
        </row>
        <row r="6339">
          <cell r="K6339">
            <v>0</v>
          </cell>
          <cell r="M6339">
            <v>0</v>
          </cell>
          <cell r="P6339">
            <v>0</v>
          </cell>
        </row>
        <row r="6340">
          <cell r="K6340">
            <v>0</v>
          </cell>
          <cell r="M6340">
            <v>0</v>
          </cell>
          <cell r="P6340">
            <v>0</v>
          </cell>
        </row>
        <row r="6341">
          <cell r="K6341">
            <v>0</v>
          </cell>
          <cell r="M6341">
            <v>0</v>
          </cell>
          <cell r="P6341">
            <v>0</v>
          </cell>
        </row>
        <row r="6342">
          <cell r="K6342">
            <v>0</v>
          </cell>
          <cell r="M6342">
            <v>0</v>
          </cell>
          <cell r="P6342">
            <v>0</v>
          </cell>
        </row>
        <row r="6343">
          <cell r="K6343">
            <v>0</v>
          </cell>
          <cell r="M6343">
            <v>0</v>
          </cell>
          <cell r="P6343">
            <v>0</v>
          </cell>
        </row>
        <row r="6344">
          <cell r="K6344">
            <v>0</v>
          </cell>
          <cell r="M6344">
            <v>0</v>
          </cell>
          <cell r="P6344">
            <v>0</v>
          </cell>
        </row>
        <row r="6345">
          <cell r="K6345">
            <v>0</v>
          </cell>
          <cell r="M6345">
            <v>0</v>
          </cell>
          <cell r="P6345">
            <v>0</v>
          </cell>
        </row>
        <row r="6346">
          <cell r="K6346">
            <v>0</v>
          </cell>
          <cell r="M6346">
            <v>0</v>
          </cell>
          <cell r="P6346">
            <v>0</v>
          </cell>
        </row>
        <row r="6347">
          <cell r="K6347">
            <v>0</v>
          </cell>
          <cell r="M6347">
            <v>0</v>
          </cell>
          <cell r="P6347">
            <v>0</v>
          </cell>
        </row>
        <row r="6348">
          <cell r="K6348">
            <v>0</v>
          </cell>
          <cell r="M6348">
            <v>0</v>
          </cell>
          <cell r="P6348">
            <v>0</v>
          </cell>
        </row>
        <row r="6349">
          <cell r="K6349">
            <v>0</v>
          </cell>
          <cell r="M6349">
            <v>0</v>
          </cell>
          <cell r="P6349">
            <v>0</v>
          </cell>
        </row>
        <row r="6350">
          <cell r="K6350">
            <v>0</v>
          </cell>
          <cell r="M6350">
            <v>0</v>
          </cell>
          <cell r="P6350">
            <v>0</v>
          </cell>
        </row>
        <row r="6351">
          <cell r="K6351">
            <v>0</v>
          </cell>
          <cell r="M6351">
            <v>0</v>
          </cell>
          <cell r="P6351">
            <v>0</v>
          </cell>
        </row>
        <row r="6352">
          <cell r="K6352">
            <v>0</v>
          </cell>
          <cell r="M6352">
            <v>0</v>
          </cell>
          <cell r="P6352">
            <v>0</v>
          </cell>
        </row>
        <row r="6353">
          <cell r="K6353">
            <v>0</v>
          </cell>
          <cell r="M6353">
            <v>0</v>
          </cell>
          <cell r="P6353">
            <v>0</v>
          </cell>
        </row>
        <row r="6354">
          <cell r="K6354">
            <v>0</v>
          </cell>
          <cell r="M6354">
            <v>0</v>
          </cell>
          <cell r="P6354">
            <v>0</v>
          </cell>
        </row>
        <row r="6355">
          <cell r="K6355">
            <v>0</v>
          </cell>
          <cell r="M6355">
            <v>0</v>
          </cell>
          <cell r="P6355">
            <v>0</v>
          </cell>
        </row>
        <row r="6356">
          <cell r="K6356">
            <v>0</v>
          </cell>
          <cell r="M6356">
            <v>0</v>
          </cell>
          <cell r="P6356">
            <v>0</v>
          </cell>
        </row>
        <row r="6357">
          <cell r="K6357">
            <v>0</v>
          </cell>
          <cell r="M6357">
            <v>0</v>
          </cell>
          <cell r="P6357">
            <v>0</v>
          </cell>
        </row>
        <row r="6358">
          <cell r="K6358">
            <v>0</v>
          </cell>
          <cell r="M6358">
            <v>0</v>
          </cell>
          <cell r="P6358">
            <v>0</v>
          </cell>
        </row>
        <row r="6359">
          <cell r="K6359">
            <v>0</v>
          </cell>
          <cell r="M6359">
            <v>0</v>
          </cell>
          <cell r="P6359">
            <v>0</v>
          </cell>
        </row>
        <row r="6360">
          <cell r="K6360">
            <v>0</v>
          </cell>
          <cell r="M6360">
            <v>0</v>
          </cell>
          <cell r="P6360">
            <v>0</v>
          </cell>
        </row>
        <row r="6361">
          <cell r="K6361">
            <v>0</v>
          </cell>
          <cell r="M6361">
            <v>0</v>
          </cell>
          <cell r="P6361">
            <v>0</v>
          </cell>
        </row>
        <row r="6362">
          <cell r="K6362">
            <v>0</v>
          </cell>
          <cell r="M6362">
            <v>0</v>
          </cell>
          <cell r="P6362">
            <v>0</v>
          </cell>
        </row>
        <row r="6363">
          <cell r="K6363">
            <v>0</v>
          </cell>
          <cell r="M6363">
            <v>0</v>
          </cell>
          <cell r="P6363">
            <v>0</v>
          </cell>
        </row>
        <row r="6364">
          <cell r="K6364">
            <v>0</v>
          </cell>
          <cell r="M6364">
            <v>0</v>
          </cell>
          <cell r="P6364">
            <v>0</v>
          </cell>
        </row>
        <row r="6365">
          <cell r="K6365">
            <v>0</v>
          </cell>
          <cell r="M6365">
            <v>0</v>
          </cell>
          <cell r="P6365">
            <v>0</v>
          </cell>
        </row>
        <row r="6366">
          <cell r="K6366">
            <v>0</v>
          </cell>
          <cell r="M6366">
            <v>0</v>
          </cell>
          <cell r="P6366">
            <v>0</v>
          </cell>
        </row>
        <row r="6367">
          <cell r="K6367">
            <v>0</v>
          </cell>
          <cell r="M6367">
            <v>0</v>
          </cell>
          <cell r="P6367">
            <v>0</v>
          </cell>
        </row>
        <row r="6368">
          <cell r="K6368">
            <v>0</v>
          </cell>
          <cell r="M6368">
            <v>0</v>
          </cell>
          <cell r="P6368">
            <v>0</v>
          </cell>
        </row>
        <row r="6369">
          <cell r="K6369">
            <v>0</v>
          </cell>
          <cell r="M6369">
            <v>0</v>
          </cell>
          <cell r="P6369">
            <v>0</v>
          </cell>
        </row>
        <row r="6370">
          <cell r="K6370">
            <v>0</v>
          </cell>
          <cell r="M6370">
            <v>0</v>
          </cell>
          <cell r="P6370">
            <v>0</v>
          </cell>
        </row>
        <row r="6371">
          <cell r="K6371">
            <v>0</v>
          </cell>
          <cell r="M6371">
            <v>0</v>
          </cell>
          <cell r="P6371">
            <v>0</v>
          </cell>
        </row>
        <row r="6372">
          <cell r="K6372">
            <v>0</v>
          </cell>
          <cell r="M6372">
            <v>0</v>
          </cell>
          <cell r="P6372">
            <v>0</v>
          </cell>
        </row>
        <row r="6373">
          <cell r="K6373">
            <v>0</v>
          </cell>
          <cell r="M6373">
            <v>0</v>
          </cell>
          <cell r="P6373">
            <v>0</v>
          </cell>
        </row>
        <row r="6374">
          <cell r="K6374">
            <v>0</v>
          </cell>
          <cell r="M6374">
            <v>0</v>
          </cell>
          <cell r="P6374">
            <v>0</v>
          </cell>
        </row>
        <row r="6375">
          <cell r="K6375">
            <v>0</v>
          </cell>
          <cell r="M6375">
            <v>0</v>
          </cell>
          <cell r="P6375">
            <v>0</v>
          </cell>
        </row>
        <row r="6376">
          <cell r="K6376">
            <v>0</v>
          </cell>
          <cell r="M6376">
            <v>0</v>
          </cell>
          <cell r="P6376">
            <v>0</v>
          </cell>
        </row>
        <row r="6377">
          <cell r="K6377">
            <v>0</v>
          </cell>
          <cell r="M6377">
            <v>0</v>
          </cell>
          <cell r="P6377">
            <v>0</v>
          </cell>
        </row>
        <row r="6378">
          <cell r="K6378">
            <v>0</v>
          </cell>
          <cell r="M6378">
            <v>0</v>
          </cell>
          <cell r="P6378">
            <v>0</v>
          </cell>
        </row>
        <row r="6379">
          <cell r="K6379">
            <v>0</v>
          </cell>
          <cell r="M6379">
            <v>0</v>
          </cell>
          <cell r="P6379">
            <v>0</v>
          </cell>
        </row>
        <row r="6380">
          <cell r="K6380">
            <v>0</v>
          </cell>
          <cell r="M6380">
            <v>0</v>
          </cell>
          <cell r="P6380">
            <v>0</v>
          </cell>
        </row>
        <row r="6381">
          <cell r="K6381">
            <v>0</v>
          </cell>
          <cell r="M6381">
            <v>0</v>
          </cell>
          <cell r="P6381">
            <v>0</v>
          </cell>
        </row>
        <row r="6382">
          <cell r="K6382">
            <v>0</v>
          </cell>
          <cell r="M6382">
            <v>0</v>
          </cell>
          <cell r="P6382">
            <v>0</v>
          </cell>
        </row>
        <row r="6383">
          <cell r="K6383">
            <v>0</v>
          </cell>
          <cell r="M6383">
            <v>0</v>
          </cell>
          <cell r="P6383">
            <v>0</v>
          </cell>
        </row>
        <row r="6384">
          <cell r="K6384">
            <v>0</v>
          </cell>
          <cell r="M6384">
            <v>0</v>
          </cell>
          <cell r="P6384">
            <v>0</v>
          </cell>
        </row>
        <row r="6385">
          <cell r="K6385">
            <v>0</v>
          </cell>
          <cell r="M6385">
            <v>0</v>
          </cell>
          <cell r="P6385">
            <v>0</v>
          </cell>
        </row>
        <row r="6386">
          <cell r="K6386">
            <v>0</v>
          </cell>
          <cell r="M6386">
            <v>0</v>
          </cell>
          <cell r="P6386">
            <v>0</v>
          </cell>
        </row>
        <row r="6387">
          <cell r="K6387">
            <v>0</v>
          </cell>
          <cell r="M6387">
            <v>0</v>
          </cell>
          <cell r="P6387">
            <v>0</v>
          </cell>
        </row>
        <row r="6388">
          <cell r="K6388">
            <v>0</v>
          </cell>
          <cell r="M6388">
            <v>0</v>
          </cell>
          <cell r="P6388">
            <v>0</v>
          </cell>
        </row>
        <row r="6389">
          <cell r="K6389">
            <v>0</v>
          </cell>
          <cell r="M6389">
            <v>0</v>
          </cell>
          <cell r="P6389">
            <v>0</v>
          </cell>
        </row>
        <row r="6390">
          <cell r="K6390">
            <v>0</v>
          </cell>
          <cell r="M6390">
            <v>0</v>
          </cell>
          <cell r="P6390">
            <v>0</v>
          </cell>
        </row>
        <row r="6391">
          <cell r="K6391">
            <v>0</v>
          </cell>
          <cell r="M6391">
            <v>0</v>
          </cell>
          <cell r="P6391">
            <v>0</v>
          </cell>
        </row>
        <row r="6392">
          <cell r="K6392">
            <v>0</v>
          </cell>
          <cell r="M6392">
            <v>0</v>
          </cell>
          <cell r="P6392">
            <v>0</v>
          </cell>
        </row>
        <row r="6393">
          <cell r="K6393">
            <v>0</v>
          </cell>
          <cell r="M6393">
            <v>0</v>
          </cell>
          <cell r="P6393">
            <v>0</v>
          </cell>
        </row>
        <row r="6394">
          <cell r="K6394">
            <v>0</v>
          </cell>
          <cell r="M6394">
            <v>0</v>
          </cell>
          <cell r="P6394">
            <v>0</v>
          </cell>
        </row>
        <row r="6395">
          <cell r="K6395">
            <v>0</v>
          </cell>
          <cell r="M6395">
            <v>0</v>
          </cell>
          <cell r="P6395">
            <v>0</v>
          </cell>
        </row>
        <row r="6396">
          <cell r="K6396">
            <v>0</v>
          </cell>
          <cell r="M6396">
            <v>0</v>
          </cell>
          <cell r="P6396">
            <v>0</v>
          </cell>
        </row>
        <row r="6397">
          <cell r="K6397">
            <v>0</v>
          </cell>
          <cell r="M6397">
            <v>0</v>
          </cell>
          <cell r="P6397">
            <v>0</v>
          </cell>
        </row>
        <row r="6398">
          <cell r="K6398">
            <v>0</v>
          </cell>
          <cell r="M6398">
            <v>0</v>
          </cell>
          <cell r="P6398">
            <v>0</v>
          </cell>
        </row>
        <row r="6399">
          <cell r="K6399">
            <v>0</v>
          </cell>
          <cell r="M6399">
            <v>0</v>
          </cell>
          <cell r="P6399">
            <v>0</v>
          </cell>
        </row>
        <row r="6400">
          <cell r="K6400">
            <v>0</v>
          </cell>
          <cell r="M6400">
            <v>0</v>
          </cell>
          <cell r="P6400">
            <v>0</v>
          </cell>
        </row>
        <row r="6401">
          <cell r="K6401">
            <v>0</v>
          </cell>
          <cell r="M6401">
            <v>0</v>
          </cell>
          <cell r="P6401">
            <v>0</v>
          </cell>
        </row>
        <row r="6402">
          <cell r="K6402">
            <v>0</v>
          </cell>
          <cell r="M6402">
            <v>0</v>
          </cell>
          <cell r="P6402">
            <v>0</v>
          </cell>
        </row>
        <row r="6403">
          <cell r="K6403">
            <v>0</v>
          </cell>
          <cell r="M6403">
            <v>0</v>
          </cell>
          <cell r="P6403">
            <v>0</v>
          </cell>
        </row>
        <row r="6404">
          <cell r="K6404">
            <v>0</v>
          </cell>
          <cell r="M6404">
            <v>0</v>
          </cell>
          <cell r="P6404">
            <v>0</v>
          </cell>
        </row>
        <row r="6405">
          <cell r="K6405">
            <v>0</v>
          </cell>
          <cell r="M6405">
            <v>0</v>
          </cell>
          <cell r="P6405">
            <v>0</v>
          </cell>
        </row>
        <row r="6406">
          <cell r="K6406">
            <v>0</v>
          </cell>
          <cell r="M6406">
            <v>0</v>
          </cell>
          <cell r="P6406">
            <v>0</v>
          </cell>
        </row>
        <row r="6407">
          <cell r="K6407">
            <v>0</v>
          </cell>
          <cell r="M6407">
            <v>0</v>
          </cell>
          <cell r="P6407">
            <v>0</v>
          </cell>
        </row>
        <row r="6408">
          <cell r="K6408">
            <v>0</v>
          </cell>
          <cell r="M6408">
            <v>0</v>
          </cell>
          <cell r="P6408">
            <v>0</v>
          </cell>
        </row>
        <row r="6409">
          <cell r="K6409">
            <v>0</v>
          </cell>
          <cell r="M6409">
            <v>0</v>
          </cell>
          <cell r="P6409">
            <v>0</v>
          </cell>
        </row>
        <row r="6410">
          <cell r="K6410">
            <v>0</v>
          </cell>
          <cell r="M6410">
            <v>0</v>
          </cell>
          <cell r="P6410">
            <v>0</v>
          </cell>
        </row>
        <row r="6411">
          <cell r="K6411">
            <v>0</v>
          </cell>
          <cell r="M6411">
            <v>0</v>
          </cell>
          <cell r="P6411">
            <v>0</v>
          </cell>
        </row>
        <row r="6412">
          <cell r="K6412">
            <v>0</v>
          </cell>
          <cell r="M6412">
            <v>0</v>
          </cell>
          <cell r="P6412">
            <v>0</v>
          </cell>
        </row>
        <row r="6413">
          <cell r="K6413">
            <v>0</v>
          </cell>
          <cell r="M6413">
            <v>0</v>
          </cell>
          <cell r="P6413">
            <v>0</v>
          </cell>
        </row>
        <row r="6414">
          <cell r="K6414">
            <v>0</v>
          </cell>
          <cell r="M6414">
            <v>0</v>
          </cell>
          <cell r="P6414">
            <v>0</v>
          </cell>
        </row>
        <row r="6415">
          <cell r="K6415">
            <v>0</v>
          </cell>
          <cell r="M6415">
            <v>0</v>
          </cell>
          <cell r="P6415">
            <v>0</v>
          </cell>
        </row>
        <row r="6416">
          <cell r="K6416">
            <v>0</v>
          </cell>
          <cell r="M6416">
            <v>0</v>
          </cell>
          <cell r="P6416">
            <v>0</v>
          </cell>
        </row>
        <row r="6417">
          <cell r="K6417">
            <v>0</v>
          </cell>
          <cell r="M6417">
            <v>0</v>
          </cell>
          <cell r="P6417">
            <v>0</v>
          </cell>
        </row>
        <row r="6418">
          <cell r="K6418">
            <v>0</v>
          </cell>
          <cell r="M6418">
            <v>0</v>
          </cell>
          <cell r="P6418">
            <v>0</v>
          </cell>
        </row>
        <row r="6419">
          <cell r="K6419">
            <v>0</v>
          </cell>
          <cell r="M6419">
            <v>0</v>
          </cell>
          <cell r="P6419">
            <v>0</v>
          </cell>
        </row>
        <row r="6420">
          <cell r="K6420">
            <v>0</v>
          </cell>
          <cell r="M6420">
            <v>0</v>
          </cell>
          <cell r="P6420">
            <v>0</v>
          </cell>
        </row>
        <row r="6421">
          <cell r="K6421">
            <v>0</v>
          </cell>
          <cell r="M6421">
            <v>0</v>
          </cell>
          <cell r="P6421">
            <v>0</v>
          </cell>
        </row>
        <row r="6422">
          <cell r="K6422">
            <v>0</v>
          </cell>
          <cell r="M6422">
            <v>0</v>
          </cell>
          <cell r="P6422">
            <v>0</v>
          </cell>
        </row>
        <row r="6423">
          <cell r="K6423">
            <v>0</v>
          </cell>
          <cell r="M6423">
            <v>0</v>
          </cell>
          <cell r="P6423">
            <v>0</v>
          </cell>
        </row>
        <row r="6424">
          <cell r="K6424">
            <v>0</v>
          </cell>
          <cell r="M6424">
            <v>0</v>
          </cell>
          <cell r="P6424">
            <v>0</v>
          </cell>
        </row>
        <row r="6425">
          <cell r="K6425">
            <v>0</v>
          </cell>
          <cell r="M6425">
            <v>0</v>
          </cell>
          <cell r="P6425">
            <v>0</v>
          </cell>
        </row>
        <row r="6426">
          <cell r="K6426">
            <v>0</v>
          </cell>
          <cell r="M6426">
            <v>0</v>
          </cell>
          <cell r="P6426">
            <v>0</v>
          </cell>
        </row>
        <row r="6427">
          <cell r="K6427">
            <v>0</v>
          </cell>
          <cell r="M6427">
            <v>0</v>
          </cell>
          <cell r="P6427">
            <v>0</v>
          </cell>
        </row>
        <row r="6428">
          <cell r="K6428">
            <v>0</v>
          </cell>
          <cell r="M6428">
            <v>0</v>
          </cell>
          <cell r="P6428">
            <v>0</v>
          </cell>
        </row>
        <row r="6429">
          <cell r="K6429">
            <v>0</v>
          </cell>
          <cell r="M6429">
            <v>0</v>
          </cell>
          <cell r="P6429">
            <v>0</v>
          </cell>
        </row>
        <row r="6430">
          <cell r="K6430">
            <v>0</v>
          </cell>
          <cell r="M6430">
            <v>0</v>
          </cell>
          <cell r="P6430">
            <v>0</v>
          </cell>
        </row>
        <row r="6431">
          <cell r="K6431">
            <v>0</v>
          </cell>
          <cell r="M6431">
            <v>0</v>
          </cell>
          <cell r="P6431">
            <v>0</v>
          </cell>
        </row>
        <row r="6432">
          <cell r="K6432">
            <v>0</v>
          </cell>
          <cell r="M6432">
            <v>0</v>
          </cell>
          <cell r="P6432">
            <v>0</v>
          </cell>
        </row>
        <row r="6433">
          <cell r="K6433">
            <v>0</v>
          </cell>
          <cell r="M6433">
            <v>0</v>
          </cell>
          <cell r="P6433">
            <v>0</v>
          </cell>
        </row>
        <row r="6434">
          <cell r="K6434">
            <v>0</v>
          </cell>
          <cell r="M6434">
            <v>0</v>
          </cell>
          <cell r="P6434">
            <v>0</v>
          </cell>
        </row>
        <row r="6435">
          <cell r="K6435">
            <v>0</v>
          </cell>
          <cell r="M6435">
            <v>0</v>
          </cell>
          <cell r="P6435">
            <v>0</v>
          </cell>
        </row>
        <row r="6436">
          <cell r="K6436">
            <v>0</v>
          </cell>
          <cell r="M6436">
            <v>0</v>
          </cell>
          <cell r="P6436">
            <v>0</v>
          </cell>
        </row>
        <row r="6437">
          <cell r="K6437">
            <v>0</v>
          </cell>
          <cell r="M6437">
            <v>0</v>
          </cell>
          <cell r="P6437">
            <v>0</v>
          </cell>
        </row>
        <row r="6438">
          <cell r="K6438">
            <v>0</v>
          </cell>
          <cell r="M6438">
            <v>0</v>
          </cell>
          <cell r="P6438">
            <v>0</v>
          </cell>
        </row>
        <row r="6439">
          <cell r="K6439">
            <v>0</v>
          </cell>
          <cell r="M6439">
            <v>0</v>
          </cell>
          <cell r="P6439">
            <v>0</v>
          </cell>
        </row>
        <row r="6440">
          <cell r="K6440">
            <v>0</v>
          </cell>
          <cell r="M6440">
            <v>0</v>
          </cell>
          <cell r="P6440">
            <v>0</v>
          </cell>
        </row>
        <row r="6441">
          <cell r="K6441">
            <v>0</v>
          </cell>
          <cell r="M6441">
            <v>0</v>
          </cell>
          <cell r="P6441">
            <v>0</v>
          </cell>
        </row>
        <row r="6442">
          <cell r="K6442">
            <v>0</v>
          </cell>
          <cell r="M6442">
            <v>0</v>
          </cell>
          <cell r="P6442">
            <v>0</v>
          </cell>
        </row>
        <row r="6443">
          <cell r="K6443">
            <v>0</v>
          </cell>
          <cell r="M6443">
            <v>0</v>
          </cell>
          <cell r="P6443">
            <v>0</v>
          </cell>
        </row>
        <row r="6444">
          <cell r="K6444">
            <v>0</v>
          </cell>
          <cell r="M6444">
            <v>0</v>
          </cell>
          <cell r="P6444">
            <v>0</v>
          </cell>
        </row>
        <row r="6445">
          <cell r="K6445">
            <v>0</v>
          </cell>
          <cell r="M6445">
            <v>0</v>
          </cell>
          <cell r="P6445">
            <v>0</v>
          </cell>
        </row>
        <row r="6446">
          <cell r="K6446">
            <v>0</v>
          </cell>
          <cell r="M6446">
            <v>0</v>
          </cell>
          <cell r="P6446">
            <v>0</v>
          </cell>
        </row>
        <row r="6447">
          <cell r="K6447">
            <v>0</v>
          </cell>
          <cell r="M6447">
            <v>0</v>
          </cell>
          <cell r="P6447">
            <v>0</v>
          </cell>
        </row>
        <row r="6448">
          <cell r="K6448">
            <v>0</v>
          </cell>
          <cell r="M6448">
            <v>0</v>
          </cell>
          <cell r="P6448">
            <v>0</v>
          </cell>
        </row>
        <row r="6449">
          <cell r="K6449">
            <v>0</v>
          </cell>
          <cell r="M6449">
            <v>0</v>
          </cell>
          <cell r="P6449">
            <v>0</v>
          </cell>
        </row>
        <row r="6450">
          <cell r="K6450">
            <v>0</v>
          </cell>
          <cell r="M6450">
            <v>0</v>
          </cell>
          <cell r="P6450">
            <v>0</v>
          </cell>
        </row>
        <row r="6451">
          <cell r="K6451">
            <v>0</v>
          </cell>
          <cell r="M6451">
            <v>0</v>
          </cell>
          <cell r="P6451">
            <v>0</v>
          </cell>
        </row>
        <row r="6452">
          <cell r="K6452">
            <v>0</v>
          </cell>
          <cell r="M6452">
            <v>0</v>
          </cell>
          <cell r="P6452">
            <v>0</v>
          </cell>
        </row>
        <row r="6453">
          <cell r="K6453">
            <v>0</v>
          </cell>
          <cell r="M6453">
            <v>0</v>
          </cell>
          <cell r="P6453">
            <v>0</v>
          </cell>
        </row>
        <row r="6454">
          <cell r="K6454">
            <v>0</v>
          </cell>
          <cell r="M6454">
            <v>0</v>
          </cell>
          <cell r="P6454">
            <v>0</v>
          </cell>
        </row>
        <row r="6455">
          <cell r="K6455">
            <v>0</v>
          </cell>
          <cell r="M6455">
            <v>0</v>
          </cell>
          <cell r="P6455">
            <v>0</v>
          </cell>
        </row>
        <row r="6456">
          <cell r="K6456">
            <v>0</v>
          </cell>
          <cell r="M6456">
            <v>0</v>
          </cell>
          <cell r="P6456">
            <v>0</v>
          </cell>
        </row>
        <row r="6457">
          <cell r="K6457">
            <v>0</v>
          </cell>
          <cell r="M6457">
            <v>0</v>
          </cell>
          <cell r="P6457">
            <v>0</v>
          </cell>
        </row>
        <row r="6458">
          <cell r="K6458">
            <v>0</v>
          </cell>
          <cell r="M6458">
            <v>0</v>
          </cell>
          <cell r="P6458">
            <v>0</v>
          </cell>
        </row>
        <row r="6459">
          <cell r="K6459">
            <v>0</v>
          </cell>
          <cell r="M6459">
            <v>0</v>
          </cell>
          <cell r="P6459">
            <v>0</v>
          </cell>
        </row>
        <row r="6460">
          <cell r="K6460">
            <v>0</v>
          </cell>
          <cell r="M6460">
            <v>0</v>
          </cell>
          <cell r="P6460">
            <v>0</v>
          </cell>
        </row>
        <row r="6461">
          <cell r="K6461">
            <v>0</v>
          </cell>
          <cell r="M6461">
            <v>0</v>
          </cell>
          <cell r="P6461">
            <v>0</v>
          </cell>
        </row>
        <row r="6462">
          <cell r="K6462">
            <v>0</v>
          </cell>
          <cell r="M6462">
            <v>0</v>
          </cell>
          <cell r="P6462">
            <v>0</v>
          </cell>
        </row>
        <row r="6463">
          <cell r="K6463">
            <v>0</v>
          </cell>
          <cell r="M6463">
            <v>0</v>
          </cell>
          <cell r="P6463">
            <v>0</v>
          </cell>
        </row>
        <row r="6464">
          <cell r="K6464">
            <v>0</v>
          </cell>
          <cell r="M6464">
            <v>0</v>
          </cell>
          <cell r="P6464">
            <v>0</v>
          </cell>
        </row>
        <row r="6465">
          <cell r="K6465">
            <v>0</v>
          </cell>
          <cell r="M6465">
            <v>0</v>
          </cell>
          <cell r="P6465">
            <v>0</v>
          </cell>
        </row>
        <row r="6466">
          <cell r="K6466">
            <v>0</v>
          </cell>
          <cell r="M6466">
            <v>0</v>
          </cell>
          <cell r="P6466">
            <v>0</v>
          </cell>
        </row>
        <row r="6467">
          <cell r="K6467">
            <v>0</v>
          </cell>
          <cell r="M6467">
            <v>0</v>
          </cell>
          <cell r="P6467">
            <v>0</v>
          </cell>
        </row>
        <row r="6468">
          <cell r="K6468">
            <v>0</v>
          </cell>
          <cell r="M6468">
            <v>0</v>
          </cell>
          <cell r="P6468">
            <v>0</v>
          </cell>
        </row>
        <row r="6469">
          <cell r="K6469">
            <v>0</v>
          </cell>
          <cell r="M6469">
            <v>0</v>
          </cell>
          <cell r="P6469">
            <v>0</v>
          </cell>
        </row>
        <row r="6470">
          <cell r="K6470">
            <v>0</v>
          </cell>
          <cell r="M6470">
            <v>0</v>
          </cell>
          <cell r="P6470">
            <v>0</v>
          </cell>
        </row>
        <row r="6471">
          <cell r="K6471">
            <v>0</v>
          </cell>
          <cell r="M6471">
            <v>0</v>
          </cell>
          <cell r="P6471">
            <v>0</v>
          </cell>
        </row>
        <row r="6472">
          <cell r="K6472">
            <v>0</v>
          </cell>
          <cell r="M6472">
            <v>0</v>
          </cell>
          <cell r="P6472">
            <v>0</v>
          </cell>
        </row>
        <row r="6473">
          <cell r="K6473">
            <v>0</v>
          </cell>
          <cell r="M6473">
            <v>0</v>
          </cell>
          <cell r="P6473">
            <v>0</v>
          </cell>
        </row>
        <row r="6474">
          <cell r="K6474">
            <v>0</v>
          </cell>
          <cell r="M6474">
            <v>0</v>
          </cell>
          <cell r="P6474">
            <v>0</v>
          </cell>
        </row>
        <row r="6475">
          <cell r="K6475">
            <v>0</v>
          </cell>
          <cell r="M6475">
            <v>0</v>
          </cell>
          <cell r="P6475">
            <v>0</v>
          </cell>
        </row>
        <row r="6476">
          <cell r="K6476">
            <v>0</v>
          </cell>
          <cell r="M6476">
            <v>0</v>
          </cell>
          <cell r="P6476">
            <v>0</v>
          </cell>
        </row>
        <row r="6477">
          <cell r="K6477">
            <v>0</v>
          </cell>
          <cell r="M6477">
            <v>0</v>
          </cell>
          <cell r="P6477">
            <v>0</v>
          </cell>
        </row>
        <row r="6478">
          <cell r="K6478">
            <v>0</v>
          </cell>
          <cell r="M6478">
            <v>0</v>
          </cell>
          <cell r="P6478">
            <v>0</v>
          </cell>
        </row>
        <row r="6479">
          <cell r="K6479">
            <v>0</v>
          </cell>
          <cell r="M6479">
            <v>0</v>
          </cell>
          <cell r="P6479">
            <v>0</v>
          </cell>
        </row>
        <row r="6480">
          <cell r="K6480">
            <v>0</v>
          </cell>
          <cell r="M6480">
            <v>0</v>
          </cell>
          <cell r="P6480">
            <v>0</v>
          </cell>
        </row>
        <row r="6481">
          <cell r="K6481">
            <v>0</v>
          </cell>
          <cell r="M6481">
            <v>0</v>
          </cell>
          <cell r="P6481">
            <v>0</v>
          </cell>
        </row>
        <row r="6482">
          <cell r="K6482">
            <v>0</v>
          </cell>
          <cell r="M6482">
            <v>0</v>
          </cell>
          <cell r="P6482">
            <v>0</v>
          </cell>
        </row>
        <row r="6483">
          <cell r="K6483">
            <v>0</v>
          </cell>
          <cell r="M6483">
            <v>0</v>
          </cell>
          <cell r="P6483">
            <v>0</v>
          </cell>
        </row>
        <row r="6484">
          <cell r="K6484">
            <v>0</v>
          </cell>
          <cell r="M6484">
            <v>0</v>
          </cell>
          <cell r="P6484">
            <v>0</v>
          </cell>
        </row>
        <row r="6485">
          <cell r="K6485">
            <v>0</v>
          </cell>
          <cell r="M6485">
            <v>0</v>
          </cell>
          <cell r="P6485">
            <v>0</v>
          </cell>
        </row>
        <row r="6486">
          <cell r="K6486">
            <v>0</v>
          </cell>
          <cell r="M6486">
            <v>0</v>
          </cell>
          <cell r="P6486">
            <v>0</v>
          </cell>
        </row>
        <row r="6487">
          <cell r="K6487">
            <v>0</v>
          </cell>
          <cell r="M6487">
            <v>0</v>
          </cell>
          <cell r="P6487">
            <v>0</v>
          </cell>
        </row>
        <row r="6488">
          <cell r="K6488">
            <v>0</v>
          </cell>
          <cell r="M6488">
            <v>0</v>
          </cell>
          <cell r="P6488">
            <v>0</v>
          </cell>
        </row>
        <row r="6489">
          <cell r="K6489">
            <v>0</v>
          </cell>
          <cell r="M6489">
            <v>0</v>
          </cell>
          <cell r="P6489">
            <v>0</v>
          </cell>
        </row>
        <row r="6490">
          <cell r="K6490">
            <v>0</v>
          </cell>
          <cell r="M6490">
            <v>0</v>
          </cell>
          <cell r="P6490">
            <v>0</v>
          </cell>
        </row>
        <row r="6491">
          <cell r="K6491">
            <v>0</v>
          </cell>
          <cell r="M6491">
            <v>0</v>
          </cell>
          <cell r="P6491">
            <v>0</v>
          </cell>
        </row>
        <row r="6492">
          <cell r="K6492">
            <v>0</v>
          </cell>
          <cell r="M6492">
            <v>0</v>
          </cell>
          <cell r="P6492">
            <v>0</v>
          </cell>
        </row>
        <row r="6493">
          <cell r="K6493">
            <v>0</v>
          </cell>
          <cell r="M6493">
            <v>0</v>
          </cell>
          <cell r="P6493">
            <v>0</v>
          </cell>
        </row>
        <row r="6494">
          <cell r="K6494">
            <v>0</v>
          </cell>
          <cell r="M6494">
            <v>0</v>
          </cell>
          <cell r="P6494">
            <v>0</v>
          </cell>
        </row>
        <row r="6495">
          <cell r="K6495">
            <v>0</v>
          </cell>
          <cell r="M6495">
            <v>0</v>
          </cell>
          <cell r="P6495">
            <v>0</v>
          </cell>
        </row>
        <row r="6496">
          <cell r="K6496">
            <v>0</v>
          </cell>
          <cell r="M6496">
            <v>0</v>
          </cell>
          <cell r="P6496">
            <v>0</v>
          </cell>
        </row>
        <row r="6497">
          <cell r="K6497">
            <v>0</v>
          </cell>
          <cell r="M6497">
            <v>0</v>
          </cell>
          <cell r="P6497">
            <v>0</v>
          </cell>
        </row>
        <row r="6498">
          <cell r="K6498">
            <v>0</v>
          </cell>
          <cell r="M6498">
            <v>0</v>
          </cell>
          <cell r="P6498">
            <v>0</v>
          </cell>
        </row>
        <row r="6499">
          <cell r="K6499">
            <v>0</v>
          </cell>
          <cell r="M6499">
            <v>0</v>
          </cell>
          <cell r="P6499">
            <v>0</v>
          </cell>
        </row>
        <row r="6500">
          <cell r="K6500">
            <v>0</v>
          </cell>
          <cell r="M6500">
            <v>0</v>
          </cell>
          <cell r="P6500">
            <v>0</v>
          </cell>
        </row>
        <row r="6501">
          <cell r="K6501">
            <v>0</v>
          </cell>
          <cell r="M6501">
            <v>0</v>
          </cell>
          <cell r="P6501">
            <v>0</v>
          </cell>
        </row>
        <row r="6502">
          <cell r="K6502">
            <v>0</v>
          </cell>
          <cell r="M6502">
            <v>0</v>
          </cell>
          <cell r="P6502">
            <v>0</v>
          </cell>
        </row>
        <row r="6503">
          <cell r="K6503">
            <v>0</v>
          </cell>
          <cell r="M6503">
            <v>0</v>
          </cell>
          <cell r="P6503">
            <v>0</v>
          </cell>
        </row>
        <row r="6504">
          <cell r="K6504">
            <v>0</v>
          </cell>
          <cell r="M6504">
            <v>0</v>
          </cell>
          <cell r="P6504">
            <v>0</v>
          </cell>
        </row>
        <row r="6505">
          <cell r="K6505">
            <v>0</v>
          </cell>
          <cell r="M6505">
            <v>0</v>
          </cell>
          <cell r="P6505">
            <v>0</v>
          </cell>
        </row>
        <row r="6506">
          <cell r="K6506">
            <v>0</v>
          </cell>
          <cell r="M6506">
            <v>0</v>
          </cell>
          <cell r="P6506">
            <v>0</v>
          </cell>
        </row>
        <row r="6507">
          <cell r="K6507">
            <v>0</v>
          </cell>
          <cell r="M6507">
            <v>0</v>
          </cell>
          <cell r="P6507">
            <v>0</v>
          </cell>
        </row>
        <row r="6508">
          <cell r="K6508">
            <v>0</v>
          </cell>
          <cell r="M6508">
            <v>0</v>
          </cell>
          <cell r="P6508">
            <v>0</v>
          </cell>
        </row>
        <row r="6509">
          <cell r="K6509">
            <v>0</v>
          </cell>
          <cell r="M6509">
            <v>0</v>
          </cell>
          <cell r="P6509">
            <v>0</v>
          </cell>
        </row>
        <row r="6510">
          <cell r="K6510">
            <v>0</v>
          </cell>
          <cell r="M6510">
            <v>0</v>
          </cell>
          <cell r="P6510">
            <v>0</v>
          </cell>
        </row>
        <row r="6511">
          <cell r="K6511">
            <v>0</v>
          </cell>
          <cell r="M6511">
            <v>0</v>
          </cell>
          <cell r="P6511">
            <v>0</v>
          </cell>
        </row>
        <row r="6512">
          <cell r="K6512">
            <v>0</v>
          </cell>
          <cell r="M6512">
            <v>0</v>
          </cell>
          <cell r="P6512">
            <v>0</v>
          </cell>
        </row>
        <row r="6513">
          <cell r="K6513">
            <v>0</v>
          </cell>
          <cell r="M6513">
            <v>0</v>
          </cell>
          <cell r="P6513">
            <v>0</v>
          </cell>
        </row>
        <row r="6514">
          <cell r="K6514">
            <v>0</v>
          </cell>
          <cell r="M6514">
            <v>0</v>
          </cell>
          <cell r="P6514">
            <v>0</v>
          </cell>
        </row>
        <row r="6515">
          <cell r="K6515">
            <v>0</v>
          </cell>
          <cell r="M6515">
            <v>0</v>
          </cell>
          <cell r="P6515">
            <v>0</v>
          </cell>
        </row>
        <row r="6516">
          <cell r="K6516">
            <v>0</v>
          </cell>
          <cell r="M6516">
            <v>0</v>
          </cell>
          <cell r="P6516">
            <v>0</v>
          </cell>
        </row>
        <row r="6517">
          <cell r="K6517">
            <v>0</v>
          </cell>
          <cell r="M6517">
            <v>0</v>
          </cell>
          <cell r="P6517">
            <v>0</v>
          </cell>
        </row>
        <row r="6518">
          <cell r="K6518">
            <v>0</v>
          </cell>
          <cell r="M6518">
            <v>0</v>
          </cell>
          <cell r="P6518">
            <v>0</v>
          </cell>
        </row>
        <row r="6519">
          <cell r="K6519">
            <v>0</v>
          </cell>
          <cell r="M6519">
            <v>0</v>
          </cell>
          <cell r="P6519">
            <v>0</v>
          </cell>
        </row>
        <row r="6520">
          <cell r="K6520">
            <v>0</v>
          </cell>
          <cell r="M6520">
            <v>0</v>
          </cell>
          <cell r="P6520">
            <v>0</v>
          </cell>
        </row>
        <row r="6521">
          <cell r="K6521">
            <v>0</v>
          </cell>
          <cell r="M6521">
            <v>0</v>
          </cell>
          <cell r="P6521">
            <v>0</v>
          </cell>
        </row>
        <row r="6522">
          <cell r="K6522">
            <v>0</v>
          </cell>
          <cell r="M6522">
            <v>0</v>
          </cell>
          <cell r="P6522">
            <v>0</v>
          </cell>
        </row>
        <row r="6523">
          <cell r="K6523">
            <v>0</v>
          </cell>
          <cell r="M6523">
            <v>0</v>
          </cell>
          <cell r="P6523">
            <v>0</v>
          </cell>
        </row>
        <row r="6524">
          <cell r="K6524">
            <v>0</v>
          </cell>
          <cell r="M6524">
            <v>0</v>
          </cell>
          <cell r="P6524">
            <v>0</v>
          </cell>
        </row>
        <row r="6525">
          <cell r="K6525">
            <v>0</v>
          </cell>
          <cell r="M6525">
            <v>0</v>
          </cell>
          <cell r="P6525">
            <v>0</v>
          </cell>
        </row>
        <row r="6526">
          <cell r="K6526">
            <v>0</v>
          </cell>
          <cell r="M6526">
            <v>0</v>
          </cell>
          <cell r="P6526">
            <v>0</v>
          </cell>
        </row>
        <row r="6527">
          <cell r="K6527">
            <v>0</v>
          </cell>
          <cell r="M6527">
            <v>0</v>
          </cell>
          <cell r="P6527">
            <v>0</v>
          </cell>
        </row>
        <row r="6528">
          <cell r="K6528">
            <v>0</v>
          </cell>
          <cell r="M6528">
            <v>0</v>
          </cell>
          <cell r="P6528">
            <v>0</v>
          </cell>
        </row>
        <row r="6529">
          <cell r="K6529">
            <v>0</v>
          </cell>
          <cell r="M6529">
            <v>0</v>
          </cell>
          <cell r="P6529">
            <v>0</v>
          </cell>
        </row>
        <row r="6530">
          <cell r="K6530">
            <v>0</v>
          </cell>
          <cell r="M6530">
            <v>0</v>
          </cell>
          <cell r="P6530">
            <v>0</v>
          </cell>
        </row>
        <row r="6531">
          <cell r="K6531">
            <v>0</v>
          </cell>
          <cell r="M6531">
            <v>0</v>
          </cell>
          <cell r="P6531">
            <v>0</v>
          </cell>
        </row>
        <row r="6532">
          <cell r="K6532">
            <v>0</v>
          </cell>
          <cell r="M6532">
            <v>0</v>
          </cell>
          <cell r="P6532">
            <v>0</v>
          </cell>
        </row>
        <row r="6533">
          <cell r="K6533">
            <v>0</v>
          </cell>
          <cell r="M6533">
            <v>0</v>
          </cell>
          <cell r="P6533">
            <v>0</v>
          </cell>
        </row>
        <row r="6534">
          <cell r="K6534">
            <v>0</v>
          </cell>
          <cell r="M6534">
            <v>0</v>
          </cell>
          <cell r="P6534">
            <v>0</v>
          </cell>
        </row>
        <row r="6535">
          <cell r="K6535">
            <v>0</v>
          </cell>
          <cell r="M6535">
            <v>0</v>
          </cell>
          <cell r="P6535">
            <v>0</v>
          </cell>
        </row>
        <row r="6536">
          <cell r="K6536">
            <v>0</v>
          </cell>
          <cell r="M6536">
            <v>0</v>
          </cell>
          <cell r="P6536">
            <v>0</v>
          </cell>
        </row>
        <row r="6537">
          <cell r="K6537">
            <v>0</v>
          </cell>
          <cell r="M6537">
            <v>0</v>
          </cell>
          <cell r="P6537">
            <v>0</v>
          </cell>
        </row>
        <row r="6538">
          <cell r="K6538">
            <v>0</v>
          </cell>
          <cell r="M6538">
            <v>0</v>
          </cell>
          <cell r="P6538">
            <v>0</v>
          </cell>
        </row>
        <row r="6539">
          <cell r="K6539">
            <v>0</v>
          </cell>
          <cell r="M6539">
            <v>0</v>
          </cell>
          <cell r="P6539">
            <v>0</v>
          </cell>
        </row>
        <row r="6540">
          <cell r="K6540">
            <v>0</v>
          </cell>
          <cell r="M6540">
            <v>0</v>
          </cell>
          <cell r="P6540">
            <v>0</v>
          </cell>
        </row>
        <row r="6541">
          <cell r="K6541">
            <v>0</v>
          </cell>
          <cell r="M6541">
            <v>0</v>
          </cell>
          <cell r="P6541">
            <v>0</v>
          </cell>
        </row>
        <row r="6542">
          <cell r="K6542">
            <v>0</v>
          </cell>
          <cell r="M6542">
            <v>0</v>
          </cell>
          <cell r="P6542">
            <v>0</v>
          </cell>
        </row>
        <row r="6543">
          <cell r="K6543">
            <v>0</v>
          </cell>
          <cell r="M6543">
            <v>0</v>
          </cell>
          <cell r="P6543">
            <v>0</v>
          </cell>
        </row>
        <row r="6544">
          <cell r="K6544">
            <v>0</v>
          </cell>
          <cell r="M6544">
            <v>0</v>
          </cell>
          <cell r="P6544">
            <v>0</v>
          </cell>
        </row>
        <row r="6545">
          <cell r="K6545">
            <v>0</v>
          </cell>
          <cell r="M6545">
            <v>0</v>
          </cell>
          <cell r="P6545">
            <v>0</v>
          </cell>
        </row>
        <row r="6546">
          <cell r="K6546">
            <v>0</v>
          </cell>
          <cell r="M6546">
            <v>0</v>
          </cell>
          <cell r="P6546">
            <v>0</v>
          </cell>
        </row>
        <row r="6547">
          <cell r="K6547">
            <v>0</v>
          </cell>
          <cell r="M6547">
            <v>0</v>
          </cell>
          <cell r="P6547">
            <v>0</v>
          </cell>
        </row>
        <row r="6548">
          <cell r="K6548">
            <v>0</v>
          </cell>
          <cell r="M6548">
            <v>0</v>
          </cell>
          <cell r="P6548">
            <v>0</v>
          </cell>
        </row>
        <row r="6549">
          <cell r="K6549">
            <v>0</v>
          </cell>
          <cell r="M6549">
            <v>0</v>
          </cell>
          <cell r="P6549">
            <v>0</v>
          </cell>
        </row>
        <row r="6550">
          <cell r="K6550">
            <v>0</v>
          </cell>
          <cell r="M6550">
            <v>0</v>
          </cell>
          <cell r="P6550">
            <v>0</v>
          </cell>
        </row>
        <row r="6551">
          <cell r="K6551">
            <v>0</v>
          </cell>
          <cell r="M6551">
            <v>0</v>
          </cell>
          <cell r="P6551">
            <v>0</v>
          </cell>
        </row>
        <row r="6552">
          <cell r="K6552">
            <v>0</v>
          </cell>
          <cell r="M6552">
            <v>0</v>
          </cell>
          <cell r="P6552">
            <v>0</v>
          </cell>
        </row>
        <row r="6553">
          <cell r="K6553">
            <v>0</v>
          </cell>
          <cell r="M6553">
            <v>0</v>
          </cell>
          <cell r="P6553">
            <v>0</v>
          </cell>
        </row>
        <row r="6554">
          <cell r="K6554">
            <v>0</v>
          </cell>
          <cell r="M6554">
            <v>0</v>
          </cell>
          <cell r="P6554">
            <v>0</v>
          </cell>
        </row>
        <row r="6555">
          <cell r="K6555">
            <v>0</v>
          </cell>
          <cell r="M6555">
            <v>0</v>
          </cell>
          <cell r="P6555">
            <v>0</v>
          </cell>
        </row>
        <row r="6556">
          <cell r="K6556">
            <v>0</v>
          </cell>
          <cell r="M6556">
            <v>0</v>
          </cell>
          <cell r="P6556">
            <v>0</v>
          </cell>
        </row>
        <row r="6557">
          <cell r="K6557">
            <v>0</v>
          </cell>
          <cell r="M6557">
            <v>0</v>
          </cell>
          <cell r="P6557">
            <v>0</v>
          </cell>
        </row>
        <row r="6558">
          <cell r="K6558">
            <v>0</v>
          </cell>
          <cell r="M6558">
            <v>0</v>
          </cell>
          <cell r="P6558">
            <v>0</v>
          </cell>
        </row>
        <row r="6559">
          <cell r="K6559">
            <v>0</v>
          </cell>
          <cell r="M6559">
            <v>0</v>
          </cell>
          <cell r="P6559">
            <v>0</v>
          </cell>
        </row>
        <row r="6560">
          <cell r="K6560">
            <v>0</v>
          </cell>
          <cell r="M6560">
            <v>0</v>
          </cell>
          <cell r="P6560">
            <v>0</v>
          </cell>
        </row>
        <row r="6561">
          <cell r="K6561">
            <v>0</v>
          </cell>
          <cell r="M6561">
            <v>0</v>
          </cell>
          <cell r="P6561">
            <v>0</v>
          </cell>
        </row>
        <row r="6562">
          <cell r="K6562">
            <v>0</v>
          </cell>
          <cell r="M6562">
            <v>0</v>
          </cell>
          <cell r="P6562">
            <v>0</v>
          </cell>
        </row>
        <row r="6563">
          <cell r="K6563">
            <v>0</v>
          </cell>
          <cell r="M6563">
            <v>0</v>
          </cell>
          <cell r="P6563">
            <v>0</v>
          </cell>
        </row>
        <row r="6564">
          <cell r="K6564">
            <v>0</v>
          </cell>
          <cell r="M6564">
            <v>0</v>
          </cell>
          <cell r="P6564">
            <v>0</v>
          </cell>
        </row>
        <row r="6565">
          <cell r="K6565">
            <v>0</v>
          </cell>
          <cell r="M6565">
            <v>0</v>
          </cell>
          <cell r="P6565">
            <v>0</v>
          </cell>
        </row>
        <row r="6566">
          <cell r="K6566">
            <v>0</v>
          </cell>
          <cell r="M6566">
            <v>0</v>
          </cell>
          <cell r="P6566">
            <v>0</v>
          </cell>
        </row>
        <row r="6567">
          <cell r="K6567">
            <v>0</v>
          </cell>
          <cell r="M6567">
            <v>0</v>
          </cell>
          <cell r="P6567">
            <v>0</v>
          </cell>
        </row>
        <row r="6568">
          <cell r="K6568">
            <v>0</v>
          </cell>
          <cell r="M6568">
            <v>0</v>
          </cell>
          <cell r="P6568">
            <v>0</v>
          </cell>
        </row>
        <row r="6569">
          <cell r="K6569">
            <v>0</v>
          </cell>
          <cell r="M6569">
            <v>0</v>
          </cell>
          <cell r="P6569">
            <v>0</v>
          </cell>
        </row>
        <row r="6570">
          <cell r="K6570">
            <v>0</v>
          </cell>
          <cell r="M6570">
            <v>0</v>
          </cell>
          <cell r="P6570">
            <v>0</v>
          </cell>
        </row>
        <row r="6571">
          <cell r="K6571">
            <v>0</v>
          </cell>
          <cell r="M6571">
            <v>0</v>
          </cell>
          <cell r="P6571">
            <v>0</v>
          </cell>
        </row>
        <row r="6572">
          <cell r="K6572">
            <v>0</v>
          </cell>
          <cell r="M6572">
            <v>0</v>
          </cell>
          <cell r="P6572">
            <v>0</v>
          </cell>
        </row>
        <row r="6573">
          <cell r="K6573">
            <v>0</v>
          </cell>
          <cell r="M6573">
            <v>0</v>
          </cell>
          <cell r="P6573">
            <v>0</v>
          </cell>
        </row>
        <row r="6574">
          <cell r="K6574">
            <v>0</v>
          </cell>
          <cell r="M6574">
            <v>0</v>
          </cell>
          <cell r="P6574">
            <v>0</v>
          </cell>
        </row>
        <row r="6575">
          <cell r="K6575">
            <v>0</v>
          </cell>
          <cell r="M6575">
            <v>0</v>
          </cell>
          <cell r="P6575">
            <v>0</v>
          </cell>
        </row>
        <row r="6576">
          <cell r="K6576">
            <v>0</v>
          </cell>
          <cell r="M6576">
            <v>0</v>
          </cell>
          <cell r="P6576">
            <v>0</v>
          </cell>
        </row>
        <row r="6577">
          <cell r="K6577">
            <v>0</v>
          </cell>
          <cell r="M6577">
            <v>0</v>
          </cell>
          <cell r="P6577">
            <v>0</v>
          </cell>
        </row>
        <row r="6578">
          <cell r="K6578">
            <v>0</v>
          </cell>
          <cell r="M6578">
            <v>0</v>
          </cell>
          <cell r="P6578">
            <v>0</v>
          </cell>
        </row>
        <row r="6579">
          <cell r="K6579">
            <v>0</v>
          </cell>
          <cell r="M6579">
            <v>0</v>
          </cell>
          <cell r="P6579">
            <v>0</v>
          </cell>
        </row>
        <row r="6580">
          <cell r="K6580">
            <v>0</v>
          </cell>
          <cell r="M6580">
            <v>0</v>
          </cell>
          <cell r="P6580">
            <v>0</v>
          </cell>
        </row>
        <row r="6581">
          <cell r="K6581">
            <v>0</v>
          </cell>
          <cell r="M6581">
            <v>0</v>
          </cell>
          <cell r="P6581">
            <v>0</v>
          </cell>
        </row>
        <row r="6582">
          <cell r="K6582">
            <v>0</v>
          </cell>
          <cell r="M6582">
            <v>0</v>
          </cell>
          <cell r="P6582">
            <v>0</v>
          </cell>
        </row>
        <row r="6583">
          <cell r="K6583">
            <v>0</v>
          </cell>
          <cell r="M6583">
            <v>0</v>
          </cell>
          <cell r="P6583">
            <v>0</v>
          </cell>
        </row>
        <row r="6584">
          <cell r="K6584">
            <v>0</v>
          </cell>
          <cell r="M6584">
            <v>0</v>
          </cell>
          <cell r="P6584">
            <v>0</v>
          </cell>
        </row>
        <row r="6585">
          <cell r="K6585">
            <v>0</v>
          </cell>
          <cell r="M6585">
            <v>0</v>
          </cell>
          <cell r="P6585">
            <v>0</v>
          </cell>
        </row>
        <row r="6586">
          <cell r="K6586">
            <v>0</v>
          </cell>
          <cell r="M6586">
            <v>0</v>
          </cell>
          <cell r="P6586">
            <v>0</v>
          </cell>
        </row>
        <row r="6587">
          <cell r="K6587">
            <v>0</v>
          </cell>
          <cell r="M6587">
            <v>0</v>
          </cell>
          <cell r="P6587">
            <v>0</v>
          </cell>
        </row>
        <row r="6588">
          <cell r="K6588">
            <v>0</v>
          </cell>
          <cell r="M6588">
            <v>0</v>
          </cell>
          <cell r="P6588">
            <v>0</v>
          </cell>
        </row>
        <row r="6589">
          <cell r="K6589">
            <v>0</v>
          </cell>
          <cell r="M6589">
            <v>0</v>
          </cell>
          <cell r="P6589">
            <v>0</v>
          </cell>
        </row>
        <row r="6590">
          <cell r="K6590">
            <v>0</v>
          </cell>
          <cell r="M6590">
            <v>0</v>
          </cell>
          <cell r="P6590">
            <v>0</v>
          </cell>
        </row>
        <row r="6591">
          <cell r="K6591">
            <v>0</v>
          </cell>
          <cell r="M6591">
            <v>0</v>
          </cell>
          <cell r="P6591">
            <v>0</v>
          </cell>
        </row>
        <row r="6592">
          <cell r="K6592">
            <v>0</v>
          </cell>
          <cell r="M6592">
            <v>0</v>
          </cell>
          <cell r="P6592">
            <v>0</v>
          </cell>
        </row>
        <row r="6593">
          <cell r="K6593">
            <v>0</v>
          </cell>
          <cell r="M6593">
            <v>0</v>
          </cell>
          <cell r="P6593">
            <v>0</v>
          </cell>
        </row>
        <row r="6594">
          <cell r="K6594">
            <v>0</v>
          </cell>
          <cell r="M6594">
            <v>0</v>
          </cell>
          <cell r="P6594">
            <v>0</v>
          </cell>
        </row>
        <row r="6595">
          <cell r="K6595">
            <v>0</v>
          </cell>
          <cell r="M6595">
            <v>0</v>
          </cell>
          <cell r="P6595">
            <v>0</v>
          </cell>
        </row>
        <row r="6596">
          <cell r="K6596">
            <v>0</v>
          </cell>
          <cell r="M6596">
            <v>0</v>
          </cell>
          <cell r="P6596">
            <v>0</v>
          </cell>
        </row>
        <row r="6597">
          <cell r="K6597">
            <v>0</v>
          </cell>
          <cell r="M6597">
            <v>0</v>
          </cell>
          <cell r="P6597">
            <v>0</v>
          </cell>
        </row>
        <row r="6598">
          <cell r="K6598">
            <v>0</v>
          </cell>
          <cell r="M6598">
            <v>0</v>
          </cell>
          <cell r="P6598">
            <v>0</v>
          </cell>
        </row>
        <row r="6599">
          <cell r="K6599">
            <v>0</v>
          </cell>
          <cell r="M6599">
            <v>0</v>
          </cell>
          <cell r="P6599">
            <v>0</v>
          </cell>
        </row>
        <row r="6600">
          <cell r="K6600">
            <v>0</v>
          </cell>
          <cell r="M6600">
            <v>0</v>
          </cell>
          <cell r="P6600">
            <v>0</v>
          </cell>
        </row>
        <row r="6601">
          <cell r="K6601">
            <v>0</v>
          </cell>
          <cell r="M6601">
            <v>0</v>
          </cell>
          <cell r="P6601">
            <v>0</v>
          </cell>
        </row>
        <row r="6602">
          <cell r="K6602">
            <v>0</v>
          </cell>
          <cell r="M6602">
            <v>0</v>
          </cell>
          <cell r="P6602">
            <v>0</v>
          </cell>
        </row>
        <row r="6603">
          <cell r="K6603">
            <v>0</v>
          </cell>
          <cell r="M6603">
            <v>0</v>
          </cell>
          <cell r="P6603">
            <v>0</v>
          </cell>
        </row>
        <row r="6604">
          <cell r="K6604">
            <v>0</v>
          </cell>
          <cell r="M6604">
            <v>0</v>
          </cell>
          <cell r="P6604">
            <v>0</v>
          </cell>
        </row>
        <row r="6605">
          <cell r="K6605">
            <v>0</v>
          </cell>
          <cell r="M6605">
            <v>0</v>
          </cell>
          <cell r="P6605">
            <v>0</v>
          </cell>
        </row>
        <row r="6606">
          <cell r="K6606">
            <v>0</v>
          </cell>
          <cell r="M6606">
            <v>0</v>
          </cell>
          <cell r="P6606">
            <v>0</v>
          </cell>
        </row>
        <row r="6607">
          <cell r="K6607">
            <v>0</v>
          </cell>
          <cell r="M6607">
            <v>0</v>
          </cell>
          <cell r="P6607">
            <v>0</v>
          </cell>
        </row>
        <row r="6608">
          <cell r="K6608">
            <v>0</v>
          </cell>
          <cell r="M6608">
            <v>0</v>
          </cell>
          <cell r="P6608">
            <v>0</v>
          </cell>
        </row>
        <row r="6609">
          <cell r="K6609">
            <v>0</v>
          </cell>
          <cell r="M6609">
            <v>0</v>
          </cell>
          <cell r="P6609">
            <v>0</v>
          </cell>
        </row>
        <row r="6610">
          <cell r="K6610">
            <v>0</v>
          </cell>
          <cell r="M6610">
            <v>0</v>
          </cell>
          <cell r="P6610">
            <v>0</v>
          </cell>
        </row>
        <row r="6611">
          <cell r="K6611">
            <v>0</v>
          </cell>
          <cell r="M6611">
            <v>0</v>
          </cell>
          <cell r="P6611">
            <v>0</v>
          </cell>
        </row>
        <row r="6612">
          <cell r="K6612">
            <v>0</v>
          </cell>
          <cell r="M6612">
            <v>0</v>
          </cell>
          <cell r="P6612">
            <v>0</v>
          </cell>
        </row>
        <row r="6613">
          <cell r="K6613">
            <v>0</v>
          </cell>
          <cell r="M6613">
            <v>0</v>
          </cell>
          <cell r="P6613">
            <v>0</v>
          </cell>
        </row>
        <row r="6614">
          <cell r="K6614">
            <v>0</v>
          </cell>
          <cell r="M6614">
            <v>0</v>
          </cell>
          <cell r="P6614">
            <v>0</v>
          </cell>
        </row>
        <row r="6615">
          <cell r="K6615">
            <v>0</v>
          </cell>
          <cell r="M6615">
            <v>0</v>
          </cell>
          <cell r="P6615">
            <v>0</v>
          </cell>
        </row>
        <row r="6616">
          <cell r="K6616">
            <v>0</v>
          </cell>
          <cell r="M6616">
            <v>0</v>
          </cell>
          <cell r="P6616">
            <v>0</v>
          </cell>
        </row>
        <row r="6617">
          <cell r="K6617">
            <v>0</v>
          </cell>
          <cell r="M6617">
            <v>0</v>
          </cell>
          <cell r="P6617">
            <v>0</v>
          </cell>
        </row>
        <row r="6618">
          <cell r="K6618">
            <v>0</v>
          </cell>
          <cell r="M6618">
            <v>0</v>
          </cell>
          <cell r="P6618">
            <v>0</v>
          </cell>
        </row>
        <row r="6619">
          <cell r="K6619">
            <v>0</v>
          </cell>
          <cell r="M6619">
            <v>0</v>
          </cell>
          <cell r="P6619">
            <v>0</v>
          </cell>
        </row>
        <row r="6620">
          <cell r="K6620">
            <v>0</v>
          </cell>
          <cell r="M6620">
            <v>0</v>
          </cell>
          <cell r="P6620">
            <v>0</v>
          </cell>
        </row>
        <row r="6621">
          <cell r="K6621">
            <v>0</v>
          </cell>
          <cell r="M6621">
            <v>0</v>
          </cell>
          <cell r="P6621">
            <v>0</v>
          </cell>
        </row>
        <row r="6622">
          <cell r="K6622">
            <v>0</v>
          </cell>
          <cell r="M6622">
            <v>0</v>
          </cell>
          <cell r="P6622">
            <v>0</v>
          </cell>
        </row>
        <row r="6623">
          <cell r="K6623">
            <v>0</v>
          </cell>
          <cell r="M6623">
            <v>0</v>
          </cell>
          <cell r="P6623">
            <v>0</v>
          </cell>
        </row>
        <row r="6624">
          <cell r="K6624">
            <v>0</v>
          </cell>
          <cell r="M6624">
            <v>0</v>
          </cell>
          <cell r="P6624">
            <v>0</v>
          </cell>
        </row>
        <row r="6625">
          <cell r="K6625">
            <v>0</v>
          </cell>
          <cell r="M6625">
            <v>0</v>
          </cell>
          <cell r="P6625">
            <v>0</v>
          </cell>
        </row>
        <row r="6626">
          <cell r="K6626">
            <v>0</v>
          </cell>
          <cell r="M6626">
            <v>0</v>
          </cell>
          <cell r="P6626">
            <v>0</v>
          </cell>
        </row>
        <row r="6627">
          <cell r="K6627">
            <v>0</v>
          </cell>
          <cell r="M6627">
            <v>0</v>
          </cell>
          <cell r="P6627">
            <v>0</v>
          </cell>
        </row>
        <row r="6628">
          <cell r="K6628">
            <v>0</v>
          </cell>
          <cell r="M6628">
            <v>0</v>
          </cell>
          <cell r="P6628">
            <v>0</v>
          </cell>
        </row>
        <row r="6629">
          <cell r="K6629">
            <v>0</v>
          </cell>
          <cell r="M6629">
            <v>0</v>
          </cell>
          <cell r="P6629">
            <v>0</v>
          </cell>
        </row>
        <row r="6630">
          <cell r="K6630">
            <v>0</v>
          </cell>
          <cell r="M6630">
            <v>0</v>
          </cell>
          <cell r="P6630">
            <v>0</v>
          </cell>
        </row>
        <row r="6631">
          <cell r="K6631">
            <v>0</v>
          </cell>
          <cell r="M6631">
            <v>0</v>
          </cell>
          <cell r="P6631">
            <v>0</v>
          </cell>
        </row>
        <row r="6632">
          <cell r="K6632">
            <v>0</v>
          </cell>
          <cell r="M6632">
            <v>0</v>
          </cell>
          <cell r="P6632">
            <v>0</v>
          </cell>
        </row>
        <row r="6633">
          <cell r="K6633">
            <v>0</v>
          </cell>
          <cell r="M6633">
            <v>0</v>
          </cell>
          <cell r="P6633">
            <v>0</v>
          </cell>
        </row>
        <row r="6634">
          <cell r="K6634">
            <v>0</v>
          </cell>
          <cell r="M6634">
            <v>0</v>
          </cell>
          <cell r="P6634">
            <v>0</v>
          </cell>
        </row>
        <row r="6635">
          <cell r="K6635">
            <v>0</v>
          </cell>
          <cell r="M6635">
            <v>0</v>
          </cell>
          <cell r="P6635">
            <v>0</v>
          </cell>
        </row>
        <row r="6636">
          <cell r="K6636">
            <v>0</v>
          </cell>
          <cell r="M6636">
            <v>0</v>
          </cell>
          <cell r="P6636">
            <v>0</v>
          </cell>
        </row>
        <row r="6637">
          <cell r="K6637">
            <v>0</v>
          </cell>
          <cell r="M6637">
            <v>0</v>
          </cell>
          <cell r="P6637">
            <v>0</v>
          </cell>
        </row>
        <row r="6638">
          <cell r="K6638">
            <v>0</v>
          </cell>
          <cell r="M6638">
            <v>0</v>
          </cell>
          <cell r="P6638">
            <v>0</v>
          </cell>
        </row>
        <row r="6639">
          <cell r="K6639">
            <v>0</v>
          </cell>
          <cell r="M6639">
            <v>0</v>
          </cell>
          <cell r="P6639">
            <v>0</v>
          </cell>
        </row>
        <row r="6640">
          <cell r="K6640">
            <v>0</v>
          </cell>
          <cell r="M6640">
            <v>0</v>
          </cell>
          <cell r="P6640">
            <v>0</v>
          </cell>
        </row>
        <row r="6641">
          <cell r="K6641">
            <v>0</v>
          </cell>
          <cell r="M6641">
            <v>0</v>
          </cell>
          <cell r="P6641">
            <v>0</v>
          </cell>
        </row>
        <row r="6642">
          <cell r="K6642">
            <v>0</v>
          </cell>
          <cell r="M6642">
            <v>0</v>
          </cell>
          <cell r="P6642">
            <v>0</v>
          </cell>
        </row>
        <row r="6643">
          <cell r="K6643">
            <v>0</v>
          </cell>
          <cell r="M6643">
            <v>0</v>
          </cell>
          <cell r="P6643">
            <v>0</v>
          </cell>
        </row>
        <row r="6644">
          <cell r="K6644">
            <v>0</v>
          </cell>
          <cell r="M6644">
            <v>0</v>
          </cell>
          <cell r="P6644">
            <v>0</v>
          </cell>
        </row>
        <row r="6645">
          <cell r="K6645">
            <v>0</v>
          </cell>
          <cell r="M6645">
            <v>0</v>
          </cell>
          <cell r="P6645">
            <v>0</v>
          </cell>
        </row>
        <row r="6646">
          <cell r="K6646">
            <v>0</v>
          </cell>
          <cell r="M6646">
            <v>0</v>
          </cell>
          <cell r="P6646">
            <v>0</v>
          </cell>
        </row>
        <row r="6647">
          <cell r="K6647">
            <v>0</v>
          </cell>
          <cell r="M6647">
            <v>0</v>
          </cell>
          <cell r="P6647">
            <v>0</v>
          </cell>
        </row>
        <row r="6648">
          <cell r="K6648">
            <v>0</v>
          </cell>
          <cell r="M6648">
            <v>0</v>
          </cell>
          <cell r="P6648">
            <v>0</v>
          </cell>
        </row>
        <row r="6649">
          <cell r="K6649">
            <v>0</v>
          </cell>
          <cell r="M6649">
            <v>0</v>
          </cell>
          <cell r="P6649">
            <v>0</v>
          </cell>
        </row>
        <row r="6650">
          <cell r="K6650">
            <v>0</v>
          </cell>
          <cell r="M6650">
            <v>0</v>
          </cell>
          <cell r="P6650">
            <v>0</v>
          </cell>
        </row>
        <row r="6651">
          <cell r="K6651">
            <v>0</v>
          </cell>
          <cell r="M6651">
            <v>0</v>
          </cell>
          <cell r="P6651">
            <v>0</v>
          </cell>
        </row>
        <row r="6652">
          <cell r="K6652">
            <v>0</v>
          </cell>
          <cell r="M6652">
            <v>0</v>
          </cell>
          <cell r="P6652">
            <v>0</v>
          </cell>
        </row>
        <row r="6653">
          <cell r="K6653">
            <v>0</v>
          </cell>
          <cell r="M6653">
            <v>0</v>
          </cell>
          <cell r="P6653">
            <v>0</v>
          </cell>
        </row>
        <row r="6654">
          <cell r="K6654">
            <v>0</v>
          </cell>
          <cell r="M6654">
            <v>0</v>
          </cell>
          <cell r="P6654">
            <v>0</v>
          </cell>
        </row>
        <row r="6655">
          <cell r="K6655">
            <v>0</v>
          </cell>
          <cell r="M6655">
            <v>0</v>
          </cell>
          <cell r="P6655">
            <v>0</v>
          </cell>
        </row>
        <row r="6656">
          <cell r="K6656">
            <v>0</v>
          </cell>
          <cell r="M6656">
            <v>0</v>
          </cell>
          <cell r="P6656">
            <v>0</v>
          </cell>
        </row>
        <row r="6657">
          <cell r="K6657">
            <v>0</v>
          </cell>
          <cell r="M6657">
            <v>0</v>
          </cell>
          <cell r="P6657">
            <v>0</v>
          </cell>
        </row>
        <row r="6658">
          <cell r="K6658">
            <v>0</v>
          </cell>
          <cell r="M6658">
            <v>0</v>
          </cell>
          <cell r="P6658">
            <v>0</v>
          </cell>
        </row>
        <row r="6659">
          <cell r="K6659">
            <v>0</v>
          </cell>
          <cell r="M6659">
            <v>0</v>
          </cell>
          <cell r="P6659">
            <v>0</v>
          </cell>
        </row>
        <row r="6660">
          <cell r="K6660">
            <v>0</v>
          </cell>
          <cell r="M6660">
            <v>0</v>
          </cell>
          <cell r="P6660">
            <v>0</v>
          </cell>
        </row>
        <row r="6661">
          <cell r="K6661">
            <v>0</v>
          </cell>
          <cell r="M6661">
            <v>0</v>
          </cell>
          <cell r="P6661">
            <v>0</v>
          </cell>
        </row>
        <row r="6662">
          <cell r="K6662">
            <v>0</v>
          </cell>
          <cell r="M6662">
            <v>0</v>
          </cell>
          <cell r="P6662">
            <v>0</v>
          </cell>
        </row>
        <row r="6663">
          <cell r="K6663">
            <v>0</v>
          </cell>
          <cell r="M6663">
            <v>0</v>
          </cell>
          <cell r="P6663">
            <v>0</v>
          </cell>
        </row>
        <row r="6664">
          <cell r="K6664">
            <v>0</v>
          </cell>
          <cell r="M6664">
            <v>0</v>
          </cell>
          <cell r="P6664">
            <v>0</v>
          </cell>
        </row>
        <row r="6665">
          <cell r="K6665">
            <v>0</v>
          </cell>
          <cell r="M6665">
            <v>0</v>
          </cell>
          <cell r="P6665">
            <v>0</v>
          </cell>
        </row>
        <row r="6666">
          <cell r="K6666">
            <v>0</v>
          </cell>
          <cell r="M6666">
            <v>0</v>
          </cell>
          <cell r="P6666">
            <v>0</v>
          </cell>
        </row>
        <row r="6667">
          <cell r="K6667">
            <v>0</v>
          </cell>
          <cell r="M6667">
            <v>0</v>
          </cell>
          <cell r="P6667">
            <v>0</v>
          </cell>
        </row>
        <row r="6668">
          <cell r="K6668">
            <v>0</v>
          </cell>
          <cell r="M6668">
            <v>0</v>
          </cell>
          <cell r="P6668">
            <v>0</v>
          </cell>
        </row>
        <row r="6669">
          <cell r="K6669">
            <v>0</v>
          </cell>
          <cell r="M6669">
            <v>0</v>
          </cell>
          <cell r="P6669">
            <v>0</v>
          </cell>
        </row>
        <row r="6670">
          <cell r="K6670">
            <v>0</v>
          </cell>
          <cell r="M6670">
            <v>0</v>
          </cell>
          <cell r="P6670">
            <v>0</v>
          </cell>
        </row>
        <row r="6671">
          <cell r="K6671">
            <v>0</v>
          </cell>
          <cell r="M6671">
            <v>0</v>
          </cell>
          <cell r="P6671">
            <v>0</v>
          </cell>
        </row>
        <row r="6672">
          <cell r="K6672">
            <v>0</v>
          </cell>
          <cell r="M6672">
            <v>0</v>
          </cell>
          <cell r="P6672">
            <v>0</v>
          </cell>
        </row>
        <row r="6673">
          <cell r="K6673">
            <v>0</v>
          </cell>
          <cell r="M6673">
            <v>0</v>
          </cell>
          <cell r="P6673">
            <v>0</v>
          </cell>
        </row>
        <row r="6674">
          <cell r="K6674">
            <v>0</v>
          </cell>
          <cell r="M6674">
            <v>0</v>
          </cell>
          <cell r="P6674">
            <v>0</v>
          </cell>
        </row>
        <row r="6675">
          <cell r="K6675">
            <v>0</v>
          </cell>
          <cell r="M6675">
            <v>0</v>
          </cell>
          <cell r="P6675">
            <v>0</v>
          </cell>
        </row>
        <row r="6676">
          <cell r="K6676">
            <v>0</v>
          </cell>
          <cell r="M6676">
            <v>0</v>
          </cell>
          <cell r="P6676">
            <v>0</v>
          </cell>
        </row>
        <row r="6677">
          <cell r="K6677">
            <v>0</v>
          </cell>
          <cell r="M6677">
            <v>0</v>
          </cell>
          <cell r="P6677">
            <v>0</v>
          </cell>
        </row>
        <row r="6678">
          <cell r="K6678">
            <v>0</v>
          </cell>
          <cell r="M6678">
            <v>0</v>
          </cell>
          <cell r="P6678">
            <v>0</v>
          </cell>
        </row>
        <row r="6679">
          <cell r="K6679">
            <v>0</v>
          </cell>
          <cell r="M6679">
            <v>0</v>
          </cell>
          <cell r="P6679">
            <v>0</v>
          </cell>
        </row>
        <row r="6680">
          <cell r="K6680">
            <v>0</v>
          </cell>
          <cell r="M6680">
            <v>0</v>
          </cell>
          <cell r="P6680">
            <v>0</v>
          </cell>
        </row>
        <row r="6681">
          <cell r="K6681">
            <v>0</v>
          </cell>
          <cell r="M6681">
            <v>0</v>
          </cell>
          <cell r="P6681">
            <v>0</v>
          </cell>
        </row>
        <row r="6682">
          <cell r="K6682">
            <v>0</v>
          </cell>
          <cell r="M6682">
            <v>0</v>
          </cell>
          <cell r="P6682">
            <v>0</v>
          </cell>
        </row>
        <row r="6683">
          <cell r="K6683">
            <v>0</v>
          </cell>
          <cell r="M6683">
            <v>0</v>
          </cell>
          <cell r="P6683">
            <v>0</v>
          </cell>
        </row>
        <row r="6684">
          <cell r="K6684">
            <v>0</v>
          </cell>
          <cell r="M6684">
            <v>0</v>
          </cell>
          <cell r="P6684">
            <v>0</v>
          </cell>
        </row>
        <row r="6685">
          <cell r="K6685">
            <v>0</v>
          </cell>
          <cell r="M6685">
            <v>0</v>
          </cell>
          <cell r="P6685">
            <v>0</v>
          </cell>
        </row>
        <row r="6686">
          <cell r="K6686">
            <v>0</v>
          </cell>
          <cell r="M6686">
            <v>0</v>
          </cell>
          <cell r="P6686">
            <v>0</v>
          </cell>
        </row>
        <row r="6687">
          <cell r="K6687">
            <v>0</v>
          </cell>
          <cell r="M6687">
            <v>0</v>
          </cell>
          <cell r="P6687">
            <v>0</v>
          </cell>
        </row>
        <row r="6688">
          <cell r="K6688">
            <v>0</v>
          </cell>
          <cell r="M6688">
            <v>0</v>
          </cell>
          <cell r="P6688">
            <v>0</v>
          </cell>
        </row>
        <row r="6689">
          <cell r="K6689">
            <v>0</v>
          </cell>
          <cell r="M6689">
            <v>0</v>
          </cell>
          <cell r="P6689">
            <v>0</v>
          </cell>
        </row>
        <row r="6690">
          <cell r="K6690">
            <v>0</v>
          </cell>
          <cell r="M6690">
            <v>0</v>
          </cell>
          <cell r="P6690">
            <v>0</v>
          </cell>
        </row>
        <row r="6691">
          <cell r="K6691">
            <v>0</v>
          </cell>
          <cell r="M6691">
            <v>0</v>
          </cell>
          <cell r="P6691">
            <v>0</v>
          </cell>
        </row>
        <row r="6692">
          <cell r="K6692">
            <v>0</v>
          </cell>
          <cell r="M6692">
            <v>0</v>
          </cell>
          <cell r="P6692">
            <v>0</v>
          </cell>
        </row>
        <row r="6693">
          <cell r="K6693">
            <v>0</v>
          </cell>
          <cell r="M6693">
            <v>0</v>
          </cell>
          <cell r="P6693">
            <v>0</v>
          </cell>
        </row>
        <row r="6694">
          <cell r="K6694">
            <v>0</v>
          </cell>
          <cell r="M6694">
            <v>0</v>
          </cell>
          <cell r="P6694">
            <v>0</v>
          </cell>
        </row>
        <row r="6695">
          <cell r="K6695">
            <v>0</v>
          </cell>
          <cell r="M6695">
            <v>0</v>
          </cell>
          <cell r="P6695">
            <v>0</v>
          </cell>
        </row>
        <row r="6696">
          <cell r="K6696">
            <v>0</v>
          </cell>
          <cell r="M6696">
            <v>0</v>
          </cell>
          <cell r="P6696">
            <v>0</v>
          </cell>
        </row>
        <row r="6697">
          <cell r="K6697">
            <v>0</v>
          </cell>
          <cell r="M6697">
            <v>0</v>
          </cell>
          <cell r="P6697">
            <v>0</v>
          </cell>
        </row>
        <row r="6698">
          <cell r="K6698">
            <v>0</v>
          </cell>
          <cell r="M6698">
            <v>0</v>
          </cell>
          <cell r="P6698">
            <v>0</v>
          </cell>
        </row>
        <row r="6699">
          <cell r="K6699">
            <v>0</v>
          </cell>
          <cell r="M6699">
            <v>0</v>
          </cell>
          <cell r="P6699">
            <v>0</v>
          </cell>
        </row>
        <row r="6700">
          <cell r="K6700">
            <v>0</v>
          </cell>
          <cell r="M6700">
            <v>0</v>
          </cell>
          <cell r="P6700">
            <v>0</v>
          </cell>
        </row>
        <row r="6701">
          <cell r="K6701">
            <v>0</v>
          </cell>
          <cell r="M6701">
            <v>0</v>
          </cell>
          <cell r="P6701">
            <v>0</v>
          </cell>
        </row>
        <row r="6702">
          <cell r="K6702">
            <v>0</v>
          </cell>
          <cell r="M6702">
            <v>0</v>
          </cell>
          <cell r="P6702">
            <v>0</v>
          </cell>
        </row>
        <row r="6703">
          <cell r="K6703">
            <v>0</v>
          </cell>
          <cell r="M6703">
            <v>0</v>
          </cell>
          <cell r="P6703">
            <v>0</v>
          </cell>
        </row>
        <row r="6704">
          <cell r="K6704">
            <v>0</v>
          </cell>
          <cell r="M6704">
            <v>0</v>
          </cell>
          <cell r="P6704">
            <v>0</v>
          </cell>
        </row>
        <row r="6705">
          <cell r="K6705">
            <v>0</v>
          </cell>
          <cell r="M6705">
            <v>0</v>
          </cell>
          <cell r="P6705">
            <v>0</v>
          </cell>
        </row>
        <row r="6706">
          <cell r="K6706">
            <v>0</v>
          </cell>
          <cell r="M6706">
            <v>0</v>
          </cell>
          <cell r="P6706">
            <v>0</v>
          </cell>
        </row>
        <row r="6707">
          <cell r="K6707">
            <v>0</v>
          </cell>
          <cell r="M6707">
            <v>0</v>
          </cell>
          <cell r="P6707">
            <v>0</v>
          </cell>
        </row>
        <row r="6708">
          <cell r="K6708">
            <v>0</v>
          </cell>
          <cell r="M6708">
            <v>0</v>
          </cell>
          <cell r="P6708">
            <v>0</v>
          </cell>
        </row>
        <row r="6709">
          <cell r="K6709">
            <v>0</v>
          </cell>
          <cell r="M6709">
            <v>0</v>
          </cell>
          <cell r="P6709">
            <v>0</v>
          </cell>
        </row>
        <row r="6710">
          <cell r="K6710">
            <v>0</v>
          </cell>
          <cell r="M6710">
            <v>0</v>
          </cell>
          <cell r="P6710">
            <v>0</v>
          </cell>
        </row>
        <row r="6711">
          <cell r="K6711">
            <v>0</v>
          </cell>
          <cell r="M6711">
            <v>0</v>
          </cell>
          <cell r="P6711">
            <v>0</v>
          </cell>
        </row>
        <row r="6712">
          <cell r="K6712">
            <v>0</v>
          </cell>
          <cell r="M6712">
            <v>0</v>
          </cell>
          <cell r="P6712">
            <v>0</v>
          </cell>
        </row>
        <row r="6713">
          <cell r="K6713">
            <v>0</v>
          </cell>
          <cell r="M6713">
            <v>0</v>
          </cell>
          <cell r="P6713">
            <v>0</v>
          </cell>
        </row>
        <row r="6714">
          <cell r="K6714">
            <v>0</v>
          </cell>
          <cell r="M6714">
            <v>0</v>
          </cell>
          <cell r="P6714">
            <v>0</v>
          </cell>
        </row>
        <row r="6715">
          <cell r="K6715">
            <v>0</v>
          </cell>
          <cell r="M6715">
            <v>0</v>
          </cell>
          <cell r="P6715">
            <v>0</v>
          </cell>
        </row>
        <row r="6716">
          <cell r="K6716">
            <v>0</v>
          </cell>
          <cell r="M6716">
            <v>0</v>
          </cell>
          <cell r="P6716">
            <v>0</v>
          </cell>
        </row>
        <row r="6717">
          <cell r="K6717">
            <v>0</v>
          </cell>
          <cell r="M6717">
            <v>0</v>
          </cell>
          <cell r="P6717">
            <v>0</v>
          </cell>
        </row>
        <row r="6718">
          <cell r="K6718">
            <v>0</v>
          </cell>
          <cell r="M6718">
            <v>0</v>
          </cell>
          <cell r="P6718">
            <v>0</v>
          </cell>
        </row>
        <row r="6719">
          <cell r="K6719">
            <v>0</v>
          </cell>
          <cell r="M6719">
            <v>0</v>
          </cell>
          <cell r="P6719">
            <v>0</v>
          </cell>
        </row>
        <row r="6720">
          <cell r="K6720">
            <v>0</v>
          </cell>
          <cell r="M6720">
            <v>0</v>
          </cell>
          <cell r="P6720">
            <v>0</v>
          </cell>
        </row>
        <row r="6721">
          <cell r="K6721">
            <v>0</v>
          </cell>
          <cell r="M6721">
            <v>0</v>
          </cell>
          <cell r="P6721">
            <v>0</v>
          </cell>
        </row>
        <row r="6722">
          <cell r="K6722">
            <v>0</v>
          </cell>
          <cell r="M6722">
            <v>0</v>
          </cell>
          <cell r="P6722">
            <v>0</v>
          </cell>
        </row>
        <row r="6723">
          <cell r="K6723">
            <v>0</v>
          </cell>
          <cell r="M6723">
            <v>0</v>
          </cell>
          <cell r="P6723">
            <v>0</v>
          </cell>
        </row>
        <row r="6724">
          <cell r="K6724">
            <v>0</v>
          </cell>
          <cell r="M6724">
            <v>0</v>
          </cell>
          <cell r="P6724">
            <v>0</v>
          </cell>
        </row>
        <row r="6725">
          <cell r="K6725">
            <v>0</v>
          </cell>
          <cell r="M6725">
            <v>0</v>
          </cell>
          <cell r="P6725">
            <v>0</v>
          </cell>
        </row>
        <row r="6726">
          <cell r="K6726">
            <v>0</v>
          </cell>
          <cell r="M6726">
            <v>0</v>
          </cell>
          <cell r="P6726">
            <v>0</v>
          </cell>
        </row>
        <row r="6727">
          <cell r="K6727">
            <v>0</v>
          </cell>
          <cell r="M6727">
            <v>0</v>
          </cell>
          <cell r="P6727">
            <v>0</v>
          </cell>
        </row>
        <row r="6728">
          <cell r="K6728">
            <v>0</v>
          </cell>
          <cell r="M6728">
            <v>0</v>
          </cell>
          <cell r="P6728">
            <v>0</v>
          </cell>
        </row>
        <row r="6729">
          <cell r="K6729">
            <v>0</v>
          </cell>
          <cell r="M6729">
            <v>0</v>
          </cell>
          <cell r="P6729">
            <v>0</v>
          </cell>
        </row>
        <row r="6730">
          <cell r="K6730">
            <v>0</v>
          </cell>
          <cell r="M6730">
            <v>0</v>
          </cell>
          <cell r="P6730">
            <v>0</v>
          </cell>
        </row>
        <row r="6731">
          <cell r="K6731">
            <v>0</v>
          </cell>
          <cell r="M6731">
            <v>0</v>
          </cell>
          <cell r="P6731">
            <v>0</v>
          </cell>
        </row>
        <row r="6732">
          <cell r="K6732">
            <v>0</v>
          </cell>
          <cell r="M6732">
            <v>0</v>
          </cell>
          <cell r="P6732">
            <v>0</v>
          </cell>
        </row>
        <row r="6733">
          <cell r="K6733">
            <v>0</v>
          </cell>
          <cell r="M6733">
            <v>0</v>
          </cell>
          <cell r="P6733">
            <v>0</v>
          </cell>
        </row>
        <row r="6734">
          <cell r="K6734">
            <v>0</v>
          </cell>
          <cell r="M6734">
            <v>0</v>
          </cell>
          <cell r="P6734">
            <v>0</v>
          </cell>
        </row>
        <row r="6735">
          <cell r="K6735">
            <v>0</v>
          </cell>
          <cell r="M6735">
            <v>0</v>
          </cell>
          <cell r="P6735">
            <v>0</v>
          </cell>
        </row>
        <row r="6736">
          <cell r="K6736">
            <v>0</v>
          </cell>
          <cell r="M6736">
            <v>0</v>
          </cell>
          <cell r="P6736">
            <v>0</v>
          </cell>
        </row>
        <row r="6737">
          <cell r="K6737">
            <v>0</v>
          </cell>
          <cell r="M6737">
            <v>0</v>
          </cell>
          <cell r="P6737">
            <v>0</v>
          </cell>
        </row>
        <row r="6738">
          <cell r="K6738">
            <v>0</v>
          </cell>
          <cell r="M6738">
            <v>0</v>
          </cell>
          <cell r="P6738">
            <v>0</v>
          </cell>
        </row>
        <row r="6739">
          <cell r="K6739">
            <v>0</v>
          </cell>
          <cell r="M6739">
            <v>0</v>
          </cell>
          <cell r="P6739">
            <v>0</v>
          </cell>
        </row>
        <row r="6740">
          <cell r="K6740">
            <v>0</v>
          </cell>
          <cell r="M6740">
            <v>0</v>
          </cell>
          <cell r="P6740">
            <v>0</v>
          </cell>
        </row>
        <row r="6741">
          <cell r="K6741">
            <v>0</v>
          </cell>
          <cell r="M6741">
            <v>0</v>
          </cell>
          <cell r="P6741">
            <v>0</v>
          </cell>
        </row>
        <row r="6742">
          <cell r="K6742">
            <v>0</v>
          </cell>
          <cell r="M6742">
            <v>0</v>
          </cell>
          <cell r="P6742">
            <v>0</v>
          </cell>
        </row>
        <row r="6743">
          <cell r="K6743">
            <v>0</v>
          </cell>
          <cell r="M6743">
            <v>0</v>
          </cell>
          <cell r="P6743">
            <v>0</v>
          </cell>
        </row>
        <row r="6744">
          <cell r="K6744">
            <v>0</v>
          </cell>
          <cell r="M6744">
            <v>0</v>
          </cell>
          <cell r="P6744">
            <v>0</v>
          </cell>
        </row>
        <row r="6745">
          <cell r="K6745">
            <v>0</v>
          </cell>
          <cell r="M6745">
            <v>0</v>
          </cell>
          <cell r="P6745">
            <v>0</v>
          </cell>
        </row>
        <row r="6746">
          <cell r="K6746">
            <v>0</v>
          </cell>
          <cell r="M6746">
            <v>0</v>
          </cell>
          <cell r="P6746">
            <v>0</v>
          </cell>
        </row>
        <row r="6747">
          <cell r="K6747">
            <v>0</v>
          </cell>
          <cell r="M6747">
            <v>0</v>
          </cell>
          <cell r="P6747">
            <v>0</v>
          </cell>
        </row>
        <row r="6748">
          <cell r="K6748">
            <v>0</v>
          </cell>
          <cell r="M6748">
            <v>0</v>
          </cell>
          <cell r="P6748">
            <v>0</v>
          </cell>
        </row>
        <row r="6749">
          <cell r="K6749">
            <v>0</v>
          </cell>
          <cell r="M6749">
            <v>0</v>
          </cell>
          <cell r="P6749">
            <v>0</v>
          </cell>
        </row>
        <row r="6750">
          <cell r="K6750">
            <v>0</v>
          </cell>
          <cell r="M6750">
            <v>0</v>
          </cell>
          <cell r="P6750">
            <v>0</v>
          </cell>
        </row>
        <row r="6751">
          <cell r="K6751">
            <v>0</v>
          </cell>
          <cell r="M6751">
            <v>0</v>
          </cell>
          <cell r="P6751">
            <v>0</v>
          </cell>
        </row>
        <row r="6752">
          <cell r="K6752">
            <v>0</v>
          </cell>
          <cell r="M6752">
            <v>0</v>
          </cell>
          <cell r="P6752">
            <v>0</v>
          </cell>
        </row>
        <row r="6753">
          <cell r="K6753">
            <v>0</v>
          </cell>
          <cell r="M6753">
            <v>0</v>
          </cell>
          <cell r="P6753">
            <v>0</v>
          </cell>
        </row>
        <row r="6754">
          <cell r="K6754">
            <v>0</v>
          </cell>
          <cell r="M6754">
            <v>0</v>
          </cell>
          <cell r="P6754">
            <v>0</v>
          </cell>
        </row>
        <row r="6755">
          <cell r="K6755">
            <v>0</v>
          </cell>
          <cell r="M6755">
            <v>0</v>
          </cell>
          <cell r="P6755">
            <v>0</v>
          </cell>
        </row>
        <row r="6756">
          <cell r="K6756">
            <v>0</v>
          </cell>
          <cell r="M6756">
            <v>0</v>
          </cell>
          <cell r="P6756">
            <v>0</v>
          </cell>
        </row>
        <row r="6757">
          <cell r="K6757">
            <v>0</v>
          </cell>
          <cell r="M6757">
            <v>0</v>
          </cell>
          <cell r="P6757">
            <v>0</v>
          </cell>
        </row>
        <row r="6758">
          <cell r="K6758">
            <v>0</v>
          </cell>
          <cell r="M6758">
            <v>0</v>
          </cell>
          <cell r="P6758">
            <v>0</v>
          </cell>
        </row>
        <row r="6759">
          <cell r="K6759">
            <v>0</v>
          </cell>
          <cell r="M6759">
            <v>0</v>
          </cell>
          <cell r="P6759">
            <v>0</v>
          </cell>
        </row>
        <row r="6760">
          <cell r="K6760">
            <v>0</v>
          </cell>
          <cell r="M6760">
            <v>0</v>
          </cell>
          <cell r="P6760">
            <v>0</v>
          </cell>
        </row>
        <row r="6761">
          <cell r="K6761">
            <v>0</v>
          </cell>
          <cell r="M6761">
            <v>0</v>
          </cell>
          <cell r="P6761">
            <v>0</v>
          </cell>
        </row>
        <row r="6762">
          <cell r="K6762">
            <v>0</v>
          </cell>
          <cell r="M6762">
            <v>0</v>
          </cell>
          <cell r="P6762">
            <v>0</v>
          </cell>
        </row>
        <row r="6763">
          <cell r="K6763">
            <v>0</v>
          </cell>
          <cell r="M6763">
            <v>0</v>
          </cell>
          <cell r="P6763">
            <v>0</v>
          </cell>
        </row>
        <row r="6764">
          <cell r="K6764">
            <v>0</v>
          </cell>
          <cell r="M6764">
            <v>0</v>
          </cell>
          <cell r="P6764">
            <v>0</v>
          </cell>
        </row>
        <row r="6765">
          <cell r="K6765">
            <v>0</v>
          </cell>
          <cell r="M6765">
            <v>0</v>
          </cell>
          <cell r="P6765">
            <v>0</v>
          </cell>
        </row>
        <row r="6766">
          <cell r="K6766">
            <v>0</v>
          </cell>
          <cell r="M6766">
            <v>0</v>
          </cell>
          <cell r="P6766">
            <v>0</v>
          </cell>
        </row>
        <row r="6767">
          <cell r="K6767">
            <v>0</v>
          </cell>
          <cell r="M6767">
            <v>0</v>
          </cell>
          <cell r="P6767">
            <v>0</v>
          </cell>
        </row>
        <row r="6768">
          <cell r="K6768">
            <v>0</v>
          </cell>
          <cell r="M6768">
            <v>0</v>
          </cell>
          <cell r="P6768">
            <v>0</v>
          </cell>
        </row>
        <row r="6769">
          <cell r="K6769">
            <v>0</v>
          </cell>
          <cell r="M6769">
            <v>0</v>
          </cell>
          <cell r="P6769">
            <v>0</v>
          </cell>
        </row>
        <row r="6770">
          <cell r="K6770">
            <v>0</v>
          </cell>
          <cell r="M6770">
            <v>0</v>
          </cell>
          <cell r="P6770">
            <v>0</v>
          </cell>
        </row>
        <row r="6771">
          <cell r="K6771">
            <v>0</v>
          </cell>
          <cell r="M6771">
            <v>0</v>
          </cell>
          <cell r="P6771">
            <v>0</v>
          </cell>
        </row>
        <row r="6772">
          <cell r="K6772">
            <v>0</v>
          </cell>
          <cell r="M6772">
            <v>0</v>
          </cell>
          <cell r="P6772">
            <v>0</v>
          </cell>
        </row>
        <row r="6773">
          <cell r="K6773">
            <v>0</v>
          </cell>
          <cell r="M6773">
            <v>0</v>
          </cell>
          <cell r="P6773">
            <v>0</v>
          </cell>
        </row>
        <row r="6774">
          <cell r="K6774">
            <v>0</v>
          </cell>
          <cell r="M6774">
            <v>0</v>
          </cell>
          <cell r="P6774">
            <v>0</v>
          </cell>
        </row>
        <row r="6775">
          <cell r="K6775">
            <v>0</v>
          </cell>
          <cell r="M6775">
            <v>0</v>
          </cell>
          <cell r="P6775">
            <v>0</v>
          </cell>
        </row>
        <row r="6776">
          <cell r="K6776">
            <v>0</v>
          </cell>
          <cell r="M6776">
            <v>0</v>
          </cell>
          <cell r="P6776">
            <v>0</v>
          </cell>
        </row>
        <row r="6777">
          <cell r="K6777">
            <v>0</v>
          </cell>
          <cell r="M6777">
            <v>0</v>
          </cell>
          <cell r="P6777">
            <v>0</v>
          </cell>
        </row>
        <row r="6778">
          <cell r="K6778">
            <v>0</v>
          </cell>
          <cell r="M6778">
            <v>0</v>
          </cell>
          <cell r="P6778">
            <v>0</v>
          </cell>
        </row>
        <row r="6779">
          <cell r="K6779">
            <v>0</v>
          </cell>
          <cell r="M6779">
            <v>0</v>
          </cell>
          <cell r="P6779">
            <v>0</v>
          </cell>
        </row>
        <row r="6780">
          <cell r="K6780">
            <v>0</v>
          </cell>
          <cell r="M6780">
            <v>0</v>
          </cell>
          <cell r="P6780">
            <v>0</v>
          </cell>
        </row>
        <row r="6781">
          <cell r="K6781">
            <v>0</v>
          </cell>
          <cell r="M6781">
            <v>0</v>
          </cell>
          <cell r="P6781">
            <v>0</v>
          </cell>
        </row>
        <row r="6782">
          <cell r="K6782">
            <v>0</v>
          </cell>
          <cell r="M6782">
            <v>0</v>
          </cell>
          <cell r="P6782">
            <v>0</v>
          </cell>
        </row>
        <row r="6783">
          <cell r="K6783">
            <v>0</v>
          </cell>
          <cell r="M6783">
            <v>0</v>
          </cell>
          <cell r="P6783">
            <v>0</v>
          </cell>
        </row>
        <row r="6784">
          <cell r="K6784">
            <v>0</v>
          </cell>
          <cell r="M6784">
            <v>0</v>
          </cell>
          <cell r="P6784">
            <v>0</v>
          </cell>
        </row>
        <row r="6785">
          <cell r="K6785">
            <v>0</v>
          </cell>
          <cell r="M6785">
            <v>0</v>
          </cell>
          <cell r="P6785">
            <v>0</v>
          </cell>
        </row>
        <row r="6786">
          <cell r="K6786">
            <v>0</v>
          </cell>
          <cell r="M6786">
            <v>0</v>
          </cell>
          <cell r="P6786">
            <v>0</v>
          </cell>
        </row>
        <row r="6787">
          <cell r="K6787">
            <v>0</v>
          </cell>
          <cell r="M6787">
            <v>0</v>
          </cell>
          <cell r="P6787">
            <v>0</v>
          </cell>
        </row>
        <row r="6788">
          <cell r="K6788">
            <v>0</v>
          </cell>
          <cell r="M6788">
            <v>0</v>
          </cell>
          <cell r="P6788">
            <v>0</v>
          </cell>
        </row>
        <row r="6789">
          <cell r="K6789">
            <v>0</v>
          </cell>
          <cell r="M6789">
            <v>0</v>
          </cell>
          <cell r="P6789">
            <v>0</v>
          </cell>
        </row>
        <row r="6790">
          <cell r="K6790">
            <v>0</v>
          </cell>
          <cell r="M6790">
            <v>0</v>
          </cell>
          <cell r="P6790">
            <v>0</v>
          </cell>
        </row>
        <row r="6791">
          <cell r="K6791">
            <v>0</v>
          </cell>
          <cell r="M6791">
            <v>0</v>
          </cell>
          <cell r="P6791">
            <v>0</v>
          </cell>
        </row>
        <row r="6792">
          <cell r="K6792">
            <v>0</v>
          </cell>
          <cell r="M6792">
            <v>0</v>
          </cell>
          <cell r="P6792">
            <v>0</v>
          </cell>
        </row>
        <row r="6793">
          <cell r="K6793">
            <v>0</v>
          </cell>
          <cell r="M6793">
            <v>0</v>
          </cell>
          <cell r="P6793">
            <v>0</v>
          </cell>
        </row>
        <row r="6794">
          <cell r="K6794">
            <v>0</v>
          </cell>
          <cell r="M6794">
            <v>0</v>
          </cell>
          <cell r="P6794">
            <v>0</v>
          </cell>
        </row>
        <row r="6795">
          <cell r="K6795">
            <v>0</v>
          </cell>
          <cell r="M6795">
            <v>0</v>
          </cell>
          <cell r="P6795">
            <v>0</v>
          </cell>
        </row>
        <row r="6796">
          <cell r="K6796">
            <v>0</v>
          </cell>
          <cell r="M6796">
            <v>0</v>
          </cell>
          <cell r="P6796">
            <v>0</v>
          </cell>
        </row>
        <row r="6797">
          <cell r="K6797">
            <v>0</v>
          </cell>
          <cell r="M6797">
            <v>0</v>
          </cell>
          <cell r="P6797">
            <v>0</v>
          </cell>
        </row>
        <row r="6798">
          <cell r="K6798">
            <v>0</v>
          </cell>
          <cell r="M6798">
            <v>0</v>
          </cell>
          <cell r="P6798">
            <v>0</v>
          </cell>
        </row>
        <row r="6799">
          <cell r="K6799">
            <v>0</v>
          </cell>
          <cell r="M6799">
            <v>0</v>
          </cell>
          <cell r="P6799">
            <v>0</v>
          </cell>
        </row>
        <row r="6800">
          <cell r="K6800">
            <v>0</v>
          </cell>
          <cell r="M6800">
            <v>0</v>
          </cell>
          <cell r="P6800">
            <v>0</v>
          </cell>
        </row>
        <row r="6801">
          <cell r="K6801">
            <v>0</v>
          </cell>
          <cell r="M6801">
            <v>0</v>
          </cell>
          <cell r="P6801">
            <v>0</v>
          </cell>
        </row>
        <row r="6802">
          <cell r="K6802">
            <v>0</v>
          </cell>
          <cell r="M6802">
            <v>0</v>
          </cell>
          <cell r="P6802">
            <v>0</v>
          </cell>
        </row>
        <row r="6803">
          <cell r="K6803">
            <v>0</v>
          </cell>
          <cell r="M6803">
            <v>0</v>
          </cell>
          <cell r="P6803">
            <v>0</v>
          </cell>
        </row>
        <row r="6804">
          <cell r="K6804">
            <v>0</v>
          </cell>
          <cell r="M6804">
            <v>0</v>
          </cell>
          <cell r="P6804">
            <v>0</v>
          </cell>
        </row>
        <row r="6805">
          <cell r="K6805">
            <v>0</v>
          </cell>
          <cell r="M6805">
            <v>0</v>
          </cell>
          <cell r="P6805">
            <v>0</v>
          </cell>
        </row>
        <row r="6806">
          <cell r="K6806">
            <v>0</v>
          </cell>
          <cell r="M6806">
            <v>0</v>
          </cell>
          <cell r="P6806">
            <v>0</v>
          </cell>
        </row>
        <row r="6807">
          <cell r="K6807">
            <v>0</v>
          </cell>
          <cell r="M6807">
            <v>0</v>
          </cell>
          <cell r="P6807">
            <v>0</v>
          </cell>
        </row>
        <row r="6808">
          <cell r="K6808">
            <v>0</v>
          </cell>
          <cell r="M6808">
            <v>0</v>
          </cell>
          <cell r="P6808">
            <v>0</v>
          </cell>
        </row>
        <row r="6809">
          <cell r="K6809">
            <v>0</v>
          </cell>
          <cell r="M6809">
            <v>0</v>
          </cell>
          <cell r="P6809">
            <v>0</v>
          </cell>
        </row>
        <row r="6810">
          <cell r="K6810">
            <v>0</v>
          </cell>
          <cell r="M6810">
            <v>0</v>
          </cell>
          <cell r="P6810">
            <v>0</v>
          </cell>
        </row>
        <row r="6811">
          <cell r="K6811">
            <v>0</v>
          </cell>
          <cell r="M6811">
            <v>0</v>
          </cell>
          <cell r="P6811">
            <v>0</v>
          </cell>
        </row>
        <row r="6812">
          <cell r="K6812">
            <v>0</v>
          </cell>
          <cell r="M6812">
            <v>0</v>
          </cell>
          <cell r="P6812">
            <v>0</v>
          </cell>
        </row>
        <row r="6813">
          <cell r="K6813">
            <v>0</v>
          </cell>
          <cell r="M6813">
            <v>0</v>
          </cell>
          <cell r="P6813">
            <v>0</v>
          </cell>
        </row>
        <row r="6814">
          <cell r="K6814">
            <v>0</v>
          </cell>
          <cell r="M6814">
            <v>0</v>
          </cell>
          <cell r="P6814">
            <v>0</v>
          </cell>
        </row>
        <row r="6815">
          <cell r="K6815">
            <v>0</v>
          </cell>
          <cell r="M6815">
            <v>0</v>
          </cell>
          <cell r="P6815">
            <v>0</v>
          </cell>
        </row>
        <row r="6816">
          <cell r="K6816">
            <v>0</v>
          </cell>
          <cell r="M6816">
            <v>0</v>
          </cell>
          <cell r="P6816">
            <v>0</v>
          </cell>
        </row>
        <row r="6817">
          <cell r="K6817">
            <v>0</v>
          </cell>
          <cell r="M6817">
            <v>0</v>
          </cell>
          <cell r="P6817">
            <v>0</v>
          </cell>
        </row>
        <row r="6818">
          <cell r="K6818">
            <v>0</v>
          </cell>
          <cell r="M6818">
            <v>0</v>
          </cell>
          <cell r="P6818">
            <v>0</v>
          </cell>
        </row>
        <row r="6819">
          <cell r="K6819">
            <v>0</v>
          </cell>
          <cell r="M6819">
            <v>0</v>
          </cell>
          <cell r="P6819">
            <v>0</v>
          </cell>
        </row>
        <row r="6820">
          <cell r="K6820">
            <v>0</v>
          </cell>
          <cell r="M6820">
            <v>0</v>
          </cell>
          <cell r="P6820">
            <v>0</v>
          </cell>
        </row>
        <row r="6821">
          <cell r="K6821">
            <v>0</v>
          </cell>
          <cell r="M6821">
            <v>0</v>
          </cell>
          <cell r="P6821">
            <v>0</v>
          </cell>
        </row>
        <row r="6822">
          <cell r="K6822">
            <v>0</v>
          </cell>
          <cell r="M6822">
            <v>0</v>
          </cell>
          <cell r="P6822">
            <v>0</v>
          </cell>
        </row>
        <row r="6823">
          <cell r="K6823">
            <v>0</v>
          </cell>
          <cell r="M6823">
            <v>0</v>
          </cell>
          <cell r="P6823">
            <v>0</v>
          </cell>
        </row>
        <row r="6824">
          <cell r="K6824">
            <v>0</v>
          </cell>
          <cell r="M6824">
            <v>0</v>
          </cell>
          <cell r="P6824">
            <v>0</v>
          </cell>
        </row>
        <row r="6825">
          <cell r="K6825">
            <v>0</v>
          </cell>
          <cell r="M6825">
            <v>0</v>
          </cell>
          <cell r="P6825">
            <v>0</v>
          </cell>
        </row>
        <row r="6826">
          <cell r="K6826">
            <v>0</v>
          </cell>
          <cell r="M6826">
            <v>0</v>
          </cell>
          <cell r="P6826">
            <v>0</v>
          </cell>
        </row>
        <row r="6827">
          <cell r="K6827">
            <v>0</v>
          </cell>
          <cell r="M6827">
            <v>0</v>
          </cell>
          <cell r="P6827">
            <v>0</v>
          </cell>
        </row>
        <row r="6828">
          <cell r="K6828">
            <v>0</v>
          </cell>
          <cell r="M6828">
            <v>0</v>
          </cell>
          <cell r="P6828">
            <v>0</v>
          </cell>
        </row>
        <row r="6829">
          <cell r="K6829">
            <v>0</v>
          </cell>
          <cell r="M6829">
            <v>0</v>
          </cell>
          <cell r="P6829">
            <v>0</v>
          </cell>
        </row>
        <row r="6830">
          <cell r="K6830">
            <v>0</v>
          </cell>
          <cell r="M6830">
            <v>0</v>
          </cell>
          <cell r="P6830">
            <v>0</v>
          </cell>
        </row>
        <row r="6831">
          <cell r="K6831">
            <v>0</v>
          </cell>
          <cell r="M6831">
            <v>0</v>
          </cell>
          <cell r="P6831">
            <v>0</v>
          </cell>
        </row>
        <row r="6832">
          <cell r="K6832">
            <v>0</v>
          </cell>
          <cell r="M6832">
            <v>0</v>
          </cell>
          <cell r="P6832">
            <v>0</v>
          </cell>
        </row>
        <row r="6833">
          <cell r="K6833">
            <v>0</v>
          </cell>
          <cell r="M6833">
            <v>0</v>
          </cell>
          <cell r="P6833">
            <v>0</v>
          </cell>
        </row>
        <row r="6834">
          <cell r="K6834">
            <v>0</v>
          </cell>
          <cell r="M6834">
            <v>0</v>
          </cell>
          <cell r="P6834">
            <v>0</v>
          </cell>
        </row>
        <row r="6835">
          <cell r="K6835">
            <v>0</v>
          </cell>
          <cell r="M6835">
            <v>0</v>
          </cell>
          <cell r="P6835">
            <v>0</v>
          </cell>
        </row>
        <row r="6836">
          <cell r="K6836">
            <v>0</v>
          </cell>
          <cell r="M6836">
            <v>0</v>
          </cell>
          <cell r="P6836">
            <v>0</v>
          </cell>
        </row>
        <row r="6837">
          <cell r="K6837">
            <v>0</v>
          </cell>
          <cell r="M6837">
            <v>0</v>
          </cell>
          <cell r="P6837">
            <v>0</v>
          </cell>
        </row>
        <row r="6838">
          <cell r="K6838">
            <v>0</v>
          </cell>
          <cell r="M6838">
            <v>0</v>
          </cell>
          <cell r="P6838">
            <v>0</v>
          </cell>
        </row>
        <row r="6839">
          <cell r="K6839">
            <v>0</v>
          </cell>
          <cell r="M6839">
            <v>0</v>
          </cell>
          <cell r="P6839">
            <v>0</v>
          </cell>
        </row>
        <row r="6840">
          <cell r="K6840">
            <v>0</v>
          </cell>
          <cell r="M6840">
            <v>0</v>
          </cell>
          <cell r="P6840">
            <v>0</v>
          </cell>
        </row>
        <row r="6841">
          <cell r="K6841">
            <v>0</v>
          </cell>
          <cell r="M6841">
            <v>0</v>
          </cell>
          <cell r="P6841">
            <v>0</v>
          </cell>
        </row>
        <row r="6842">
          <cell r="K6842">
            <v>0</v>
          </cell>
          <cell r="M6842">
            <v>0</v>
          </cell>
          <cell r="P6842">
            <v>0</v>
          </cell>
        </row>
        <row r="6843">
          <cell r="K6843">
            <v>0</v>
          </cell>
          <cell r="M6843">
            <v>0</v>
          </cell>
          <cell r="P6843">
            <v>0</v>
          </cell>
        </row>
        <row r="6844">
          <cell r="K6844">
            <v>0</v>
          </cell>
          <cell r="M6844">
            <v>0</v>
          </cell>
          <cell r="P6844">
            <v>0</v>
          </cell>
        </row>
        <row r="6845">
          <cell r="K6845">
            <v>0</v>
          </cell>
          <cell r="M6845">
            <v>0</v>
          </cell>
          <cell r="P6845">
            <v>0</v>
          </cell>
        </row>
        <row r="6846">
          <cell r="K6846">
            <v>0</v>
          </cell>
          <cell r="M6846">
            <v>0</v>
          </cell>
          <cell r="P6846">
            <v>0</v>
          </cell>
        </row>
        <row r="6847">
          <cell r="K6847">
            <v>0</v>
          </cell>
          <cell r="M6847">
            <v>0</v>
          </cell>
          <cell r="P6847">
            <v>0</v>
          </cell>
        </row>
        <row r="6848">
          <cell r="K6848">
            <v>0</v>
          </cell>
          <cell r="M6848">
            <v>0</v>
          </cell>
          <cell r="P6848">
            <v>0</v>
          </cell>
        </row>
        <row r="6849">
          <cell r="K6849">
            <v>0</v>
          </cell>
          <cell r="M6849">
            <v>0</v>
          </cell>
          <cell r="P6849">
            <v>0</v>
          </cell>
        </row>
        <row r="6850">
          <cell r="K6850">
            <v>0</v>
          </cell>
          <cell r="M6850">
            <v>0</v>
          </cell>
          <cell r="P6850">
            <v>0</v>
          </cell>
        </row>
        <row r="6851">
          <cell r="K6851">
            <v>0</v>
          </cell>
          <cell r="M6851">
            <v>0</v>
          </cell>
          <cell r="P6851">
            <v>0</v>
          </cell>
        </row>
        <row r="6852">
          <cell r="K6852">
            <v>0</v>
          </cell>
          <cell r="M6852">
            <v>0</v>
          </cell>
          <cell r="P6852">
            <v>0</v>
          </cell>
        </row>
        <row r="6853">
          <cell r="K6853">
            <v>0</v>
          </cell>
          <cell r="M6853">
            <v>0</v>
          </cell>
          <cell r="P6853">
            <v>0</v>
          </cell>
        </row>
        <row r="6854">
          <cell r="K6854">
            <v>0</v>
          </cell>
          <cell r="M6854">
            <v>0</v>
          </cell>
          <cell r="P6854">
            <v>0</v>
          </cell>
        </row>
        <row r="6855">
          <cell r="K6855">
            <v>0</v>
          </cell>
          <cell r="M6855">
            <v>0</v>
          </cell>
          <cell r="P6855">
            <v>0</v>
          </cell>
        </row>
        <row r="6856">
          <cell r="K6856">
            <v>0</v>
          </cell>
          <cell r="M6856">
            <v>0</v>
          </cell>
          <cell r="P6856">
            <v>0</v>
          </cell>
        </row>
        <row r="6857">
          <cell r="K6857">
            <v>0</v>
          </cell>
          <cell r="M6857">
            <v>0</v>
          </cell>
          <cell r="P6857">
            <v>0</v>
          </cell>
        </row>
        <row r="6858">
          <cell r="K6858">
            <v>0</v>
          </cell>
          <cell r="M6858">
            <v>0</v>
          </cell>
          <cell r="P6858">
            <v>0</v>
          </cell>
        </row>
        <row r="6859">
          <cell r="K6859">
            <v>0</v>
          </cell>
          <cell r="M6859">
            <v>0</v>
          </cell>
          <cell r="P6859">
            <v>0</v>
          </cell>
        </row>
        <row r="6860">
          <cell r="K6860">
            <v>0</v>
          </cell>
          <cell r="M6860">
            <v>0</v>
          </cell>
          <cell r="P6860">
            <v>0</v>
          </cell>
        </row>
        <row r="6861">
          <cell r="K6861">
            <v>0</v>
          </cell>
          <cell r="M6861">
            <v>0</v>
          </cell>
          <cell r="P6861">
            <v>0</v>
          </cell>
        </row>
        <row r="6862">
          <cell r="K6862">
            <v>0</v>
          </cell>
          <cell r="M6862">
            <v>0</v>
          </cell>
          <cell r="P6862">
            <v>0</v>
          </cell>
        </row>
        <row r="6863">
          <cell r="K6863">
            <v>0</v>
          </cell>
          <cell r="M6863">
            <v>0</v>
          </cell>
          <cell r="P6863">
            <v>0</v>
          </cell>
        </row>
        <row r="6864">
          <cell r="K6864">
            <v>0</v>
          </cell>
          <cell r="M6864">
            <v>0</v>
          </cell>
          <cell r="P6864">
            <v>0</v>
          </cell>
        </row>
        <row r="6865">
          <cell r="K6865">
            <v>0</v>
          </cell>
          <cell r="M6865">
            <v>0</v>
          </cell>
          <cell r="P6865">
            <v>0</v>
          </cell>
        </row>
        <row r="6866">
          <cell r="K6866">
            <v>0</v>
          </cell>
          <cell r="M6866">
            <v>0</v>
          </cell>
          <cell r="P6866">
            <v>0</v>
          </cell>
        </row>
        <row r="6867">
          <cell r="K6867">
            <v>0</v>
          </cell>
          <cell r="M6867">
            <v>0</v>
          </cell>
          <cell r="P6867">
            <v>0</v>
          </cell>
        </row>
        <row r="6868">
          <cell r="K6868">
            <v>0</v>
          </cell>
          <cell r="M6868">
            <v>0</v>
          </cell>
          <cell r="P6868">
            <v>0</v>
          </cell>
        </row>
        <row r="6869">
          <cell r="K6869">
            <v>0</v>
          </cell>
          <cell r="M6869">
            <v>0</v>
          </cell>
          <cell r="P6869">
            <v>0</v>
          </cell>
        </row>
        <row r="6870">
          <cell r="K6870">
            <v>0</v>
          </cell>
          <cell r="M6870">
            <v>0</v>
          </cell>
          <cell r="P6870">
            <v>0</v>
          </cell>
        </row>
        <row r="6871">
          <cell r="K6871">
            <v>0</v>
          </cell>
          <cell r="M6871">
            <v>0</v>
          </cell>
          <cell r="P6871">
            <v>0</v>
          </cell>
        </row>
        <row r="6872">
          <cell r="K6872">
            <v>0</v>
          </cell>
          <cell r="M6872">
            <v>0</v>
          </cell>
          <cell r="P6872">
            <v>0</v>
          </cell>
        </row>
        <row r="6873">
          <cell r="K6873">
            <v>0</v>
          </cell>
          <cell r="M6873">
            <v>0</v>
          </cell>
          <cell r="P6873">
            <v>0</v>
          </cell>
        </row>
        <row r="6874">
          <cell r="K6874">
            <v>0</v>
          </cell>
          <cell r="M6874">
            <v>0</v>
          </cell>
          <cell r="P6874">
            <v>0</v>
          </cell>
        </row>
        <row r="6875">
          <cell r="K6875">
            <v>0</v>
          </cell>
          <cell r="M6875">
            <v>0</v>
          </cell>
          <cell r="P6875">
            <v>0</v>
          </cell>
        </row>
        <row r="6876">
          <cell r="K6876">
            <v>0</v>
          </cell>
          <cell r="M6876">
            <v>0</v>
          </cell>
          <cell r="P6876">
            <v>0</v>
          </cell>
        </row>
        <row r="6877">
          <cell r="K6877">
            <v>0</v>
          </cell>
          <cell r="M6877">
            <v>0</v>
          </cell>
          <cell r="P6877">
            <v>0</v>
          </cell>
        </row>
        <row r="6878">
          <cell r="K6878">
            <v>0</v>
          </cell>
          <cell r="M6878">
            <v>0</v>
          </cell>
          <cell r="P6878">
            <v>0</v>
          </cell>
        </row>
        <row r="6879">
          <cell r="K6879">
            <v>0</v>
          </cell>
          <cell r="M6879">
            <v>0</v>
          </cell>
          <cell r="P6879">
            <v>0</v>
          </cell>
        </row>
        <row r="6880">
          <cell r="K6880">
            <v>0</v>
          </cell>
          <cell r="M6880">
            <v>0</v>
          </cell>
          <cell r="P6880">
            <v>0</v>
          </cell>
        </row>
        <row r="6881">
          <cell r="K6881">
            <v>0</v>
          </cell>
          <cell r="M6881">
            <v>0</v>
          </cell>
          <cell r="P6881">
            <v>0</v>
          </cell>
        </row>
        <row r="6882">
          <cell r="K6882">
            <v>0</v>
          </cell>
          <cell r="M6882">
            <v>0</v>
          </cell>
          <cell r="P6882">
            <v>0</v>
          </cell>
        </row>
        <row r="6883">
          <cell r="K6883">
            <v>0</v>
          </cell>
          <cell r="M6883">
            <v>0</v>
          </cell>
          <cell r="P6883">
            <v>0</v>
          </cell>
        </row>
        <row r="6884">
          <cell r="K6884">
            <v>0</v>
          </cell>
          <cell r="M6884">
            <v>0</v>
          </cell>
          <cell r="P6884">
            <v>0</v>
          </cell>
        </row>
        <row r="6885">
          <cell r="K6885">
            <v>0</v>
          </cell>
          <cell r="M6885">
            <v>0</v>
          </cell>
          <cell r="P6885">
            <v>0</v>
          </cell>
        </row>
        <row r="6886">
          <cell r="K6886">
            <v>0</v>
          </cell>
          <cell r="M6886">
            <v>0</v>
          </cell>
          <cell r="P6886">
            <v>0</v>
          </cell>
        </row>
        <row r="6887">
          <cell r="K6887">
            <v>0</v>
          </cell>
          <cell r="M6887">
            <v>0</v>
          </cell>
          <cell r="P6887">
            <v>0</v>
          </cell>
        </row>
        <row r="6888">
          <cell r="K6888">
            <v>0</v>
          </cell>
          <cell r="M6888">
            <v>0</v>
          </cell>
          <cell r="P6888">
            <v>0</v>
          </cell>
        </row>
        <row r="6889">
          <cell r="K6889">
            <v>0</v>
          </cell>
          <cell r="M6889">
            <v>0</v>
          </cell>
          <cell r="P6889">
            <v>0</v>
          </cell>
        </row>
        <row r="6890">
          <cell r="K6890">
            <v>0</v>
          </cell>
          <cell r="M6890">
            <v>0</v>
          </cell>
          <cell r="P6890">
            <v>0</v>
          </cell>
        </row>
        <row r="6891">
          <cell r="K6891">
            <v>0</v>
          </cell>
          <cell r="M6891">
            <v>0</v>
          </cell>
          <cell r="P6891">
            <v>0</v>
          </cell>
        </row>
        <row r="6892">
          <cell r="K6892">
            <v>0</v>
          </cell>
          <cell r="M6892">
            <v>0</v>
          </cell>
          <cell r="P6892">
            <v>0</v>
          </cell>
        </row>
        <row r="6893">
          <cell r="K6893">
            <v>0</v>
          </cell>
          <cell r="M6893">
            <v>0</v>
          </cell>
          <cell r="P6893">
            <v>0</v>
          </cell>
        </row>
        <row r="6894">
          <cell r="K6894">
            <v>0</v>
          </cell>
          <cell r="M6894">
            <v>0</v>
          </cell>
          <cell r="P6894">
            <v>0</v>
          </cell>
        </row>
        <row r="6895">
          <cell r="K6895">
            <v>0</v>
          </cell>
          <cell r="M6895">
            <v>0</v>
          </cell>
          <cell r="P6895">
            <v>0</v>
          </cell>
        </row>
        <row r="6896">
          <cell r="K6896">
            <v>0</v>
          </cell>
          <cell r="M6896">
            <v>0</v>
          </cell>
          <cell r="P6896">
            <v>0</v>
          </cell>
        </row>
        <row r="6897">
          <cell r="K6897">
            <v>0</v>
          </cell>
          <cell r="M6897">
            <v>0</v>
          </cell>
          <cell r="P6897">
            <v>0</v>
          </cell>
        </row>
        <row r="6898">
          <cell r="K6898">
            <v>0</v>
          </cell>
          <cell r="M6898">
            <v>0</v>
          </cell>
          <cell r="P6898">
            <v>0</v>
          </cell>
        </row>
        <row r="6899">
          <cell r="K6899">
            <v>0</v>
          </cell>
          <cell r="M6899">
            <v>0</v>
          </cell>
          <cell r="P6899">
            <v>0</v>
          </cell>
        </row>
        <row r="6900">
          <cell r="K6900">
            <v>0</v>
          </cell>
          <cell r="M6900">
            <v>0</v>
          </cell>
          <cell r="P6900">
            <v>0</v>
          </cell>
        </row>
        <row r="6901">
          <cell r="K6901">
            <v>0</v>
          </cell>
          <cell r="M6901">
            <v>0</v>
          </cell>
          <cell r="P6901">
            <v>0</v>
          </cell>
        </row>
        <row r="6902">
          <cell r="K6902">
            <v>0</v>
          </cell>
          <cell r="M6902">
            <v>0</v>
          </cell>
          <cell r="P6902">
            <v>0</v>
          </cell>
        </row>
        <row r="6903">
          <cell r="K6903">
            <v>0</v>
          </cell>
          <cell r="M6903">
            <v>0</v>
          </cell>
          <cell r="P6903">
            <v>0</v>
          </cell>
        </row>
        <row r="6904">
          <cell r="K6904">
            <v>0</v>
          </cell>
          <cell r="M6904">
            <v>0</v>
          </cell>
          <cell r="P6904">
            <v>0</v>
          </cell>
        </row>
        <row r="6905">
          <cell r="K6905">
            <v>0</v>
          </cell>
          <cell r="M6905">
            <v>0</v>
          </cell>
          <cell r="P6905">
            <v>0</v>
          </cell>
        </row>
        <row r="6906">
          <cell r="K6906">
            <v>0</v>
          </cell>
          <cell r="M6906">
            <v>0</v>
          </cell>
          <cell r="P6906">
            <v>0</v>
          </cell>
        </row>
        <row r="6907">
          <cell r="K6907">
            <v>0</v>
          </cell>
          <cell r="M6907">
            <v>0</v>
          </cell>
          <cell r="P6907">
            <v>0</v>
          </cell>
        </row>
        <row r="6908">
          <cell r="K6908">
            <v>0</v>
          </cell>
          <cell r="M6908">
            <v>0</v>
          </cell>
          <cell r="P6908">
            <v>0</v>
          </cell>
        </row>
        <row r="6909">
          <cell r="K6909">
            <v>0</v>
          </cell>
          <cell r="M6909">
            <v>0</v>
          </cell>
          <cell r="P6909">
            <v>0</v>
          </cell>
        </row>
        <row r="6910">
          <cell r="K6910">
            <v>0</v>
          </cell>
          <cell r="M6910">
            <v>0</v>
          </cell>
          <cell r="P6910">
            <v>0</v>
          </cell>
        </row>
        <row r="6911">
          <cell r="K6911">
            <v>0</v>
          </cell>
          <cell r="M6911">
            <v>0</v>
          </cell>
          <cell r="P6911">
            <v>0</v>
          </cell>
        </row>
        <row r="6912">
          <cell r="K6912">
            <v>0</v>
          </cell>
          <cell r="M6912">
            <v>0</v>
          </cell>
          <cell r="P6912">
            <v>0</v>
          </cell>
        </row>
        <row r="6913">
          <cell r="K6913">
            <v>0</v>
          </cell>
          <cell r="M6913">
            <v>0</v>
          </cell>
          <cell r="P6913">
            <v>0</v>
          </cell>
        </row>
        <row r="6914">
          <cell r="K6914">
            <v>0</v>
          </cell>
          <cell r="M6914">
            <v>0</v>
          </cell>
          <cell r="P6914">
            <v>0</v>
          </cell>
        </row>
        <row r="6915">
          <cell r="K6915">
            <v>0</v>
          </cell>
          <cell r="M6915">
            <v>0</v>
          </cell>
          <cell r="P6915">
            <v>0</v>
          </cell>
        </row>
        <row r="6916">
          <cell r="K6916">
            <v>0</v>
          </cell>
          <cell r="M6916">
            <v>0</v>
          </cell>
          <cell r="P6916">
            <v>0</v>
          </cell>
        </row>
        <row r="6917">
          <cell r="K6917">
            <v>0</v>
          </cell>
          <cell r="M6917">
            <v>0</v>
          </cell>
          <cell r="P6917">
            <v>0</v>
          </cell>
        </row>
        <row r="6918">
          <cell r="K6918">
            <v>0</v>
          </cell>
          <cell r="M6918">
            <v>0</v>
          </cell>
          <cell r="P6918">
            <v>0</v>
          </cell>
        </row>
        <row r="6919">
          <cell r="K6919">
            <v>0</v>
          </cell>
          <cell r="M6919">
            <v>0</v>
          </cell>
          <cell r="P6919">
            <v>0</v>
          </cell>
        </row>
        <row r="6920">
          <cell r="K6920">
            <v>0</v>
          </cell>
          <cell r="M6920">
            <v>0</v>
          </cell>
          <cell r="P6920">
            <v>0</v>
          </cell>
        </row>
        <row r="6921">
          <cell r="K6921">
            <v>0</v>
          </cell>
          <cell r="M6921">
            <v>0</v>
          </cell>
          <cell r="P6921">
            <v>0</v>
          </cell>
        </row>
        <row r="6922">
          <cell r="K6922">
            <v>0</v>
          </cell>
          <cell r="M6922">
            <v>0</v>
          </cell>
          <cell r="P6922">
            <v>0</v>
          </cell>
        </row>
        <row r="6923">
          <cell r="K6923">
            <v>0</v>
          </cell>
          <cell r="M6923">
            <v>0</v>
          </cell>
          <cell r="P6923">
            <v>0</v>
          </cell>
        </row>
        <row r="6924">
          <cell r="K6924">
            <v>0</v>
          </cell>
          <cell r="M6924">
            <v>0</v>
          </cell>
          <cell r="P6924">
            <v>0</v>
          </cell>
        </row>
        <row r="6925">
          <cell r="K6925">
            <v>0</v>
          </cell>
          <cell r="M6925">
            <v>0</v>
          </cell>
          <cell r="P6925">
            <v>0</v>
          </cell>
        </row>
        <row r="6926">
          <cell r="K6926">
            <v>0</v>
          </cell>
          <cell r="M6926">
            <v>0</v>
          </cell>
          <cell r="P6926">
            <v>0</v>
          </cell>
        </row>
        <row r="6927">
          <cell r="K6927">
            <v>0</v>
          </cell>
          <cell r="M6927">
            <v>0</v>
          </cell>
          <cell r="P6927">
            <v>0</v>
          </cell>
        </row>
        <row r="6928">
          <cell r="K6928">
            <v>0</v>
          </cell>
          <cell r="M6928">
            <v>0</v>
          </cell>
          <cell r="P6928">
            <v>0</v>
          </cell>
        </row>
        <row r="6929">
          <cell r="K6929">
            <v>0</v>
          </cell>
          <cell r="M6929">
            <v>0</v>
          </cell>
          <cell r="P6929">
            <v>0</v>
          </cell>
        </row>
        <row r="6930">
          <cell r="K6930">
            <v>0</v>
          </cell>
          <cell r="M6930">
            <v>0</v>
          </cell>
          <cell r="P6930">
            <v>0</v>
          </cell>
        </row>
        <row r="6931">
          <cell r="K6931">
            <v>0</v>
          </cell>
          <cell r="M6931">
            <v>0</v>
          </cell>
          <cell r="P6931">
            <v>0</v>
          </cell>
        </row>
        <row r="6932">
          <cell r="K6932">
            <v>0</v>
          </cell>
          <cell r="M6932">
            <v>0</v>
          </cell>
          <cell r="P6932">
            <v>0</v>
          </cell>
        </row>
        <row r="6933">
          <cell r="K6933">
            <v>0</v>
          </cell>
          <cell r="M6933">
            <v>0</v>
          </cell>
          <cell r="P6933">
            <v>0</v>
          </cell>
        </row>
        <row r="6934">
          <cell r="K6934">
            <v>0</v>
          </cell>
          <cell r="M6934">
            <v>0</v>
          </cell>
          <cell r="P6934">
            <v>0</v>
          </cell>
        </row>
        <row r="6935">
          <cell r="K6935">
            <v>0</v>
          </cell>
          <cell r="M6935">
            <v>0</v>
          </cell>
          <cell r="P6935">
            <v>0</v>
          </cell>
        </row>
        <row r="6936">
          <cell r="K6936">
            <v>0</v>
          </cell>
          <cell r="M6936">
            <v>0</v>
          </cell>
          <cell r="P6936">
            <v>0</v>
          </cell>
        </row>
        <row r="6937">
          <cell r="K6937">
            <v>0</v>
          </cell>
          <cell r="M6937">
            <v>0</v>
          </cell>
          <cell r="P6937">
            <v>0</v>
          </cell>
        </row>
        <row r="6938">
          <cell r="K6938">
            <v>0</v>
          </cell>
          <cell r="M6938">
            <v>0</v>
          </cell>
          <cell r="P6938">
            <v>0</v>
          </cell>
        </row>
        <row r="6939">
          <cell r="K6939">
            <v>0</v>
          </cell>
          <cell r="M6939">
            <v>0</v>
          </cell>
          <cell r="P6939">
            <v>0</v>
          </cell>
        </row>
        <row r="6940">
          <cell r="K6940">
            <v>0</v>
          </cell>
          <cell r="M6940">
            <v>0</v>
          </cell>
          <cell r="P6940">
            <v>0</v>
          </cell>
        </row>
        <row r="6941">
          <cell r="K6941">
            <v>0</v>
          </cell>
          <cell r="M6941">
            <v>0</v>
          </cell>
          <cell r="P6941">
            <v>0</v>
          </cell>
        </row>
        <row r="6942">
          <cell r="K6942">
            <v>0</v>
          </cell>
          <cell r="M6942">
            <v>0</v>
          </cell>
          <cell r="P6942">
            <v>0</v>
          </cell>
        </row>
        <row r="6943">
          <cell r="K6943">
            <v>0</v>
          </cell>
          <cell r="M6943">
            <v>0</v>
          </cell>
          <cell r="P6943">
            <v>0</v>
          </cell>
        </row>
        <row r="6944">
          <cell r="K6944">
            <v>0</v>
          </cell>
          <cell r="M6944">
            <v>0</v>
          </cell>
          <cell r="P6944">
            <v>0</v>
          </cell>
        </row>
        <row r="6945">
          <cell r="K6945">
            <v>0</v>
          </cell>
          <cell r="M6945">
            <v>0</v>
          </cell>
          <cell r="P6945">
            <v>0</v>
          </cell>
        </row>
        <row r="6946">
          <cell r="K6946">
            <v>0</v>
          </cell>
          <cell r="M6946">
            <v>0</v>
          </cell>
          <cell r="P6946">
            <v>0</v>
          </cell>
        </row>
        <row r="6947">
          <cell r="K6947">
            <v>0</v>
          </cell>
          <cell r="M6947">
            <v>0</v>
          </cell>
          <cell r="P6947">
            <v>0</v>
          </cell>
        </row>
        <row r="6948">
          <cell r="K6948">
            <v>0</v>
          </cell>
          <cell r="M6948">
            <v>0</v>
          </cell>
          <cell r="P6948">
            <v>0</v>
          </cell>
        </row>
        <row r="6949">
          <cell r="K6949">
            <v>0</v>
          </cell>
          <cell r="M6949">
            <v>0</v>
          </cell>
          <cell r="P6949">
            <v>0</v>
          </cell>
        </row>
        <row r="6950">
          <cell r="K6950">
            <v>0</v>
          </cell>
          <cell r="M6950">
            <v>0</v>
          </cell>
          <cell r="P6950">
            <v>0</v>
          </cell>
        </row>
        <row r="6951">
          <cell r="K6951">
            <v>0</v>
          </cell>
          <cell r="M6951">
            <v>0</v>
          </cell>
          <cell r="P6951">
            <v>0</v>
          </cell>
        </row>
        <row r="6952">
          <cell r="K6952">
            <v>0</v>
          </cell>
          <cell r="M6952">
            <v>0</v>
          </cell>
          <cell r="P6952">
            <v>0</v>
          </cell>
        </row>
        <row r="6953">
          <cell r="K6953">
            <v>0</v>
          </cell>
          <cell r="M6953">
            <v>0</v>
          </cell>
          <cell r="P6953">
            <v>0</v>
          </cell>
        </row>
        <row r="6954">
          <cell r="K6954">
            <v>0</v>
          </cell>
          <cell r="M6954">
            <v>0</v>
          </cell>
          <cell r="P6954">
            <v>0</v>
          </cell>
        </row>
        <row r="6955">
          <cell r="K6955">
            <v>0</v>
          </cell>
          <cell r="M6955">
            <v>0</v>
          </cell>
          <cell r="P6955">
            <v>0</v>
          </cell>
        </row>
        <row r="6956">
          <cell r="K6956">
            <v>0</v>
          </cell>
          <cell r="M6956">
            <v>0</v>
          </cell>
          <cell r="P6956">
            <v>0</v>
          </cell>
        </row>
        <row r="6957">
          <cell r="K6957">
            <v>0</v>
          </cell>
          <cell r="M6957">
            <v>0</v>
          </cell>
          <cell r="P6957">
            <v>0</v>
          </cell>
        </row>
        <row r="6958">
          <cell r="K6958">
            <v>0</v>
          </cell>
          <cell r="M6958">
            <v>0</v>
          </cell>
          <cell r="P6958">
            <v>0</v>
          </cell>
        </row>
        <row r="6959">
          <cell r="K6959">
            <v>0</v>
          </cell>
          <cell r="M6959">
            <v>0</v>
          </cell>
          <cell r="P6959">
            <v>0</v>
          </cell>
        </row>
        <row r="6960">
          <cell r="K6960">
            <v>0</v>
          </cell>
          <cell r="M6960">
            <v>0</v>
          </cell>
          <cell r="P6960">
            <v>0</v>
          </cell>
        </row>
        <row r="6961">
          <cell r="K6961">
            <v>0</v>
          </cell>
          <cell r="M6961">
            <v>0</v>
          </cell>
          <cell r="P6961">
            <v>0</v>
          </cell>
        </row>
        <row r="6962">
          <cell r="K6962">
            <v>0</v>
          </cell>
          <cell r="M6962">
            <v>0</v>
          </cell>
          <cell r="P6962">
            <v>0</v>
          </cell>
        </row>
        <row r="6963">
          <cell r="K6963">
            <v>0</v>
          </cell>
          <cell r="M6963">
            <v>0</v>
          </cell>
          <cell r="P6963">
            <v>0</v>
          </cell>
        </row>
        <row r="6964">
          <cell r="K6964">
            <v>0</v>
          </cell>
          <cell r="M6964">
            <v>0</v>
          </cell>
          <cell r="P6964">
            <v>0</v>
          </cell>
        </row>
        <row r="6965">
          <cell r="K6965">
            <v>0</v>
          </cell>
          <cell r="M6965">
            <v>0</v>
          </cell>
          <cell r="P6965">
            <v>0</v>
          </cell>
        </row>
        <row r="6966">
          <cell r="K6966">
            <v>0</v>
          </cell>
          <cell r="M6966">
            <v>0</v>
          </cell>
          <cell r="P6966">
            <v>0</v>
          </cell>
        </row>
        <row r="6967">
          <cell r="K6967">
            <v>0</v>
          </cell>
          <cell r="M6967">
            <v>0</v>
          </cell>
          <cell r="P6967">
            <v>0</v>
          </cell>
        </row>
        <row r="6968">
          <cell r="K6968">
            <v>0</v>
          </cell>
          <cell r="M6968">
            <v>0</v>
          </cell>
          <cell r="P6968">
            <v>0</v>
          </cell>
        </row>
        <row r="6969">
          <cell r="K6969">
            <v>0</v>
          </cell>
          <cell r="M6969">
            <v>0</v>
          </cell>
          <cell r="P6969">
            <v>0</v>
          </cell>
        </row>
        <row r="6970">
          <cell r="K6970">
            <v>0</v>
          </cell>
          <cell r="M6970">
            <v>0</v>
          </cell>
          <cell r="P6970">
            <v>0</v>
          </cell>
        </row>
        <row r="6971">
          <cell r="K6971">
            <v>0</v>
          </cell>
          <cell r="M6971">
            <v>0</v>
          </cell>
          <cell r="P6971">
            <v>0</v>
          </cell>
        </row>
        <row r="6972">
          <cell r="K6972">
            <v>0</v>
          </cell>
          <cell r="M6972">
            <v>0</v>
          </cell>
          <cell r="P6972">
            <v>0</v>
          </cell>
        </row>
        <row r="6973">
          <cell r="K6973">
            <v>0</v>
          </cell>
          <cell r="M6973">
            <v>0</v>
          </cell>
          <cell r="P6973">
            <v>0</v>
          </cell>
        </row>
        <row r="6974">
          <cell r="K6974">
            <v>0</v>
          </cell>
          <cell r="M6974">
            <v>0</v>
          </cell>
          <cell r="P6974">
            <v>0</v>
          </cell>
        </row>
        <row r="6975">
          <cell r="K6975">
            <v>0</v>
          </cell>
          <cell r="M6975">
            <v>0</v>
          </cell>
          <cell r="P6975">
            <v>0</v>
          </cell>
        </row>
        <row r="6976">
          <cell r="K6976">
            <v>0</v>
          </cell>
          <cell r="M6976">
            <v>0</v>
          </cell>
          <cell r="P6976">
            <v>0</v>
          </cell>
        </row>
        <row r="6977">
          <cell r="K6977">
            <v>0</v>
          </cell>
          <cell r="M6977">
            <v>0</v>
          </cell>
          <cell r="P6977">
            <v>0</v>
          </cell>
        </row>
        <row r="6978">
          <cell r="K6978">
            <v>0</v>
          </cell>
          <cell r="M6978">
            <v>0</v>
          </cell>
          <cell r="P6978">
            <v>0</v>
          </cell>
        </row>
        <row r="6979">
          <cell r="K6979">
            <v>0</v>
          </cell>
          <cell r="M6979">
            <v>0</v>
          </cell>
          <cell r="P6979">
            <v>0</v>
          </cell>
        </row>
        <row r="6980">
          <cell r="K6980">
            <v>0</v>
          </cell>
          <cell r="M6980">
            <v>0</v>
          </cell>
          <cell r="P6980">
            <v>0</v>
          </cell>
        </row>
        <row r="6981">
          <cell r="K6981">
            <v>0</v>
          </cell>
          <cell r="M6981">
            <v>0</v>
          </cell>
          <cell r="P6981">
            <v>0</v>
          </cell>
        </row>
        <row r="6982">
          <cell r="K6982">
            <v>0</v>
          </cell>
          <cell r="M6982">
            <v>0</v>
          </cell>
          <cell r="P6982">
            <v>0</v>
          </cell>
        </row>
        <row r="6983">
          <cell r="K6983">
            <v>0</v>
          </cell>
          <cell r="M6983">
            <v>0</v>
          </cell>
          <cell r="P6983">
            <v>0</v>
          </cell>
        </row>
        <row r="6984">
          <cell r="K6984">
            <v>0</v>
          </cell>
          <cell r="M6984">
            <v>0</v>
          </cell>
          <cell r="P6984">
            <v>0</v>
          </cell>
        </row>
        <row r="6985">
          <cell r="K6985">
            <v>0</v>
          </cell>
          <cell r="M6985">
            <v>0</v>
          </cell>
          <cell r="P6985">
            <v>0</v>
          </cell>
        </row>
        <row r="6986">
          <cell r="K6986">
            <v>0</v>
          </cell>
          <cell r="M6986">
            <v>0</v>
          </cell>
          <cell r="P6986">
            <v>0</v>
          </cell>
        </row>
        <row r="6987">
          <cell r="K6987">
            <v>0</v>
          </cell>
          <cell r="M6987">
            <v>0</v>
          </cell>
          <cell r="P6987">
            <v>0</v>
          </cell>
        </row>
        <row r="6988">
          <cell r="K6988">
            <v>0</v>
          </cell>
          <cell r="M6988">
            <v>0</v>
          </cell>
          <cell r="P6988">
            <v>0</v>
          </cell>
        </row>
        <row r="6989">
          <cell r="K6989">
            <v>0</v>
          </cell>
          <cell r="M6989">
            <v>0</v>
          </cell>
          <cell r="P6989">
            <v>0</v>
          </cell>
        </row>
        <row r="6990">
          <cell r="K6990">
            <v>0</v>
          </cell>
          <cell r="M6990">
            <v>0</v>
          </cell>
          <cell r="P6990">
            <v>0</v>
          </cell>
        </row>
        <row r="6991">
          <cell r="K6991">
            <v>0</v>
          </cell>
          <cell r="M6991">
            <v>0</v>
          </cell>
          <cell r="P6991">
            <v>0</v>
          </cell>
        </row>
        <row r="6992">
          <cell r="K6992">
            <v>0</v>
          </cell>
          <cell r="M6992">
            <v>0</v>
          </cell>
          <cell r="P6992">
            <v>0</v>
          </cell>
        </row>
        <row r="6993">
          <cell r="K6993">
            <v>0</v>
          </cell>
          <cell r="M6993">
            <v>0</v>
          </cell>
          <cell r="P6993">
            <v>0</v>
          </cell>
        </row>
        <row r="6994">
          <cell r="K6994">
            <v>0</v>
          </cell>
          <cell r="M6994">
            <v>0</v>
          </cell>
          <cell r="P6994">
            <v>0</v>
          </cell>
        </row>
        <row r="6995">
          <cell r="K6995">
            <v>0</v>
          </cell>
          <cell r="M6995">
            <v>0</v>
          </cell>
          <cell r="P6995">
            <v>0</v>
          </cell>
        </row>
        <row r="6996">
          <cell r="K6996">
            <v>0</v>
          </cell>
          <cell r="M6996">
            <v>0</v>
          </cell>
          <cell r="P6996">
            <v>0</v>
          </cell>
        </row>
        <row r="6997">
          <cell r="K6997">
            <v>0</v>
          </cell>
          <cell r="M6997">
            <v>0</v>
          </cell>
          <cell r="P6997">
            <v>0</v>
          </cell>
        </row>
        <row r="6998">
          <cell r="K6998">
            <v>0</v>
          </cell>
          <cell r="M6998">
            <v>0</v>
          </cell>
          <cell r="P6998">
            <v>0</v>
          </cell>
        </row>
        <row r="6999">
          <cell r="K6999">
            <v>0</v>
          </cell>
          <cell r="M6999">
            <v>0</v>
          </cell>
          <cell r="P6999">
            <v>0</v>
          </cell>
        </row>
        <row r="7000">
          <cell r="K7000">
            <v>0</v>
          </cell>
          <cell r="M7000">
            <v>0</v>
          </cell>
          <cell r="P7000">
            <v>0</v>
          </cell>
        </row>
        <row r="7001">
          <cell r="K7001">
            <v>0</v>
          </cell>
          <cell r="M7001">
            <v>0</v>
          </cell>
          <cell r="P7001">
            <v>0</v>
          </cell>
        </row>
        <row r="7002">
          <cell r="K7002">
            <v>0</v>
          </cell>
          <cell r="M7002">
            <v>0</v>
          </cell>
          <cell r="P7002">
            <v>0</v>
          </cell>
        </row>
        <row r="7003">
          <cell r="K7003">
            <v>0</v>
          </cell>
          <cell r="M7003">
            <v>0</v>
          </cell>
          <cell r="P7003">
            <v>0</v>
          </cell>
        </row>
        <row r="7004">
          <cell r="K7004">
            <v>0</v>
          </cell>
          <cell r="M7004">
            <v>0</v>
          </cell>
          <cell r="P7004">
            <v>0</v>
          </cell>
        </row>
        <row r="7005">
          <cell r="K7005">
            <v>0</v>
          </cell>
          <cell r="M7005">
            <v>0</v>
          </cell>
          <cell r="P7005">
            <v>0</v>
          </cell>
        </row>
        <row r="7006">
          <cell r="K7006">
            <v>0</v>
          </cell>
          <cell r="M7006">
            <v>0</v>
          </cell>
          <cell r="P7006">
            <v>0</v>
          </cell>
        </row>
        <row r="7007">
          <cell r="K7007">
            <v>0</v>
          </cell>
          <cell r="M7007">
            <v>0</v>
          </cell>
          <cell r="P7007">
            <v>0</v>
          </cell>
        </row>
        <row r="7008">
          <cell r="K7008">
            <v>0</v>
          </cell>
          <cell r="M7008">
            <v>0</v>
          </cell>
          <cell r="P7008">
            <v>0</v>
          </cell>
        </row>
        <row r="7009">
          <cell r="K7009">
            <v>0</v>
          </cell>
          <cell r="M7009">
            <v>0</v>
          </cell>
          <cell r="P7009">
            <v>0</v>
          </cell>
        </row>
        <row r="7010">
          <cell r="K7010">
            <v>0</v>
          </cell>
          <cell r="M7010">
            <v>0</v>
          </cell>
          <cell r="P7010">
            <v>0</v>
          </cell>
        </row>
        <row r="7011">
          <cell r="K7011">
            <v>0</v>
          </cell>
          <cell r="M7011">
            <v>0</v>
          </cell>
          <cell r="P7011">
            <v>0</v>
          </cell>
        </row>
        <row r="7012">
          <cell r="K7012">
            <v>0</v>
          </cell>
          <cell r="M7012">
            <v>0</v>
          </cell>
          <cell r="P7012">
            <v>0</v>
          </cell>
        </row>
        <row r="7013">
          <cell r="K7013">
            <v>0</v>
          </cell>
          <cell r="M7013">
            <v>0</v>
          </cell>
          <cell r="P7013">
            <v>0</v>
          </cell>
        </row>
        <row r="7014">
          <cell r="K7014">
            <v>0</v>
          </cell>
          <cell r="M7014">
            <v>0</v>
          </cell>
          <cell r="P7014">
            <v>0</v>
          </cell>
        </row>
        <row r="7015">
          <cell r="K7015">
            <v>0</v>
          </cell>
          <cell r="M7015">
            <v>0</v>
          </cell>
          <cell r="P7015">
            <v>0</v>
          </cell>
        </row>
        <row r="7016">
          <cell r="K7016">
            <v>0</v>
          </cell>
          <cell r="M7016">
            <v>0</v>
          </cell>
          <cell r="P7016">
            <v>0</v>
          </cell>
        </row>
        <row r="7017">
          <cell r="K7017">
            <v>0</v>
          </cell>
          <cell r="M7017">
            <v>0</v>
          </cell>
          <cell r="P7017">
            <v>0</v>
          </cell>
        </row>
        <row r="7018">
          <cell r="K7018">
            <v>0</v>
          </cell>
          <cell r="M7018">
            <v>0</v>
          </cell>
          <cell r="P7018">
            <v>0</v>
          </cell>
        </row>
        <row r="7019">
          <cell r="K7019">
            <v>0</v>
          </cell>
          <cell r="M7019">
            <v>0</v>
          </cell>
          <cell r="P7019">
            <v>0</v>
          </cell>
        </row>
        <row r="7020">
          <cell r="K7020">
            <v>0</v>
          </cell>
          <cell r="M7020">
            <v>0</v>
          </cell>
          <cell r="P7020">
            <v>0</v>
          </cell>
        </row>
        <row r="7021">
          <cell r="K7021">
            <v>0</v>
          </cell>
          <cell r="M7021">
            <v>0</v>
          </cell>
          <cell r="P7021">
            <v>0</v>
          </cell>
        </row>
        <row r="7022">
          <cell r="K7022">
            <v>0</v>
          </cell>
          <cell r="M7022">
            <v>0</v>
          </cell>
          <cell r="P7022">
            <v>0</v>
          </cell>
        </row>
        <row r="7023">
          <cell r="K7023">
            <v>0</v>
          </cell>
          <cell r="M7023">
            <v>0</v>
          </cell>
          <cell r="P7023">
            <v>0</v>
          </cell>
        </row>
        <row r="7024">
          <cell r="K7024">
            <v>0</v>
          </cell>
          <cell r="M7024">
            <v>0</v>
          </cell>
          <cell r="P7024">
            <v>0</v>
          </cell>
        </row>
        <row r="7025">
          <cell r="K7025">
            <v>0</v>
          </cell>
          <cell r="M7025">
            <v>0</v>
          </cell>
          <cell r="P7025">
            <v>0</v>
          </cell>
        </row>
        <row r="7026">
          <cell r="K7026">
            <v>0</v>
          </cell>
          <cell r="M7026">
            <v>0</v>
          </cell>
          <cell r="P7026">
            <v>0</v>
          </cell>
        </row>
        <row r="7027">
          <cell r="K7027">
            <v>0</v>
          </cell>
          <cell r="M7027">
            <v>0</v>
          </cell>
          <cell r="P7027">
            <v>0</v>
          </cell>
        </row>
        <row r="7028">
          <cell r="K7028">
            <v>0</v>
          </cell>
          <cell r="M7028">
            <v>0</v>
          </cell>
          <cell r="P7028">
            <v>0</v>
          </cell>
        </row>
        <row r="7029">
          <cell r="K7029">
            <v>0</v>
          </cell>
          <cell r="M7029">
            <v>0</v>
          </cell>
          <cell r="P7029">
            <v>0</v>
          </cell>
        </row>
        <row r="7030">
          <cell r="K7030">
            <v>0</v>
          </cell>
          <cell r="M7030">
            <v>0</v>
          </cell>
          <cell r="P7030">
            <v>0</v>
          </cell>
        </row>
        <row r="7031">
          <cell r="K7031">
            <v>0</v>
          </cell>
          <cell r="M7031">
            <v>0</v>
          </cell>
          <cell r="P7031">
            <v>0</v>
          </cell>
        </row>
        <row r="7032">
          <cell r="K7032">
            <v>0</v>
          </cell>
          <cell r="M7032">
            <v>0</v>
          </cell>
          <cell r="P7032">
            <v>0</v>
          </cell>
        </row>
        <row r="7033">
          <cell r="K7033">
            <v>0</v>
          </cell>
          <cell r="M7033">
            <v>0</v>
          </cell>
          <cell r="P7033">
            <v>0</v>
          </cell>
        </row>
        <row r="7034">
          <cell r="K7034">
            <v>0</v>
          </cell>
          <cell r="M7034">
            <v>0</v>
          </cell>
          <cell r="P7034">
            <v>0</v>
          </cell>
        </row>
        <row r="7035">
          <cell r="K7035">
            <v>0</v>
          </cell>
          <cell r="M7035">
            <v>0</v>
          </cell>
          <cell r="P7035">
            <v>0</v>
          </cell>
        </row>
        <row r="7036">
          <cell r="K7036">
            <v>0</v>
          </cell>
          <cell r="M7036">
            <v>0</v>
          </cell>
          <cell r="P7036">
            <v>0</v>
          </cell>
        </row>
        <row r="7037">
          <cell r="K7037">
            <v>0</v>
          </cell>
          <cell r="M7037">
            <v>0</v>
          </cell>
          <cell r="P7037">
            <v>0</v>
          </cell>
        </row>
        <row r="7038">
          <cell r="K7038">
            <v>0</v>
          </cell>
          <cell r="M7038">
            <v>0</v>
          </cell>
          <cell r="P7038">
            <v>0</v>
          </cell>
        </row>
        <row r="7039">
          <cell r="K7039">
            <v>0</v>
          </cell>
          <cell r="M7039">
            <v>0</v>
          </cell>
          <cell r="P7039">
            <v>0</v>
          </cell>
        </row>
        <row r="7040">
          <cell r="K7040">
            <v>0</v>
          </cell>
          <cell r="M7040">
            <v>0</v>
          </cell>
          <cell r="P7040">
            <v>0</v>
          </cell>
        </row>
        <row r="7041">
          <cell r="K7041">
            <v>0</v>
          </cell>
          <cell r="M7041">
            <v>0</v>
          </cell>
          <cell r="P7041">
            <v>0</v>
          </cell>
        </row>
        <row r="7042">
          <cell r="K7042">
            <v>0</v>
          </cell>
          <cell r="M7042">
            <v>0</v>
          </cell>
          <cell r="P7042">
            <v>0</v>
          </cell>
        </row>
        <row r="7043">
          <cell r="K7043">
            <v>0</v>
          </cell>
          <cell r="M7043">
            <v>0</v>
          </cell>
          <cell r="P7043">
            <v>0</v>
          </cell>
        </row>
        <row r="7044">
          <cell r="K7044">
            <v>0</v>
          </cell>
          <cell r="M7044">
            <v>0</v>
          </cell>
          <cell r="P7044">
            <v>0</v>
          </cell>
        </row>
        <row r="7045">
          <cell r="K7045">
            <v>0</v>
          </cell>
          <cell r="M7045">
            <v>0</v>
          </cell>
          <cell r="P7045">
            <v>0</v>
          </cell>
        </row>
        <row r="7046">
          <cell r="K7046">
            <v>0</v>
          </cell>
          <cell r="M7046">
            <v>0</v>
          </cell>
          <cell r="P7046">
            <v>0</v>
          </cell>
        </row>
        <row r="7047">
          <cell r="K7047">
            <v>0</v>
          </cell>
          <cell r="M7047">
            <v>0</v>
          </cell>
          <cell r="P7047">
            <v>0</v>
          </cell>
        </row>
        <row r="7048">
          <cell r="K7048">
            <v>0</v>
          </cell>
          <cell r="M7048">
            <v>0</v>
          </cell>
          <cell r="P7048">
            <v>0</v>
          </cell>
        </row>
        <row r="7049">
          <cell r="K7049">
            <v>0</v>
          </cell>
          <cell r="M7049">
            <v>0</v>
          </cell>
          <cell r="P7049">
            <v>0</v>
          </cell>
        </row>
        <row r="7050">
          <cell r="K7050">
            <v>0</v>
          </cell>
          <cell r="M7050">
            <v>0</v>
          </cell>
          <cell r="P7050">
            <v>0</v>
          </cell>
        </row>
        <row r="7051">
          <cell r="K7051">
            <v>0</v>
          </cell>
          <cell r="M7051">
            <v>0</v>
          </cell>
          <cell r="P7051">
            <v>0</v>
          </cell>
        </row>
        <row r="7052">
          <cell r="K7052">
            <v>0</v>
          </cell>
          <cell r="M7052">
            <v>0</v>
          </cell>
          <cell r="P7052">
            <v>0</v>
          </cell>
        </row>
        <row r="7053">
          <cell r="K7053">
            <v>0</v>
          </cell>
          <cell r="M7053">
            <v>0</v>
          </cell>
          <cell r="P7053">
            <v>0</v>
          </cell>
        </row>
        <row r="7054">
          <cell r="K7054">
            <v>0</v>
          </cell>
          <cell r="M7054">
            <v>0</v>
          </cell>
          <cell r="P7054">
            <v>0</v>
          </cell>
        </row>
        <row r="7055">
          <cell r="K7055">
            <v>0</v>
          </cell>
          <cell r="M7055">
            <v>0</v>
          </cell>
          <cell r="P7055">
            <v>0</v>
          </cell>
        </row>
        <row r="7056">
          <cell r="K7056">
            <v>0</v>
          </cell>
          <cell r="M7056">
            <v>0</v>
          </cell>
          <cell r="P7056">
            <v>0</v>
          </cell>
        </row>
        <row r="7057">
          <cell r="K7057">
            <v>0</v>
          </cell>
          <cell r="M7057">
            <v>0</v>
          </cell>
          <cell r="P7057">
            <v>0</v>
          </cell>
        </row>
        <row r="7058">
          <cell r="K7058">
            <v>0</v>
          </cell>
          <cell r="M7058">
            <v>0</v>
          </cell>
          <cell r="P7058">
            <v>0</v>
          </cell>
        </row>
        <row r="7059">
          <cell r="K7059">
            <v>0</v>
          </cell>
          <cell r="M7059">
            <v>0</v>
          </cell>
          <cell r="P7059">
            <v>0</v>
          </cell>
        </row>
        <row r="7060">
          <cell r="K7060">
            <v>0</v>
          </cell>
          <cell r="M7060">
            <v>0</v>
          </cell>
          <cell r="P7060">
            <v>0</v>
          </cell>
        </row>
        <row r="7061">
          <cell r="K7061">
            <v>0</v>
          </cell>
          <cell r="M7061">
            <v>0</v>
          </cell>
          <cell r="P7061">
            <v>0</v>
          </cell>
        </row>
        <row r="7062">
          <cell r="K7062">
            <v>0</v>
          </cell>
          <cell r="M7062">
            <v>0</v>
          </cell>
          <cell r="P7062">
            <v>0</v>
          </cell>
        </row>
        <row r="7063">
          <cell r="K7063">
            <v>0</v>
          </cell>
          <cell r="M7063">
            <v>0</v>
          </cell>
          <cell r="P7063">
            <v>0</v>
          </cell>
        </row>
        <row r="7064">
          <cell r="K7064">
            <v>0</v>
          </cell>
          <cell r="M7064">
            <v>0</v>
          </cell>
          <cell r="P7064">
            <v>0</v>
          </cell>
        </row>
        <row r="7065">
          <cell r="K7065">
            <v>0</v>
          </cell>
          <cell r="M7065">
            <v>0</v>
          </cell>
          <cell r="P7065">
            <v>0</v>
          </cell>
        </row>
        <row r="7066">
          <cell r="K7066">
            <v>0</v>
          </cell>
          <cell r="M7066">
            <v>0</v>
          </cell>
          <cell r="P7066">
            <v>0</v>
          </cell>
        </row>
        <row r="7067">
          <cell r="K7067">
            <v>0</v>
          </cell>
          <cell r="M7067">
            <v>0</v>
          </cell>
          <cell r="P7067">
            <v>0</v>
          </cell>
        </row>
        <row r="7068">
          <cell r="K7068">
            <v>0</v>
          </cell>
          <cell r="M7068">
            <v>0</v>
          </cell>
          <cell r="P7068">
            <v>0</v>
          </cell>
        </row>
        <row r="7069">
          <cell r="K7069">
            <v>0</v>
          </cell>
          <cell r="M7069">
            <v>0</v>
          </cell>
          <cell r="P7069">
            <v>0</v>
          </cell>
        </row>
        <row r="7070">
          <cell r="K7070">
            <v>0</v>
          </cell>
          <cell r="M7070">
            <v>0</v>
          </cell>
          <cell r="P7070">
            <v>0</v>
          </cell>
        </row>
        <row r="7071">
          <cell r="K7071">
            <v>0</v>
          </cell>
          <cell r="M7071">
            <v>0</v>
          </cell>
          <cell r="P7071">
            <v>0</v>
          </cell>
        </row>
        <row r="7072">
          <cell r="K7072">
            <v>0</v>
          </cell>
          <cell r="M7072">
            <v>0</v>
          </cell>
          <cell r="P7072">
            <v>0</v>
          </cell>
        </row>
        <row r="7073">
          <cell r="K7073">
            <v>0</v>
          </cell>
          <cell r="M7073">
            <v>0</v>
          </cell>
          <cell r="P7073">
            <v>0</v>
          </cell>
        </row>
        <row r="7074">
          <cell r="K7074">
            <v>0</v>
          </cell>
          <cell r="M7074">
            <v>0</v>
          </cell>
          <cell r="P7074">
            <v>0</v>
          </cell>
        </row>
        <row r="7075">
          <cell r="K7075">
            <v>0</v>
          </cell>
          <cell r="M7075">
            <v>0</v>
          </cell>
          <cell r="P7075">
            <v>0</v>
          </cell>
        </row>
        <row r="7076">
          <cell r="K7076">
            <v>0</v>
          </cell>
          <cell r="M7076">
            <v>0</v>
          </cell>
          <cell r="P7076">
            <v>0</v>
          </cell>
        </row>
        <row r="7077">
          <cell r="K7077">
            <v>0</v>
          </cell>
          <cell r="M7077">
            <v>0</v>
          </cell>
          <cell r="P7077">
            <v>0</v>
          </cell>
        </row>
        <row r="7078">
          <cell r="K7078">
            <v>0</v>
          </cell>
          <cell r="M7078">
            <v>0</v>
          </cell>
          <cell r="P7078">
            <v>0</v>
          </cell>
        </row>
        <row r="7079">
          <cell r="K7079">
            <v>0</v>
          </cell>
          <cell r="M7079">
            <v>0</v>
          </cell>
          <cell r="P7079">
            <v>0</v>
          </cell>
        </row>
        <row r="7080">
          <cell r="K7080">
            <v>0</v>
          </cell>
          <cell r="M7080">
            <v>0</v>
          </cell>
          <cell r="P7080">
            <v>0</v>
          </cell>
        </row>
        <row r="7081">
          <cell r="K7081">
            <v>0</v>
          </cell>
          <cell r="M7081">
            <v>0</v>
          </cell>
          <cell r="P7081">
            <v>0</v>
          </cell>
        </row>
        <row r="7082">
          <cell r="K7082">
            <v>0</v>
          </cell>
          <cell r="M7082">
            <v>0</v>
          </cell>
          <cell r="P7082">
            <v>0</v>
          </cell>
        </row>
        <row r="7083">
          <cell r="K7083">
            <v>0</v>
          </cell>
          <cell r="M7083">
            <v>0</v>
          </cell>
          <cell r="P7083">
            <v>0</v>
          </cell>
        </row>
        <row r="7084">
          <cell r="K7084">
            <v>0</v>
          </cell>
          <cell r="M7084">
            <v>0</v>
          </cell>
          <cell r="P7084">
            <v>0</v>
          </cell>
        </row>
        <row r="7085">
          <cell r="K7085">
            <v>0</v>
          </cell>
          <cell r="M7085">
            <v>0</v>
          </cell>
          <cell r="P7085">
            <v>0</v>
          </cell>
        </row>
        <row r="7086">
          <cell r="K7086">
            <v>0</v>
          </cell>
          <cell r="M7086">
            <v>0</v>
          </cell>
          <cell r="P7086">
            <v>0</v>
          </cell>
        </row>
        <row r="7087">
          <cell r="K7087">
            <v>0</v>
          </cell>
          <cell r="M7087">
            <v>0</v>
          </cell>
          <cell r="P7087">
            <v>0</v>
          </cell>
        </row>
        <row r="7088">
          <cell r="K7088">
            <v>0</v>
          </cell>
          <cell r="M7088">
            <v>0</v>
          </cell>
          <cell r="P7088">
            <v>0</v>
          </cell>
        </row>
        <row r="7089">
          <cell r="K7089">
            <v>0</v>
          </cell>
          <cell r="M7089">
            <v>0</v>
          </cell>
          <cell r="P7089">
            <v>0</v>
          </cell>
        </row>
        <row r="7090">
          <cell r="K7090">
            <v>0</v>
          </cell>
          <cell r="M7090">
            <v>0</v>
          </cell>
          <cell r="P7090">
            <v>0</v>
          </cell>
        </row>
        <row r="7091">
          <cell r="K7091">
            <v>0</v>
          </cell>
          <cell r="M7091">
            <v>0</v>
          </cell>
          <cell r="P7091">
            <v>0</v>
          </cell>
        </row>
        <row r="7092">
          <cell r="K7092">
            <v>0</v>
          </cell>
          <cell r="M7092">
            <v>0</v>
          </cell>
          <cell r="P7092">
            <v>0</v>
          </cell>
        </row>
        <row r="7093">
          <cell r="K7093">
            <v>0</v>
          </cell>
          <cell r="M7093">
            <v>0</v>
          </cell>
          <cell r="P7093">
            <v>0</v>
          </cell>
        </row>
        <row r="7094">
          <cell r="K7094">
            <v>0</v>
          </cell>
          <cell r="M7094">
            <v>0</v>
          </cell>
          <cell r="P7094">
            <v>0</v>
          </cell>
        </row>
        <row r="7095">
          <cell r="K7095">
            <v>0</v>
          </cell>
          <cell r="M7095">
            <v>0</v>
          </cell>
          <cell r="P7095">
            <v>0</v>
          </cell>
        </row>
        <row r="7096">
          <cell r="K7096">
            <v>0</v>
          </cell>
          <cell r="M7096">
            <v>0</v>
          </cell>
          <cell r="P7096">
            <v>0</v>
          </cell>
        </row>
        <row r="7097">
          <cell r="K7097">
            <v>0</v>
          </cell>
          <cell r="M7097">
            <v>0</v>
          </cell>
          <cell r="P7097">
            <v>0</v>
          </cell>
        </row>
        <row r="7098">
          <cell r="K7098">
            <v>0</v>
          </cell>
          <cell r="M7098">
            <v>0</v>
          </cell>
          <cell r="P7098">
            <v>0</v>
          </cell>
        </row>
        <row r="7099">
          <cell r="K7099">
            <v>0</v>
          </cell>
          <cell r="M7099">
            <v>0</v>
          </cell>
          <cell r="P7099">
            <v>0</v>
          </cell>
        </row>
        <row r="7100">
          <cell r="K7100">
            <v>0</v>
          </cell>
          <cell r="M7100">
            <v>0</v>
          </cell>
          <cell r="P7100">
            <v>0</v>
          </cell>
        </row>
        <row r="7101">
          <cell r="K7101">
            <v>0</v>
          </cell>
          <cell r="M7101">
            <v>0</v>
          </cell>
          <cell r="P7101">
            <v>0</v>
          </cell>
        </row>
        <row r="7102">
          <cell r="K7102">
            <v>0</v>
          </cell>
          <cell r="M7102">
            <v>0</v>
          </cell>
          <cell r="P7102">
            <v>0</v>
          </cell>
        </row>
        <row r="7103">
          <cell r="K7103">
            <v>0</v>
          </cell>
          <cell r="M7103">
            <v>0</v>
          </cell>
          <cell r="P7103">
            <v>0</v>
          </cell>
        </row>
        <row r="7104">
          <cell r="K7104">
            <v>0</v>
          </cell>
          <cell r="M7104">
            <v>0</v>
          </cell>
          <cell r="P7104">
            <v>0</v>
          </cell>
        </row>
        <row r="7105">
          <cell r="K7105">
            <v>0</v>
          </cell>
          <cell r="M7105">
            <v>0</v>
          </cell>
          <cell r="P7105">
            <v>0</v>
          </cell>
        </row>
        <row r="7106">
          <cell r="K7106">
            <v>0</v>
          </cell>
          <cell r="M7106">
            <v>0</v>
          </cell>
          <cell r="P7106">
            <v>0</v>
          </cell>
        </row>
        <row r="7107">
          <cell r="K7107">
            <v>0</v>
          </cell>
          <cell r="M7107">
            <v>0</v>
          </cell>
          <cell r="P7107">
            <v>0</v>
          </cell>
        </row>
        <row r="7108">
          <cell r="K7108">
            <v>0</v>
          </cell>
          <cell r="M7108">
            <v>0</v>
          </cell>
          <cell r="P7108">
            <v>0</v>
          </cell>
        </row>
        <row r="7109">
          <cell r="K7109">
            <v>0</v>
          </cell>
          <cell r="M7109">
            <v>0</v>
          </cell>
          <cell r="P7109">
            <v>0</v>
          </cell>
        </row>
        <row r="7110">
          <cell r="K7110">
            <v>0</v>
          </cell>
          <cell r="M7110">
            <v>0</v>
          </cell>
          <cell r="P7110">
            <v>0</v>
          </cell>
        </row>
        <row r="7111">
          <cell r="K7111">
            <v>0</v>
          </cell>
          <cell r="M7111">
            <v>0</v>
          </cell>
          <cell r="P7111">
            <v>0</v>
          </cell>
        </row>
        <row r="7112">
          <cell r="K7112">
            <v>0</v>
          </cell>
          <cell r="M7112">
            <v>0</v>
          </cell>
          <cell r="P7112">
            <v>0</v>
          </cell>
        </row>
        <row r="7113">
          <cell r="K7113">
            <v>0</v>
          </cell>
          <cell r="M7113">
            <v>0</v>
          </cell>
          <cell r="P7113">
            <v>0</v>
          </cell>
        </row>
        <row r="7114">
          <cell r="K7114">
            <v>0</v>
          </cell>
          <cell r="M7114">
            <v>0</v>
          </cell>
          <cell r="P7114">
            <v>0</v>
          </cell>
        </row>
        <row r="7115">
          <cell r="K7115">
            <v>0</v>
          </cell>
          <cell r="M7115">
            <v>0</v>
          </cell>
          <cell r="P7115">
            <v>0</v>
          </cell>
        </row>
        <row r="7116">
          <cell r="K7116">
            <v>0</v>
          </cell>
          <cell r="M7116">
            <v>0</v>
          </cell>
          <cell r="P7116">
            <v>0</v>
          </cell>
        </row>
        <row r="7117">
          <cell r="K7117">
            <v>0</v>
          </cell>
          <cell r="M7117">
            <v>0</v>
          </cell>
          <cell r="P7117">
            <v>0</v>
          </cell>
        </row>
        <row r="7118">
          <cell r="K7118">
            <v>0</v>
          </cell>
          <cell r="M7118">
            <v>0</v>
          </cell>
          <cell r="P7118">
            <v>0</v>
          </cell>
        </row>
        <row r="7119">
          <cell r="K7119">
            <v>0</v>
          </cell>
          <cell r="M7119">
            <v>0</v>
          </cell>
          <cell r="P7119">
            <v>0</v>
          </cell>
        </row>
        <row r="7120">
          <cell r="K7120">
            <v>0</v>
          </cell>
          <cell r="M7120">
            <v>0</v>
          </cell>
          <cell r="P7120">
            <v>0</v>
          </cell>
        </row>
        <row r="7121">
          <cell r="K7121">
            <v>0</v>
          </cell>
          <cell r="M7121">
            <v>0</v>
          </cell>
          <cell r="P7121">
            <v>0</v>
          </cell>
        </row>
        <row r="7122">
          <cell r="K7122">
            <v>0</v>
          </cell>
          <cell r="M7122">
            <v>0</v>
          </cell>
          <cell r="P7122">
            <v>0</v>
          </cell>
        </row>
        <row r="7123">
          <cell r="K7123">
            <v>0</v>
          </cell>
          <cell r="M7123">
            <v>0</v>
          </cell>
          <cell r="P7123">
            <v>0</v>
          </cell>
        </row>
        <row r="7124">
          <cell r="K7124">
            <v>0</v>
          </cell>
          <cell r="M7124">
            <v>0</v>
          </cell>
          <cell r="P7124">
            <v>0</v>
          </cell>
        </row>
        <row r="7125">
          <cell r="K7125">
            <v>0</v>
          </cell>
          <cell r="M7125">
            <v>0</v>
          </cell>
          <cell r="P7125">
            <v>0</v>
          </cell>
        </row>
        <row r="7126">
          <cell r="K7126">
            <v>0</v>
          </cell>
          <cell r="M7126">
            <v>0</v>
          </cell>
          <cell r="P7126">
            <v>0</v>
          </cell>
        </row>
        <row r="7127">
          <cell r="K7127">
            <v>0</v>
          </cell>
          <cell r="M7127">
            <v>0</v>
          </cell>
          <cell r="P7127">
            <v>0</v>
          </cell>
        </row>
        <row r="7128">
          <cell r="K7128">
            <v>0</v>
          </cell>
          <cell r="M7128">
            <v>0</v>
          </cell>
          <cell r="P7128">
            <v>0</v>
          </cell>
        </row>
        <row r="7129">
          <cell r="K7129">
            <v>0</v>
          </cell>
          <cell r="M7129">
            <v>0</v>
          </cell>
          <cell r="P7129">
            <v>0</v>
          </cell>
        </row>
        <row r="7130">
          <cell r="K7130">
            <v>0</v>
          </cell>
          <cell r="M7130">
            <v>0</v>
          </cell>
          <cell r="P7130">
            <v>0</v>
          </cell>
        </row>
        <row r="7131">
          <cell r="K7131">
            <v>0</v>
          </cell>
          <cell r="M7131">
            <v>0</v>
          </cell>
          <cell r="P7131">
            <v>0</v>
          </cell>
        </row>
        <row r="7132">
          <cell r="K7132">
            <v>0</v>
          </cell>
          <cell r="M7132">
            <v>0</v>
          </cell>
          <cell r="P7132">
            <v>0</v>
          </cell>
        </row>
        <row r="7133">
          <cell r="K7133">
            <v>0</v>
          </cell>
          <cell r="M7133">
            <v>0</v>
          </cell>
          <cell r="P7133">
            <v>0</v>
          </cell>
        </row>
        <row r="7134">
          <cell r="K7134">
            <v>0</v>
          </cell>
          <cell r="M7134">
            <v>0</v>
          </cell>
          <cell r="P7134">
            <v>0</v>
          </cell>
        </row>
        <row r="7135">
          <cell r="K7135">
            <v>0</v>
          </cell>
          <cell r="M7135">
            <v>0</v>
          </cell>
          <cell r="P7135">
            <v>0</v>
          </cell>
        </row>
        <row r="7136">
          <cell r="K7136">
            <v>0</v>
          </cell>
          <cell r="M7136">
            <v>0</v>
          </cell>
          <cell r="P7136">
            <v>0</v>
          </cell>
        </row>
        <row r="7137">
          <cell r="K7137">
            <v>0</v>
          </cell>
          <cell r="M7137">
            <v>0</v>
          </cell>
          <cell r="P7137">
            <v>0</v>
          </cell>
        </row>
        <row r="7138">
          <cell r="K7138">
            <v>0</v>
          </cell>
          <cell r="M7138">
            <v>0</v>
          </cell>
          <cell r="P7138">
            <v>0</v>
          </cell>
        </row>
        <row r="7139">
          <cell r="K7139">
            <v>0</v>
          </cell>
          <cell r="M7139">
            <v>0</v>
          </cell>
          <cell r="P7139">
            <v>0</v>
          </cell>
        </row>
        <row r="7140">
          <cell r="K7140">
            <v>0</v>
          </cell>
          <cell r="M7140">
            <v>0</v>
          </cell>
          <cell r="P7140">
            <v>0</v>
          </cell>
        </row>
        <row r="7141">
          <cell r="K7141">
            <v>0</v>
          </cell>
          <cell r="M7141">
            <v>0</v>
          </cell>
          <cell r="P7141">
            <v>0</v>
          </cell>
        </row>
        <row r="7142">
          <cell r="K7142">
            <v>0</v>
          </cell>
          <cell r="M7142">
            <v>0</v>
          </cell>
          <cell r="P7142">
            <v>0</v>
          </cell>
        </row>
        <row r="7143">
          <cell r="K7143">
            <v>0</v>
          </cell>
          <cell r="M7143">
            <v>0</v>
          </cell>
          <cell r="P7143">
            <v>0</v>
          </cell>
        </row>
        <row r="7144">
          <cell r="K7144">
            <v>0</v>
          </cell>
          <cell r="M7144">
            <v>0</v>
          </cell>
          <cell r="P7144">
            <v>0</v>
          </cell>
        </row>
        <row r="7145">
          <cell r="K7145">
            <v>0</v>
          </cell>
          <cell r="M7145">
            <v>0</v>
          </cell>
          <cell r="P7145">
            <v>0</v>
          </cell>
        </row>
        <row r="7146">
          <cell r="K7146">
            <v>0</v>
          </cell>
          <cell r="M7146">
            <v>0</v>
          </cell>
          <cell r="P7146">
            <v>0</v>
          </cell>
        </row>
        <row r="7147">
          <cell r="K7147">
            <v>0</v>
          </cell>
          <cell r="M7147">
            <v>0</v>
          </cell>
          <cell r="P7147">
            <v>0</v>
          </cell>
        </row>
        <row r="7148">
          <cell r="K7148">
            <v>0</v>
          </cell>
          <cell r="M7148">
            <v>0</v>
          </cell>
          <cell r="P7148">
            <v>0</v>
          </cell>
        </row>
        <row r="7149">
          <cell r="K7149">
            <v>0</v>
          </cell>
          <cell r="M7149">
            <v>0</v>
          </cell>
          <cell r="P7149">
            <v>0</v>
          </cell>
        </row>
        <row r="7150">
          <cell r="K7150">
            <v>0</v>
          </cell>
          <cell r="M7150">
            <v>0</v>
          </cell>
          <cell r="P7150">
            <v>0</v>
          </cell>
        </row>
        <row r="7151">
          <cell r="K7151">
            <v>0</v>
          </cell>
          <cell r="M7151">
            <v>0</v>
          </cell>
          <cell r="P7151">
            <v>0</v>
          </cell>
        </row>
        <row r="7152">
          <cell r="K7152">
            <v>0</v>
          </cell>
          <cell r="M7152">
            <v>0</v>
          </cell>
          <cell r="P7152">
            <v>0</v>
          </cell>
        </row>
        <row r="7153">
          <cell r="K7153">
            <v>0</v>
          </cell>
          <cell r="M7153">
            <v>0</v>
          </cell>
          <cell r="P7153">
            <v>0</v>
          </cell>
        </row>
        <row r="7154">
          <cell r="K7154">
            <v>0</v>
          </cell>
          <cell r="M7154">
            <v>0</v>
          </cell>
          <cell r="P7154">
            <v>0</v>
          </cell>
        </row>
        <row r="7155">
          <cell r="K7155">
            <v>0</v>
          </cell>
          <cell r="M7155">
            <v>0</v>
          </cell>
          <cell r="P7155">
            <v>0</v>
          </cell>
        </row>
        <row r="7156">
          <cell r="K7156">
            <v>0</v>
          </cell>
          <cell r="M7156">
            <v>0</v>
          </cell>
          <cell r="P7156">
            <v>0</v>
          </cell>
        </row>
        <row r="7157">
          <cell r="K7157">
            <v>0</v>
          </cell>
          <cell r="M7157">
            <v>0</v>
          </cell>
          <cell r="P7157">
            <v>0</v>
          </cell>
        </row>
        <row r="7158">
          <cell r="K7158">
            <v>0</v>
          </cell>
          <cell r="M7158">
            <v>0</v>
          </cell>
          <cell r="P7158">
            <v>0</v>
          </cell>
        </row>
        <row r="7159">
          <cell r="K7159">
            <v>0</v>
          </cell>
          <cell r="M7159">
            <v>0</v>
          </cell>
          <cell r="P7159">
            <v>0</v>
          </cell>
        </row>
        <row r="7160">
          <cell r="K7160">
            <v>0</v>
          </cell>
          <cell r="M7160">
            <v>0</v>
          </cell>
          <cell r="P7160">
            <v>0</v>
          </cell>
        </row>
        <row r="7161">
          <cell r="K7161">
            <v>0</v>
          </cell>
          <cell r="M7161">
            <v>0</v>
          </cell>
          <cell r="P7161">
            <v>0</v>
          </cell>
        </row>
        <row r="7162">
          <cell r="K7162">
            <v>0</v>
          </cell>
          <cell r="M7162">
            <v>0</v>
          </cell>
          <cell r="P7162">
            <v>0</v>
          </cell>
        </row>
        <row r="7163">
          <cell r="K7163">
            <v>0</v>
          </cell>
          <cell r="M7163">
            <v>0</v>
          </cell>
          <cell r="P7163">
            <v>0</v>
          </cell>
        </row>
        <row r="7164">
          <cell r="K7164">
            <v>0</v>
          </cell>
          <cell r="M7164">
            <v>0</v>
          </cell>
          <cell r="P7164">
            <v>0</v>
          </cell>
        </row>
        <row r="7165">
          <cell r="K7165">
            <v>0</v>
          </cell>
          <cell r="M7165">
            <v>0</v>
          </cell>
          <cell r="P7165">
            <v>0</v>
          </cell>
        </row>
        <row r="7166">
          <cell r="K7166">
            <v>0</v>
          </cell>
          <cell r="M7166">
            <v>0</v>
          </cell>
          <cell r="P7166">
            <v>0</v>
          </cell>
        </row>
        <row r="7167">
          <cell r="K7167">
            <v>0</v>
          </cell>
          <cell r="M7167">
            <v>0</v>
          </cell>
          <cell r="P7167">
            <v>0</v>
          </cell>
        </row>
        <row r="7168">
          <cell r="K7168">
            <v>0</v>
          </cell>
          <cell r="M7168">
            <v>0</v>
          </cell>
          <cell r="P7168">
            <v>0</v>
          </cell>
        </row>
        <row r="7169">
          <cell r="K7169">
            <v>0</v>
          </cell>
          <cell r="M7169">
            <v>0</v>
          </cell>
          <cell r="P7169">
            <v>0</v>
          </cell>
        </row>
        <row r="7170">
          <cell r="K7170">
            <v>0</v>
          </cell>
          <cell r="M7170">
            <v>0</v>
          </cell>
          <cell r="P7170">
            <v>0</v>
          </cell>
        </row>
        <row r="7171">
          <cell r="K7171">
            <v>0</v>
          </cell>
          <cell r="M7171">
            <v>0</v>
          </cell>
          <cell r="P7171">
            <v>0</v>
          </cell>
        </row>
        <row r="7172">
          <cell r="K7172">
            <v>0</v>
          </cell>
          <cell r="M7172">
            <v>0</v>
          </cell>
          <cell r="P7172">
            <v>0</v>
          </cell>
        </row>
        <row r="7173">
          <cell r="K7173">
            <v>0</v>
          </cell>
          <cell r="M7173">
            <v>0</v>
          </cell>
          <cell r="P7173">
            <v>0</v>
          </cell>
        </row>
        <row r="7174">
          <cell r="K7174">
            <v>0</v>
          </cell>
          <cell r="M7174">
            <v>0</v>
          </cell>
          <cell r="P7174">
            <v>0</v>
          </cell>
        </row>
        <row r="7175">
          <cell r="K7175">
            <v>0</v>
          </cell>
          <cell r="M7175">
            <v>0</v>
          </cell>
          <cell r="P7175">
            <v>0</v>
          </cell>
        </row>
        <row r="7176">
          <cell r="K7176">
            <v>0</v>
          </cell>
          <cell r="M7176">
            <v>0</v>
          </cell>
          <cell r="P7176">
            <v>0</v>
          </cell>
        </row>
        <row r="7177">
          <cell r="K7177">
            <v>0</v>
          </cell>
          <cell r="M7177">
            <v>0</v>
          </cell>
          <cell r="P7177">
            <v>0</v>
          </cell>
        </row>
        <row r="7178">
          <cell r="K7178">
            <v>0</v>
          </cell>
          <cell r="M7178">
            <v>0</v>
          </cell>
          <cell r="P7178">
            <v>0</v>
          </cell>
        </row>
        <row r="7179">
          <cell r="K7179">
            <v>0</v>
          </cell>
          <cell r="M7179">
            <v>0</v>
          </cell>
          <cell r="P7179">
            <v>0</v>
          </cell>
        </row>
        <row r="7180">
          <cell r="K7180">
            <v>0</v>
          </cell>
          <cell r="M7180">
            <v>0</v>
          </cell>
          <cell r="P7180">
            <v>0</v>
          </cell>
        </row>
        <row r="7181">
          <cell r="K7181">
            <v>0</v>
          </cell>
          <cell r="M7181">
            <v>0</v>
          </cell>
          <cell r="P7181">
            <v>0</v>
          </cell>
        </row>
        <row r="7182">
          <cell r="K7182">
            <v>0</v>
          </cell>
          <cell r="M7182">
            <v>0</v>
          </cell>
          <cell r="P7182">
            <v>0</v>
          </cell>
        </row>
        <row r="7183">
          <cell r="K7183">
            <v>0</v>
          </cell>
          <cell r="M7183">
            <v>0</v>
          </cell>
          <cell r="P7183">
            <v>0</v>
          </cell>
        </row>
        <row r="7184">
          <cell r="K7184">
            <v>0</v>
          </cell>
          <cell r="M7184">
            <v>0</v>
          </cell>
          <cell r="P7184">
            <v>0</v>
          </cell>
        </row>
        <row r="7185">
          <cell r="K7185">
            <v>0</v>
          </cell>
          <cell r="M7185">
            <v>0</v>
          </cell>
          <cell r="P7185">
            <v>0</v>
          </cell>
        </row>
        <row r="7186">
          <cell r="K7186">
            <v>0</v>
          </cell>
          <cell r="M7186">
            <v>0</v>
          </cell>
          <cell r="P7186">
            <v>0</v>
          </cell>
        </row>
        <row r="7187">
          <cell r="K7187">
            <v>0</v>
          </cell>
          <cell r="M7187">
            <v>0</v>
          </cell>
          <cell r="P7187">
            <v>0</v>
          </cell>
        </row>
        <row r="7188">
          <cell r="K7188">
            <v>0</v>
          </cell>
          <cell r="M7188">
            <v>0</v>
          </cell>
          <cell r="P7188">
            <v>0</v>
          </cell>
        </row>
        <row r="7189">
          <cell r="K7189">
            <v>0</v>
          </cell>
          <cell r="M7189">
            <v>0</v>
          </cell>
          <cell r="P7189">
            <v>0</v>
          </cell>
        </row>
        <row r="7190">
          <cell r="K7190">
            <v>0</v>
          </cell>
          <cell r="M7190">
            <v>0</v>
          </cell>
          <cell r="P7190">
            <v>0</v>
          </cell>
        </row>
        <row r="7191">
          <cell r="K7191">
            <v>0</v>
          </cell>
          <cell r="M7191">
            <v>0</v>
          </cell>
          <cell r="P7191">
            <v>0</v>
          </cell>
        </row>
        <row r="7192">
          <cell r="K7192">
            <v>0</v>
          </cell>
          <cell r="M7192">
            <v>0</v>
          </cell>
          <cell r="P7192">
            <v>0</v>
          </cell>
        </row>
        <row r="7193">
          <cell r="K7193">
            <v>0</v>
          </cell>
          <cell r="M7193">
            <v>0</v>
          </cell>
          <cell r="P7193">
            <v>0</v>
          </cell>
        </row>
        <row r="7194">
          <cell r="K7194">
            <v>0</v>
          </cell>
          <cell r="M7194">
            <v>0</v>
          </cell>
          <cell r="P7194">
            <v>0</v>
          </cell>
        </row>
        <row r="7195">
          <cell r="K7195">
            <v>0</v>
          </cell>
          <cell r="M7195">
            <v>0</v>
          </cell>
          <cell r="P7195">
            <v>0</v>
          </cell>
        </row>
        <row r="7196">
          <cell r="K7196">
            <v>0</v>
          </cell>
          <cell r="M7196">
            <v>0</v>
          </cell>
          <cell r="P7196">
            <v>0</v>
          </cell>
        </row>
        <row r="7197">
          <cell r="K7197">
            <v>0</v>
          </cell>
          <cell r="M7197">
            <v>0</v>
          </cell>
          <cell r="P7197">
            <v>0</v>
          </cell>
        </row>
        <row r="7198">
          <cell r="K7198">
            <v>0</v>
          </cell>
          <cell r="M7198">
            <v>0</v>
          </cell>
          <cell r="P7198">
            <v>0</v>
          </cell>
        </row>
        <row r="7199">
          <cell r="K7199">
            <v>0</v>
          </cell>
          <cell r="M7199">
            <v>0</v>
          </cell>
          <cell r="P7199">
            <v>0</v>
          </cell>
        </row>
        <row r="7200">
          <cell r="K7200">
            <v>0</v>
          </cell>
          <cell r="M7200">
            <v>0</v>
          </cell>
          <cell r="P7200">
            <v>0</v>
          </cell>
        </row>
        <row r="7201">
          <cell r="K7201">
            <v>0</v>
          </cell>
          <cell r="M7201">
            <v>0</v>
          </cell>
          <cell r="P7201">
            <v>0</v>
          </cell>
        </row>
        <row r="7202">
          <cell r="K7202">
            <v>0</v>
          </cell>
          <cell r="M7202">
            <v>0</v>
          </cell>
          <cell r="P7202">
            <v>0</v>
          </cell>
        </row>
        <row r="7203">
          <cell r="K7203">
            <v>0</v>
          </cell>
          <cell r="M7203">
            <v>0</v>
          </cell>
          <cell r="P7203">
            <v>0</v>
          </cell>
        </row>
        <row r="7204">
          <cell r="K7204">
            <v>0</v>
          </cell>
          <cell r="M7204">
            <v>0</v>
          </cell>
          <cell r="P7204">
            <v>0</v>
          </cell>
        </row>
        <row r="7205">
          <cell r="K7205">
            <v>0</v>
          </cell>
          <cell r="M7205">
            <v>0</v>
          </cell>
          <cell r="P7205">
            <v>0</v>
          </cell>
        </row>
        <row r="7206">
          <cell r="K7206">
            <v>0</v>
          </cell>
          <cell r="M7206">
            <v>0</v>
          </cell>
          <cell r="P7206">
            <v>0</v>
          </cell>
        </row>
        <row r="7207">
          <cell r="K7207">
            <v>0</v>
          </cell>
          <cell r="M7207">
            <v>0</v>
          </cell>
          <cell r="P7207">
            <v>0</v>
          </cell>
        </row>
        <row r="7208">
          <cell r="K7208">
            <v>0</v>
          </cell>
          <cell r="M7208">
            <v>0</v>
          </cell>
          <cell r="P7208">
            <v>0</v>
          </cell>
        </row>
        <row r="7209">
          <cell r="K7209">
            <v>0</v>
          </cell>
          <cell r="M7209">
            <v>0</v>
          </cell>
          <cell r="P7209">
            <v>0</v>
          </cell>
        </row>
        <row r="7210">
          <cell r="K7210">
            <v>0</v>
          </cell>
          <cell r="M7210">
            <v>0</v>
          </cell>
          <cell r="P7210">
            <v>0</v>
          </cell>
        </row>
        <row r="7211">
          <cell r="K7211">
            <v>0</v>
          </cell>
          <cell r="M7211">
            <v>0</v>
          </cell>
          <cell r="P7211">
            <v>0</v>
          </cell>
        </row>
        <row r="7212">
          <cell r="K7212">
            <v>0</v>
          </cell>
          <cell r="M7212">
            <v>0</v>
          </cell>
          <cell r="P7212">
            <v>0</v>
          </cell>
        </row>
        <row r="7213">
          <cell r="K7213">
            <v>0</v>
          </cell>
          <cell r="M7213">
            <v>0</v>
          </cell>
          <cell r="P7213">
            <v>0</v>
          </cell>
        </row>
        <row r="7214">
          <cell r="K7214">
            <v>0</v>
          </cell>
          <cell r="M7214">
            <v>0</v>
          </cell>
          <cell r="P7214">
            <v>0</v>
          </cell>
        </row>
        <row r="7215">
          <cell r="K7215">
            <v>0</v>
          </cell>
          <cell r="M7215">
            <v>0</v>
          </cell>
          <cell r="P7215">
            <v>0</v>
          </cell>
        </row>
        <row r="7216">
          <cell r="K7216">
            <v>0</v>
          </cell>
          <cell r="M7216">
            <v>0</v>
          </cell>
          <cell r="P7216">
            <v>0</v>
          </cell>
        </row>
        <row r="7217">
          <cell r="K7217">
            <v>0</v>
          </cell>
          <cell r="M7217">
            <v>0</v>
          </cell>
          <cell r="P7217">
            <v>0</v>
          </cell>
        </row>
        <row r="7218">
          <cell r="K7218">
            <v>0</v>
          </cell>
          <cell r="M7218">
            <v>0</v>
          </cell>
          <cell r="P7218">
            <v>0</v>
          </cell>
        </row>
        <row r="7219">
          <cell r="K7219">
            <v>0</v>
          </cell>
          <cell r="M7219">
            <v>0</v>
          </cell>
          <cell r="P7219">
            <v>0</v>
          </cell>
        </row>
        <row r="7220">
          <cell r="K7220">
            <v>0</v>
          </cell>
          <cell r="M7220">
            <v>0</v>
          </cell>
          <cell r="P7220">
            <v>0</v>
          </cell>
        </row>
        <row r="7221">
          <cell r="K7221">
            <v>0</v>
          </cell>
          <cell r="M7221">
            <v>0</v>
          </cell>
          <cell r="P7221">
            <v>0</v>
          </cell>
        </row>
        <row r="7222">
          <cell r="K7222">
            <v>0</v>
          </cell>
          <cell r="M7222">
            <v>0</v>
          </cell>
          <cell r="P7222">
            <v>0</v>
          </cell>
        </row>
        <row r="7223">
          <cell r="K7223">
            <v>0</v>
          </cell>
          <cell r="M7223">
            <v>0</v>
          </cell>
          <cell r="P7223">
            <v>0</v>
          </cell>
        </row>
        <row r="7224">
          <cell r="K7224">
            <v>0</v>
          </cell>
          <cell r="M7224">
            <v>0</v>
          </cell>
          <cell r="P7224">
            <v>0</v>
          </cell>
        </row>
        <row r="7225">
          <cell r="K7225">
            <v>0</v>
          </cell>
          <cell r="M7225">
            <v>0</v>
          </cell>
          <cell r="P7225">
            <v>0</v>
          </cell>
        </row>
        <row r="7226">
          <cell r="K7226">
            <v>0</v>
          </cell>
          <cell r="M7226">
            <v>0</v>
          </cell>
          <cell r="P7226">
            <v>0</v>
          </cell>
        </row>
        <row r="7227">
          <cell r="K7227">
            <v>0</v>
          </cell>
          <cell r="M7227">
            <v>0</v>
          </cell>
          <cell r="P7227">
            <v>0</v>
          </cell>
        </row>
        <row r="7228">
          <cell r="K7228">
            <v>0</v>
          </cell>
          <cell r="M7228">
            <v>0</v>
          </cell>
          <cell r="P7228">
            <v>0</v>
          </cell>
        </row>
        <row r="7229">
          <cell r="K7229">
            <v>0</v>
          </cell>
          <cell r="M7229">
            <v>0</v>
          </cell>
          <cell r="P7229">
            <v>0</v>
          </cell>
        </row>
        <row r="7230">
          <cell r="K7230">
            <v>0</v>
          </cell>
          <cell r="M7230">
            <v>0</v>
          </cell>
          <cell r="P7230">
            <v>0</v>
          </cell>
        </row>
        <row r="7231">
          <cell r="K7231">
            <v>0</v>
          </cell>
          <cell r="M7231">
            <v>0</v>
          </cell>
          <cell r="P7231">
            <v>0</v>
          </cell>
        </row>
        <row r="7232">
          <cell r="K7232">
            <v>0</v>
          </cell>
          <cell r="M7232">
            <v>0</v>
          </cell>
          <cell r="P7232">
            <v>0</v>
          </cell>
        </row>
        <row r="7233">
          <cell r="K7233">
            <v>0</v>
          </cell>
          <cell r="M7233">
            <v>0</v>
          </cell>
          <cell r="P7233">
            <v>0</v>
          </cell>
        </row>
        <row r="7234">
          <cell r="K7234">
            <v>0</v>
          </cell>
          <cell r="M7234">
            <v>0</v>
          </cell>
          <cell r="P7234">
            <v>0</v>
          </cell>
        </row>
        <row r="7235">
          <cell r="K7235">
            <v>0</v>
          </cell>
          <cell r="M7235">
            <v>0</v>
          </cell>
          <cell r="P7235">
            <v>0</v>
          </cell>
        </row>
        <row r="7236">
          <cell r="K7236">
            <v>0</v>
          </cell>
          <cell r="M7236">
            <v>0</v>
          </cell>
          <cell r="P7236">
            <v>0</v>
          </cell>
        </row>
        <row r="7237">
          <cell r="K7237">
            <v>0</v>
          </cell>
          <cell r="M7237">
            <v>0</v>
          </cell>
          <cell r="P7237">
            <v>0</v>
          </cell>
        </row>
        <row r="7238">
          <cell r="K7238">
            <v>0</v>
          </cell>
          <cell r="M7238">
            <v>0</v>
          </cell>
          <cell r="P7238">
            <v>0</v>
          </cell>
        </row>
        <row r="7239">
          <cell r="K7239">
            <v>0</v>
          </cell>
          <cell r="M7239">
            <v>0</v>
          </cell>
          <cell r="P7239">
            <v>0</v>
          </cell>
        </row>
        <row r="7240">
          <cell r="K7240">
            <v>0</v>
          </cell>
          <cell r="M7240">
            <v>0</v>
          </cell>
          <cell r="P7240">
            <v>0</v>
          </cell>
        </row>
        <row r="7241">
          <cell r="K7241">
            <v>0</v>
          </cell>
          <cell r="M7241">
            <v>0</v>
          </cell>
          <cell r="P7241">
            <v>0</v>
          </cell>
        </row>
        <row r="7242">
          <cell r="K7242">
            <v>0</v>
          </cell>
          <cell r="M7242">
            <v>0</v>
          </cell>
          <cell r="P7242">
            <v>0</v>
          </cell>
        </row>
        <row r="7243">
          <cell r="K7243">
            <v>0</v>
          </cell>
          <cell r="M7243">
            <v>0</v>
          </cell>
          <cell r="P7243">
            <v>0</v>
          </cell>
        </row>
        <row r="7244">
          <cell r="K7244">
            <v>0</v>
          </cell>
          <cell r="M7244">
            <v>0</v>
          </cell>
          <cell r="P7244">
            <v>0</v>
          </cell>
        </row>
        <row r="7245">
          <cell r="K7245">
            <v>0</v>
          </cell>
          <cell r="M7245">
            <v>0</v>
          </cell>
          <cell r="P7245">
            <v>0</v>
          </cell>
        </row>
        <row r="7246">
          <cell r="K7246">
            <v>0</v>
          </cell>
          <cell r="M7246">
            <v>0</v>
          </cell>
          <cell r="P7246">
            <v>0</v>
          </cell>
        </row>
        <row r="7247">
          <cell r="K7247">
            <v>0</v>
          </cell>
          <cell r="M7247">
            <v>0</v>
          </cell>
          <cell r="P7247">
            <v>0</v>
          </cell>
        </row>
        <row r="7248">
          <cell r="K7248">
            <v>0</v>
          </cell>
          <cell r="M7248">
            <v>0</v>
          </cell>
          <cell r="P7248">
            <v>0</v>
          </cell>
        </row>
        <row r="7249">
          <cell r="K7249">
            <v>0</v>
          </cell>
          <cell r="M7249">
            <v>0</v>
          </cell>
          <cell r="P7249">
            <v>0</v>
          </cell>
        </row>
        <row r="7250">
          <cell r="K7250">
            <v>0</v>
          </cell>
          <cell r="M7250">
            <v>0</v>
          </cell>
          <cell r="P7250">
            <v>0</v>
          </cell>
        </row>
        <row r="7251">
          <cell r="K7251">
            <v>0</v>
          </cell>
          <cell r="M7251">
            <v>0</v>
          </cell>
          <cell r="P7251">
            <v>0</v>
          </cell>
        </row>
        <row r="7252">
          <cell r="K7252">
            <v>0</v>
          </cell>
          <cell r="M7252">
            <v>0</v>
          </cell>
          <cell r="P7252">
            <v>0</v>
          </cell>
        </row>
        <row r="7253">
          <cell r="K7253">
            <v>0</v>
          </cell>
          <cell r="M7253">
            <v>0</v>
          </cell>
          <cell r="P7253">
            <v>0</v>
          </cell>
        </row>
        <row r="7254">
          <cell r="K7254">
            <v>0</v>
          </cell>
          <cell r="M7254">
            <v>0</v>
          </cell>
          <cell r="P7254">
            <v>0</v>
          </cell>
        </row>
        <row r="7255">
          <cell r="K7255">
            <v>0</v>
          </cell>
          <cell r="M7255">
            <v>0</v>
          </cell>
          <cell r="P7255">
            <v>0</v>
          </cell>
        </row>
        <row r="7256">
          <cell r="K7256">
            <v>0</v>
          </cell>
          <cell r="M7256">
            <v>0</v>
          </cell>
          <cell r="P7256">
            <v>0</v>
          </cell>
        </row>
        <row r="7257">
          <cell r="K7257">
            <v>0</v>
          </cell>
          <cell r="M7257">
            <v>0</v>
          </cell>
          <cell r="P7257">
            <v>0</v>
          </cell>
        </row>
        <row r="7258">
          <cell r="K7258">
            <v>0</v>
          </cell>
          <cell r="M7258">
            <v>0</v>
          </cell>
          <cell r="P7258">
            <v>0</v>
          </cell>
        </row>
        <row r="7259">
          <cell r="K7259">
            <v>0</v>
          </cell>
          <cell r="M7259">
            <v>0</v>
          </cell>
          <cell r="P7259">
            <v>0</v>
          </cell>
        </row>
        <row r="7260">
          <cell r="K7260">
            <v>0</v>
          </cell>
          <cell r="M7260">
            <v>0</v>
          </cell>
          <cell r="P7260">
            <v>0</v>
          </cell>
        </row>
        <row r="7261">
          <cell r="K7261">
            <v>0</v>
          </cell>
          <cell r="M7261">
            <v>0</v>
          </cell>
          <cell r="P7261">
            <v>0</v>
          </cell>
        </row>
        <row r="7262">
          <cell r="K7262">
            <v>0</v>
          </cell>
          <cell r="M7262">
            <v>0</v>
          </cell>
          <cell r="P7262">
            <v>0</v>
          </cell>
        </row>
        <row r="7263">
          <cell r="K7263">
            <v>0</v>
          </cell>
          <cell r="M7263">
            <v>0</v>
          </cell>
          <cell r="P7263">
            <v>0</v>
          </cell>
        </row>
        <row r="7264">
          <cell r="K7264">
            <v>0</v>
          </cell>
          <cell r="M7264">
            <v>0</v>
          </cell>
          <cell r="P7264">
            <v>0</v>
          </cell>
        </row>
        <row r="7265">
          <cell r="K7265">
            <v>0</v>
          </cell>
          <cell r="M7265">
            <v>0</v>
          </cell>
          <cell r="P7265">
            <v>0</v>
          </cell>
        </row>
        <row r="7266">
          <cell r="K7266">
            <v>0</v>
          </cell>
          <cell r="M7266">
            <v>0</v>
          </cell>
          <cell r="P7266">
            <v>0</v>
          </cell>
        </row>
        <row r="7267">
          <cell r="K7267">
            <v>0</v>
          </cell>
          <cell r="M7267">
            <v>0</v>
          </cell>
          <cell r="P7267">
            <v>0</v>
          </cell>
        </row>
        <row r="7268">
          <cell r="K7268">
            <v>0</v>
          </cell>
          <cell r="M7268">
            <v>0</v>
          </cell>
          <cell r="P7268">
            <v>0</v>
          </cell>
        </row>
        <row r="7269">
          <cell r="K7269">
            <v>0</v>
          </cell>
          <cell r="M7269">
            <v>0</v>
          </cell>
          <cell r="P7269">
            <v>0</v>
          </cell>
        </row>
        <row r="7270">
          <cell r="K7270">
            <v>0</v>
          </cell>
          <cell r="M7270">
            <v>0</v>
          </cell>
          <cell r="P7270">
            <v>0</v>
          </cell>
        </row>
        <row r="7271">
          <cell r="K7271">
            <v>0</v>
          </cell>
          <cell r="M7271">
            <v>0</v>
          </cell>
          <cell r="P7271">
            <v>0</v>
          </cell>
        </row>
        <row r="7272">
          <cell r="K7272">
            <v>0</v>
          </cell>
          <cell r="M7272">
            <v>0</v>
          </cell>
          <cell r="P7272">
            <v>0</v>
          </cell>
        </row>
        <row r="7273">
          <cell r="K7273">
            <v>0</v>
          </cell>
          <cell r="M7273">
            <v>0</v>
          </cell>
          <cell r="P7273">
            <v>0</v>
          </cell>
        </row>
        <row r="7274">
          <cell r="K7274">
            <v>0</v>
          </cell>
          <cell r="M7274">
            <v>0</v>
          </cell>
          <cell r="P7274">
            <v>0</v>
          </cell>
        </row>
        <row r="7275">
          <cell r="K7275">
            <v>0</v>
          </cell>
          <cell r="M7275">
            <v>0</v>
          </cell>
          <cell r="P7275">
            <v>0</v>
          </cell>
        </row>
        <row r="7276">
          <cell r="K7276">
            <v>0</v>
          </cell>
          <cell r="M7276">
            <v>0</v>
          </cell>
          <cell r="P7276">
            <v>0</v>
          </cell>
        </row>
        <row r="7277">
          <cell r="K7277">
            <v>0</v>
          </cell>
          <cell r="M7277">
            <v>0</v>
          </cell>
          <cell r="P7277">
            <v>0</v>
          </cell>
        </row>
        <row r="7278">
          <cell r="K7278">
            <v>0</v>
          </cell>
          <cell r="M7278">
            <v>0</v>
          </cell>
          <cell r="P7278">
            <v>0</v>
          </cell>
        </row>
        <row r="7279">
          <cell r="K7279">
            <v>0</v>
          </cell>
          <cell r="M7279">
            <v>0</v>
          </cell>
          <cell r="P7279">
            <v>0</v>
          </cell>
        </row>
        <row r="7280">
          <cell r="K7280">
            <v>0</v>
          </cell>
          <cell r="M7280">
            <v>0</v>
          </cell>
          <cell r="P7280">
            <v>0</v>
          </cell>
        </row>
        <row r="7281">
          <cell r="K7281">
            <v>0</v>
          </cell>
          <cell r="M7281">
            <v>0</v>
          </cell>
          <cell r="P7281">
            <v>0</v>
          </cell>
        </row>
        <row r="7282">
          <cell r="K7282">
            <v>0</v>
          </cell>
          <cell r="M7282">
            <v>0</v>
          </cell>
          <cell r="P7282">
            <v>0</v>
          </cell>
        </row>
        <row r="7283">
          <cell r="K7283">
            <v>0</v>
          </cell>
          <cell r="M7283">
            <v>0</v>
          </cell>
          <cell r="P7283">
            <v>0</v>
          </cell>
        </row>
        <row r="7284">
          <cell r="K7284">
            <v>0</v>
          </cell>
          <cell r="M7284">
            <v>0</v>
          </cell>
          <cell r="P7284">
            <v>0</v>
          </cell>
        </row>
        <row r="7285">
          <cell r="K7285">
            <v>0</v>
          </cell>
          <cell r="M7285">
            <v>0</v>
          </cell>
          <cell r="P7285">
            <v>0</v>
          </cell>
        </row>
        <row r="7286">
          <cell r="K7286">
            <v>0</v>
          </cell>
          <cell r="M7286">
            <v>0</v>
          </cell>
          <cell r="P7286">
            <v>0</v>
          </cell>
        </row>
        <row r="7287">
          <cell r="K7287">
            <v>0</v>
          </cell>
          <cell r="M7287">
            <v>0</v>
          </cell>
          <cell r="P7287">
            <v>0</v>
          </cell>
        </row>
        <row r="7288">
          <cell r="K7288">
            <v>0</v>
          </cell>
          <cell r="M7288">
            <v>0</v>
          </cell>
          <cell r="P7288">
            <v>0</v>
          </cell>
        </row>
        <row r="7289">
          <cell r="K7289">
            <v>0</v>
          </cell>
          <cell r="M7289">
            <v>0</v>
          </cell>
          <cell r="P7289">
            <v>0</v>
          </cell>
        </row>
        <row r="7290">
          <cell r="K7290">
            <v>0</v>
          </cell>
          <cell r="M7290">
            <v>0</v>
          </cell>
          <cell r="P7290">
            <v>0</v>
          </cell>
        </row>
        <row r="7291">
          <cell r="K7291">
            <v>0</v>
          </cell>
          <cell r="M7291">
            <v>0</v>
          </cell>
          <cell r="P7291">
            <v>0</v>
          </cell>
        </row>
        <row r="7292">
          <cell r="K7292">
            <v>0</v>
          </cell>
          <cell r="M7292">
            <v>0</v>
          </cell>
          <cell r="P7292">
            <v>0</v>
          </cell>
        </row>
        <row r="7293">
          <cell r="K7293">
            <v>0</v>
          </cell>
          <cell r="M7293">
            <v>0</v>
          </cell>
          <cell r="P7293">
            <v>0</v>
          </cell>
        </row>
        <row r="7294">
          <cell r="K7294">
            <v>0</v>
          </cell>
          <cell r="M7294">
            <v>0</v>
          </cell>
          <cell r="P7294">
            <v>0</v>
          </cell>
        </row>
        <row r="7295">
          <cell r="K7295">
            <v>0</v>
          </cell>
          <cell r="M7295">
            <v>0</v>
          </cell>
          <cell r="P7295">
            <v>0</v>
          </cell>
        </row>
        <row r="7296">
          <cell r="K7296">
            <v>0</v>
          </cell>
          <cell r="M7296">
            <v>0</v>
          </cell>
          <cell r="P7296">
            <v>0</v>
          </cell>
        </row>
        <row r="7297">
          <cell r="K7297">
            <v>0</v>
          </cell>
          <cell r="M7297">
            <v>0</v>
          </cell>
          <cell r="P7297">
            <v>0</v>
          </cell>
        </row>
        <row r="7298">
          <cell r="K7298">
            <v>0</v>
          </cell>
          <cell r="M7298">
            <v>0</v>
          </cell>
          <cell r="P7298">
            <v>0</v>
          </cell>
        </row>
        <row r="7299">
          <cell r="K7299">
            <v>0</v>
          </cell>
          <cell r="M7299">
            <v>0</v>
          </cell>
          <cell r="P7299">
            <v>0</v>
          </cell>
        </row>
        <row r="7300">
          <cell r="K7300">
            <v>0</v>
          </cell>
          <cell r="M7300">
            <v>0</v>
          </cell>
          <cell r="P7300">
            <v>0</v>
          </cell>
        </row>
        <row r="7301">
          <cell r="K7301">
            <v>0</v>
          </cell>
          <cell r="M7301">
            <v>0</v>
          </cell>
          <cell r="P7301">
            <v>0</v>
          </cell>
        </row>
        <row r="7302">
          <cell r="K7302">
            <v>0</v>
          </cell>
          <cell r="M7302">
            <v>0</v>
          </cell>
          <cell r="P7302">
            <v>0</v>
          </cell>
        </row>
        <row r="7303">
          <cell r="K7303">
            <v>0</v>
          </cell>
          <cell r="M7303">
            <v>0</v>
          </cell>
          <cell r="P7303">
            <v>0</v>
          </cell>
        </row>
        <row r="7304">
          <cell r="K7304">
            <v>0</v>
          </cell>
          <cell r="M7304">
            <v>0</v>
          </cell>
          <cell r="P7304">
            <v>0</v>
          </cell>
        </row>
        <row r="7305">
          <cell r="K7305">
            <v>0</v>
          </cell>
          <cell r="M7305">
            <v>0</v>
          </cell>
          <cell r="P7305">
            <v>0</v>
          </cell>
        </row>
        <row r="7306">
          <cell r="K7306">
            <v>0</v>
          </cell>
          <cell r="M7306">
            <v>0</v>
          </cell>
          <cell r="P7306">
            <v>0</v>
          </cell>
        </row>
        <row r="7307">
          <cell r="K7307">
            <v>0</v>
          </cell>
          <cell r="M7307">
            <v>0</v>
          </cell>
          <cell r="P7307">
            <v>0</v>
          </cell>
        </row>
        <row r="7308">
          <cell r="K7308">
            <v>0</v>
          </cell>
          <cell r="M7308">
            <v>0</v>
          </cell>
          <cell r="P7308">
            <v>0</v>
          </cell>
        </row>
        <row r="7309">
          <cell r="K7309">
            <v>0</v>
          </cell>
          <cell r="M7309">
            <v>0</v>
          </cell>
          <cell r="P7309">
            <v>0</v>
          </cell>
        </row>
        <row r="7310">
          <cell r="K7310">
            <v>0</v>
          </cell>
          <cell r="M7310">
            <v>0</v>
          </cell>
          <cell r="P7310">
            <v>0</v>
          </cell>
        </row>
        <row r="7311">
          <cell r="K7311">
            <v>0</v>
          </cell>
          <cell r="M7311">
            <v>0</v>
          </cell>
          <cell r="P7311">
            <v>0</v>
          </cell>
        </row>
        <row r="7312">
          <cell r="K7312">
            <v>0</v>
          </cell>
          <cell r="M7312">
            <v>0</v>
          </cell>
          <cell r="P7312">
            <v>0</v>
          </cell>
        </row>
        <row r="7313">
          <cell r="K7313">
            <v>0</v>
          </cell>
          <cell r="M7313">
            <v>0</v>
          </cell>
          <cell r="P7313">
            <v>0</v>
          </cell>
        </row>
        <row r="7314">
          <cell r="K7314">
            <v>0</v>
          </cell>
          <cell r="M7314">
            <v>0</v>
          </cell>
          <cell r="P7314">
            <v>0</v>
          </cell>
        </row>
        <row r="7315">
          <cell r="K7315">
            <v>0</v>
          </cell>
          <cell r="M7315">
            <v>0</v>
          </cell>
          <cell r="P7315">
            <v>0</v>
          </cell>
        </row>
        <row r="7316">
          <cell r="K7316">
            <v>0</v>
          </cell>
          <cell r="M7316">
            <v>0</v>
          </cell>
          <cell r="P7316">
            <v>0</v>
          </cell>
        </row>
        <row r="7317">
          <cell r="K7317">
            <v>0</v>
          </cell>
          <cell r="M7317">
            <v>0</v>
          </cell>
          <cell r="P7317">
            <v>0</v>
          </cell>
        </row>
        <row r="7318">
          <cell r="K7318">
            <v>0</v>
          </cell>
          <cell r="M7318">
            <v>0</v>
          </cell>
          <cell r="P7318">
            <v>0</v>
          </cell>
        </row>
        <row r="7319">
          <cell r="K7319">
            <v>0</v>
          </cell>
          <cell r="M7319">
            <v>0</v>
          </cell>
          <cell r="P7319">
            <v>0</v>
          </cell>
        </row>
        <row r="7320">
          <cell r="K7320">
            <v>0</v>
          </cell>
          <cell r="M7320">
            <v>0</v>
          </cell>
          <cell r="P7320">
            <v>0</v>
          </cell>
        </row>
        <row r="7321">
          <cell r="K7321">
            <v>0</v>
          </cell>
          <cell r="M7321">
            <v>0</v>
          </cell>
          <cell r="P7321">
            <v>0</v>
          </cell>
        </row>
        <row r="7322">
          <cell r="K7322">
            <v>0</v>
          </cell>
          <cell r="M7322">
            <v>0</v>
          </cell>
          <cell r="P7322">
            <v>0</v>
          </cell>
        </row>
        <row r="7323">
          <cell r="K7323">
            <v>0</v>
          </cell>
          <cell r="M7323">
            <v>0</v>
          </cell>
          <cell r="P7323">
            <v>0</v>
          </cell>
        </row>
        <row r="7324">
          <cell r="K7324">
            <v>0</v>
          </cell>
          <cell r="M7324">
            <v>0</v>
          </cell>
          <cell r="P7324">
            <v>0</v>
          </cell>
        </row>
        <row r="7325">
          <cell r="K7325">
            <v>0</v>
          </cell>
          <cell r="M7325">
            <v>0</v>
          </cell>
          <cell r="P7325">
            <v>0</v>
          </cell>
        </row>
        <row r="7326">
          <cell r="K7326">
            <v>0</v>
          </cell>
          <cell r="M7326">
            <v>0</v>
          </cell>
          <cell r="P7326">
            <v>0</v>
          </cell>
        </row>
        <row r="7327">
          <cell r="K7327">
            <v>0</v>
          </cell>
          <cell r="M7327">
            <v>0</v>
          </cell>
          <cell r="P7327">
            <v>0</v>
          </cell>
        </row>
        <row r="7328">
          <cell r="K7328">
            <v>0</v>
          </cell>
          <cell r="M7328">
            <v>0</v>
          </cell>
          <cell r="P7328">
            <v>0</v>
          </cell>
        </row>
        <row r="7329">
          <cell r="K7329">
            <v>0</v>
          </cell>
          <cell r="M7329">
            <v>0</v>
          </cell>
          <cell r="P7329">
            <v>0</v>
          </cell>
        </row>
        <row r="7330">
          <cell r="K7330">
            <v>0</v>
          </cell>
          <cell r="M7330">
            <v>0</v>
          </cell>
          <cell r="P7330">
            <v>0</v>
          </cell>
        </row>
        <row r="7331">
          <cell r="K7331">
            <v>0</v>
          </cell>
          <cell r="M7331">
            <v>0</v>
          </cell>
          <cell r="P7331">
            <v>0</v>
          </cell>
        </row>
        <row r="7332">
          <cell r="K7332">
            <v>0</v>
          </cell>
          <cell r="M7332">
            <v>0</v>
          </cell>
          <cell r="P7332">
            <v>0</v>
          </cell>
        </row>
        <row r="7333">
          <cell r="K7333">
            <v>0</v>
          </cell>
          <cell r="M7333">
            <v>0</v>
          </cell>
          <cell r="P7333">
            <v>0</v>
          </cell>
        </row>
        <row r="7334">
          <cell r="K7334">
            <v>0</v>
          </cell>
          <cell r="M7334">
            <v>0</v>
          </cell>
          <cell r="P7334">
            <v>0</v>
          </cell>
        </row>
        <row r="7335">
          <cell r="K7335">
            <v>0</v>
          </cell>
          <cell r="M7335">
            <v>0</v>
          </cell>
          <cell r="P7335">
            <v>0</v>
          </cell>
        </row>
        <row r="7336">
          <cell r="K7336">
            <v>0</v>
          </cell>
          <cell r="M7336">
            <v>0</v>
          </cell>
          <cell r="P7336">
            <v>0</v>
          </cell>
        </row>
        <row r="7337">
          <cell r="K7337">
            <v>0</v>
          </cell>
          <cell r="M7337">
            <v>0</v>
          </cell>
          <cell r="P7337">
            <v>0</v>
          </cell>
        </row>
        <row r="7338">
          <cell r="K7338">
            <v>0</v>
          </cell>
          <cell r="M7338">
            <v>0</v>
          </cell>
          <cell r="P7338">
            <v>0</v>
          </cell>
        </row>
        <row r="7339">
          <cell r="K7339">
            <v>0</v>
          </cell>
          <cell r="M7339">
            <v>0</v>
          </cell>
          <cell r="P7339">
            <v>0</v>
          </cell>
        </row>
        <row r="7340">
          <cell r="K7340">
            <v>0</v>
          </cell>
          <cell r="M7340">
            <v>0</v>
          </cell>
          <cell r="P7340">
            <v>0</v>
          </cell>
        </row>
        <row r="7341">
          <cell r="K7341">
            <v>0</v>
          </cell>
          <cell r="M7341">
            <v>0</v>
          </cell>
          <cell r="P7341">
            <v>0</v>
          </cell>
        </row>
        <row r="7342">
          <cell r="K7342">
            <v>0</v>
          </cell>
          <cell r="M7342">
            <v>0</v>
          </cell>
          <cell r="P7342">
            <v>0</v>
          </cell>
        </row>
        <row r="7343">
          <cell r="K7343">
            <v>0</v>
          </cell>
          <cell r="M7343">
            <v>0</v>
          </cell>
          <cell r="P7343">
            <v>0</v>
          </cell>
        </row>
        <row r="7344">
          <cell r="K7344">
            <v>0</v>
          </cell>
          <cell r="M7344">
            <v>0</v>
          </cell>
          <cell r="P7344">
            <v>0</v>
          </cell>
        </row>
        <row r="7345">
          <cell r="K7345">
            <v>0</v>
          </cell>
          <cell r="M7345">
            <v>0</v>
          </cell>
          <cell r="P7345">
            <v>0</v>
          </cell>
        </row>
        <row r="7346">
          <cell r="K7346">
            <v>0</v>
          </cell>
          <cell r="M7346">
            <v>0</v>
          </cell>
          <cell r="P7346">
            <v>0</v>
          </cell>
        </row>
        <row r="7347">
          <cell r="K7347">
            <v>0</v>
          </cell>
          <cell r="M7347">
            <v>0</v>
          </cell>
          <cell r="P7347">
            <v>0</v>
          </cell>
        </row>
        <row r="7348">
          <cell r="K7348">
            <v>0</v>
          </cell>
          <cell r="M7348">
            <v>0</v>
          </cell>
          <cell r="P7348">
            <v>0</v>
          </cell>
        </row>
        <row r="7349">
          <cell r="K7349">
            <v>0</v>
          </cell>
          <cell r="M7349">
            <v>0</v>
          </cell>
          <cell r="P7349">
            <v>0</v>
          </cell>
        </row>
        <row r="7350">
          <cell r="K7350">
            <v>0</v>
          </cell>
          <cell r="M7350">
            <v>0</v>
          </cell>
          <cell r="P7350">
            <v>0</v>
          </cell>
        </row>
        <row r="7351">
          <cell r="K7351">
            <v>0</v>
          </cell>
          <cell r="M7351">
            <v>0</v>
          </cell>
          <cell r="P7351">
            <v>0</v>
          </cell>
        </row>
        <row r="7352">
          <cell r="K7352">
            <v>0</v>
          </cell>
          <cell r="M7352">
            <v>0</v>
          </cell>
          <cell r="P7352">
            <v>0</v>
          </cell>
        </row>
        <row r="7353">
          <cell r="K7353">
            <v>0</v>
          </cell>
          <cell r="M7353">
            <v>0</v>
          </cell>
          <cell r="P7353">
            <v>0</v>
          </cell>
        </row>
        <row r="7354">
          <cell r="K7354">
            <v>0</v>
          </cell>
          <cell r="M7354">
            <v>0</v>
          </cell>
          <cell r="P7354">
            <v>0</v>
          </cell>
        </row>
        <row r="7355">
          <cell r="K7355">
            <v>0</v>
          </cell>
          <cell r="M7355">
            <v>0</v>
          </cell>
          <cell r="P7355">
            <v>0</v>
          </cell>
        </row>
        <row r="7356">
          <cell r="K7356">
            <v>0</v>
          </cell>
          <cell r="M7356">
            <v>0</v>
          </cell>
          <cell r="P7356">
            <v>0</v>
          </cell>
        </row>
        <row r="7357">
          <cell r="K7357">
            <v>0</v>
          </cell>
          <cell r="M7357">
            <v>0</v>
          </cell>
          <cell r="P7357">
            <v>0</v>
          </cell>
        </row>
        <row r="7358">
          <cell r="K7358">
            <v>0</v>
          </cell>
          <cell r="M7358">
            <v>0</v>
          </cell>
          <cell r="P7358">
            <v>0</v>
          </cell>
        </row>
        <row r="7359">
          <cell r="K7359">
            <v>0</v>
          </cell>
          <cell r="M7359">
            <v>0</v>
          </cell>
          <cell r="P7359">
            <v>0</v>
          </cell>
        </row>
        <row r="7360">
          <cell r="K7360">
            <v>0</v>
          </cell>
          <cell r="M7360">
            <v>0</v>
          </cell>
          <cell r="P7360">
            <v>0</v>
          </cell>
        </row>
        <row r="7361">
          <cell r="K7361">
            <v>0</v>
          </cell>
          <cell r="M7361">
            <v>0</v>
          </cell>
          <cell r="P7361">
            <v>0</v>
          </cell>
        </row>
        <row r="7362">
          <cell r="K7362">
            <v>0</v>
          </cell>
          <cell r="M7362">
            <v>0</v>
          </cell>
          <cell r="P7362">
            <v>0</v>
          </cell>
        </row>
        <row r="7363">
          <cell r="K7363">
            <v>0</v>
          </cell>
          <cell r="M7363">
            <v>0</v>
          </cell>
          <cell r="P7363">
            <v>0</v>
          </cell>
        </row>
        <row r="7364">
          <cell r="K7364">
            <v>0</v>
          </cell>
          <cell r="M7364">
            <v>0</v>
          </cell>
          <cell r="P7364">
            <v>0</v>
          </cell>
        </row>
        <row r="7365">
          <cell r="K7365">
            <v>0</v>
          </cell>
          <cell r="M7365">
            <v>0</v>
          </cell>
          <cell r="P7365">
            <v>0</v>
          </cell>
        </row>
        <row r="7366">
          <cell r="K7366">
            <v>0</v>
          </cell>
          <cell r="M7366">
            <v>0</v>
          </cell>
          <cell r="P7366">
            <v>0</v>
          </cell>
        </row>
        <row r="7367">
          <cell r="K7367">
            <v>0</v>
          </cell>
          <cell r="M7367">
            <v>0</v>
          </cell>
          <cell r="P7367">
            <v>0</v>
          </cell>
        </row>
        <row r="7368">
          <cell r="K7368">
            <v>0</v>
          </cell>
          <cell r="M7368">
            <v>0</v>
          </cell>
          <cell r="P7368">
            <v>0</v>
          </cell>
        </row>
        <row r="7369">
          <cell r="K7369">
            <v>0</v>
          </cell>
          <cell r="M7369">
            <v>0</v>
          </cell>
          <cell r="P7369">
            <v>0</v>
          </cell>
        </row>
        <row r="7370">
          <cell r="K7370">
            <v>0</v>
          </cell>
          <cell r="M7370">
            <v>0</v>
          </cell>
          <cell r="P7370">
            <v>0</v>
          </cell>
        </row>
        <row r="7371">
          <cell r="K7371">
            <v>0</v>
          </cell>
          <cell r="M7371">
            <v>0</v>
          </cell>
          <cell r="P7371">
            <v>0</v>
          </cell>
        </row>
        <row r="7372">
          <cell r="K7372">
            <v>0</v>
          </cell>
          <cell r="M7372">
            <v>0</v>
          </cell>
          <cell r="P7372">
            <v>0</v>
          </cell>
        </row>
        <row r="7373">
          <cell r="K7373">
            <v>0</v>
          </cell>
          <cell r="M7373">
            <v>0</v>
          </cell>
          <cell r="P7373">
            <v>0</v>
          </cell>
        </row>
        <row r="7374">
          <cell r="K7374">
            <v>0</v>
          </cell>
          <cell r="M7374">
            <v>0</v>
          </cell>
          <cell r="P7374">
            <v>0</v>
          </cell>
        </row>
        <row r="7375">
          <cell r="K7375">
            <v>0</v>
          </cell>
          <cell r="M7375">
            <v>0</v>
          </cell>
          <cell r="P7375">
            <v>0</v>
          </cell>
        </row>
        <row r="7376">
          <cell r="K7376">
            <v>0</v>
          </cell>
          <cell r="M7376">
            <v>0</v>
          </cell>
          <cell r="P7376">
            <v>0</v>
          </cell>
        </row>
        <row r="7377">
          <cell r="K7377">
            <v>0</v>
          </cell>
          <cell r="M7377">
            <v>0</v>
          </cell>
          <cell r="P7377">
            <v>0</v>
          </cell>
        </row>
        <row r="7378">
          <cell r="K7378">
            <v>0</v>
          </cell>
          <cell r="M7378">
            <v>0</v>
          </cell>
          <cell r="P7378">
            <v>0</v>
          </cell>
        </row>
        <row r="7379">
          <cell r="K7379">
            <v>0</v>
          </cell>
          <cell r="M7379">
            <v>0</v>
          </cell>
          <cell r="P7379">
            <v>0</v>
          </cell>
        </row>
        <row r="7380">
          <cell r="K7380">
            <v>0</v>
          </cell>
          <cell r="M7380">
            <v>0</v>
          </cell>
          <cell r="P7380">
            <v>0</v>
          </cell>
        </row>
        <row r="7381">
          <cell r="K7381">
            <v>0</v>
          </cell>
          <cell r="M7381">
            <v>0</v>
          </cell>
          <cell r="P7381">
            <v>0</v>
          </cell>
        </row>
        <row r="7382">
          <cell r="K7382">
            <v>0</v>
          </cell>
          <cell r="M7382">
            <v>0</v>
          </cell>
          <cell r="P7382">
            <v>0</v>
          </cell>
        </row>
        <row r="7383">
          <cell r="K7383">
            <v>0</v>
          </cell>
          <cell r="M7383">
            <v>0</v>
          </cell>
          <cell r="P7383">
            <v>0</v>
          </cell>
        </row>
        <row r="7384">
          <cell r="K7384">
            <v>0</v>
          </cell>
          <cell r="M7384">
            <v>0</v>
          </cell>
          <cell r="P7384">
            <v>0</v>
          </cell>
        </row>
        <row r="7385">
          <cell r="K7385">
            <v>0</v>
          </cell>
          <cell r="M7385">
            <v>0</v>
          </cell>
          <cell r="P7385">
            <v>0</v>
          </cell>
        </row>
        <row r="7386">
          <cell r="K7386">
            <v>0</v>
          </cell>
          <cell r="M7386">
            <v>0</v>
          </cell>
          <cell r="P7386">
            <v>0</v>
          </cell>
        </row>
        <row r="7387">
          <cell r="K7387">
            <v>0</v>
          </cell>
          <cell r="M7387">
            <v>0</v>
          </cell>
          <cell r="P7387">
            <v>0</v>
          </cell>
        </row>
        <row r="7388">
          <cell r="K7388">
            <v>0</v>
          </cell>
          <cell r="M7388">
            <v>0</v>
          </cell>
          <cell r="P7388">
            <v>0</v>
          </cell>
        </row>
        <row r="7389">
          <cell r="K7389">
            <v>0</v>
          </cell>
          <cell r="M7389">
            <v>0</v>
          </cell>
          <cell r="P7389">
            <v>0</v>
          </cell>
        </row>
        <row r="7390">
          <cell r="K7390">
            <v>0</v>
          </cell>
          <cell r="M7390">
            <v>0</v>
          </cell>
          <cell r="P7390">
            <v>0</v>
          </cell>
        </row>
        <row r="7391">
          <cell r="K7391">
            <v>0</v>
          </cell>
          <cell r="M7391">
            <v>0</v>
          </cell>
          <cell r="P7391">
            <v>0</v>
          </cell>
        </row>
        <row r="7392">
          <cell r="K7392">
            <v>0</v>
          </cell>
          <cell r="M7392">
            <v>0</v>
          </cell>
          <cell r="P7392">
            <v>0</v>
          </cell>
        </row>
        <row r="7393">
          <cell r="K7393">
            <v>0</v>
          </cell>
          <cell r="M7393">
            <v>0</v>
          </cell>
          <cell r="P7393">
            <v>0</v>
          </cell>
        </row>
        <row r="7394">
          <cell r="K7394">
            <v>0</v>
          </cell>
          <cell r="M7394">
            <v>0</v>
          </cell>
          <cell r="P7394">
            <v>0</v>
          </cell>
        </row>
        <row r="7395">
          <cell r="K7395">
            <v>0</v>
          </cell>
          <cell r="M7395">
            <v>0</v>
          </cell>
          <cell r="P7395">
            <v>0</v>
          </cell>
        </row>
        <row r="7396">
          <cell r="K7396">
            <v>0</v>
          </cell>
          <cell r="M7396">
            <v>0</v>
          </cell>
          <cell r="P7396">
            <v>0</v>
          </cell>
        </row>
        <row r="7397">
          <cell r="K7397">
            <v>0</v>
          </cell>
          <cell r="M7397">
            <v>0</v>
          </cell>
          <cell r="P7397">
            <v>0</v>
          </cell>
        </row>
        <row r="7398">
          <cell r="K7398">
            <v>0</v>
          </cell>
          <cell r="M7398">
            <v>0</v>
          </cell>
          <cell r="P7398">
            <v>0</v>
          </cell>
        </row>
        <row r="7399">
          <cell r="K7399">
            <v>0</v>
          </cell>
          <cell r="M7399">
            <v>0</v>
          </cell>
          <cell r="P7399">
            <v>0</v>
          </cell>
        </row>
        <row r="7400">
          <cell r="K7400">
            <v>0</v>
          </cell>
          <cell r="M7400">
            <v>0</v>
          </cell>
          <cell r="P7400">
            <v>0</v>
          </cell>
        </row>
        <row r="7401">
          <cell r="K7401">
            <v>0</v>
          </cell>
          <cell r="M7401">
            <v>0</v>
          </cell>
          <cell r="P7401">
            <v>0</v>
          </cell>
        </row>
        <row r="7402">
          <cell r="K7402">
            <v>0</v>
          </cell>
          <cell r="M7402">
            <v>0</v>
          </cell>
          <cell r="P7402">
            <v>0</v>
          </cell>
        </row>
        <row r="7403">
          <cell r="K7403">
            <v>0</v>
          </cell>
          <cell r="M7403">
            <v>0</v>
          </cell>
          <cell r="P7403">
            <v>0</v>
          </cell>
        </row>
        <row r="7404">
          <cell r="K7404">
            <v>0</v>
          </cell>
          <cell r="M7404">
            <v>0</v>
          </cell>
          <cell r="P7404">
            <v>0</v>
          </cell>
        </row>
        <row r="7405">
          <cell r="K7405">
            <v>0</v>
          </cell>
          <cell r="M7405">
            <v>0</v>
          </cell>
          <cell r="P7405">
            <v>0</v>
          </cell>
        </row>
        <row r="7406">
          <cell r="K7406">
            <v>0</v>
          </cell>
          <cell r="M7406">
            <v>0</v>
          </cell>
          <cell r="P7406">
            <v>0</v>
          </cell>
        </row>
        <row r="7407">
          <cell r="K7407">
            <v>0</v>
          </cell>
          <cell r="M7407">
            <v>0</v>
          </cell>
          <cell r="P7407">
            <v>0</v>
          </cell>
        </row>
        <row r="7408">
          <cell r="K7408">
            <v>0</v>
          </cell>
          <cell r="M7408">
            <v>0</v>
          </cell>
          <cell r="P7408">
            <v>0</v>
          </cell>
        </row>
        <row r="7409">
          <cell r="K7409">
            <v>0</v>
          </cell>
          <cell r="M7409">
            <v>0</v>
          </cell>
          <cell r="P7409">
            <v>0</v>
          </cell>
        </row>
        <row r="7410">
          <cell r="K7410">
            <v>0</v>
          </cell>
          <cell r="M7410">
            <v>0</v>
          </cell>
          <cell r="P7410">
            <v>0</v>
          </cell>
        </row>
        <row r="7411">
          <cell r="K7411">
            <v>0</v>
          </cell>
          <cell r="M7411">
            <v>0</v>
          </cell>
          <cell r="P7411">
            <v>0</v>
          </cell>
        </row>
        <row r="7412">
          <cell r="K7412">
            <v>0</v>
          </cell>
          <cell r="M7412">
            <v>0</v>
          </cell>
          <cell r="P7412">
            <v>0</v>
          </cell>
        </row>
        <row r="7413">
          <cell r="K7413">
            <v>0</v>
          </cell>
          <cell r="M7413">
            <v>0</v>
          </cell>
          <cell r="P7413">
            <v>0</v>
          </cell>
        </row>
        <row r="7414">
          <cell r="K7414">
            <v>0</v>
          </cell>
          <cell r="M7414">
            <v>0</v>
          </cell>
          <cell r="P7414">
            <v>0</v>
          </cell>
        </row>
        <row r="7415">
          <cell r="K7415">
            <v>0</v>
          </cell>
          <cell r="M7415">
            <v>0</v>
          </cell>
          <cell r="P7415">
            <v>0</v>
          </cell>
        </row>
        <row r="7416">
          <cell r="K7416">
            <v>0</v>
          </cell>
          <cell r="M7416">
            <v>0</v>
          </cell>
          <cell r="P7416">
            <v>0</v>
          </cell>
        </row>
        <row r="7417">
          <cell r="K7417">
            <v>0</v>
          </cell>
          <cell r="M7417">
            <v>0</v>
          </cell>
          <cell r="P7417">
            <v>0</v>
          </cell>
        </row>
        <row r="7418">
          <cell r="K7418">
            <v>0</v>
          </cell>
          <cell r="M7418">
            <v>0</v>
          </cell>
          <cell r="P7418">
            <v>0</v>
          </cell>
        </row>
        <row r="7419">
          <cell r="K7419">
            <v>0</v>
          </cell>
          <cell r="M7419">
            <v>0</v>
          </cell>
          <cell r="P7419">
            <v>0</v>
          </cell>
        </row>
        <row r="7420">
          <cell r="K7420">
            <v>0</v>
          </cell>
          <cell r="M7420">
            <v>0</v>
          </cell>
          <cell r="P7420">
            <v>0</v>
          </cell>
        </row>
        <row r="7421">
          <cell r="K7421">
            <v>0</v>
          </cell>
          <cell r="M7421">
            <v>0</v>
          </cell>
          <cell r="P7421">
            <v>0</v>
          </cell>
        </row>
        <row r="7422">
          <cell r="K7422">
            <v>0</v>
          </cell>
          <cell r="M7422">
            <v>0</v>
          </cell>
          <cell r="P7422">
            <v>0</v>
          </cell>
        </row>
        <row r="7423">
          <cell r="K7423">
            <v>0</v>
          </cell>
          <cell r="M7423">
            <v>0</v>
          </cell>
          <cell r="P7423">
            <v>0</v>
          </cell>
        </row>
        <row r="7424">
          <cell r="K7424">
            <v>0</v>
          </cell>
          <cell r="M7424">
            <v>0</v>
          </cell>
          <cell r="P7424">
            <v>0</v>
          </cell>
        </row>
        <row r="7425">
          <cell r="K7425">
            <v>0</v>
          </cell>
          <cell r="M7425">
            <v>0</v>
          </cell>
          <cell r="P7425">
            <v>0</v>
          </cell>
        </row>
        <row r="7426">
          <cell r="K7426">
            <v>0</v>
          </cell>
          <cell r="M7426">
            <v>0</v>
          </cell>
          <cell r="P7426">
            <v>0</v>
          </cell>
        </row>
        <row r="7427">
          <cell r="K7427">
            <v>0</v>
          </cell>
          <cell r="M7427">
            <v>0</v>
          </cell>
          <cell r="P7427">
            <v>0</v>
          </cell>
        </row>
        <row r="7428">
          <cell r="K7428">
            <v>0</v>
          </cell>
          <cell r="M7428">
            <v>0</v>
          </cell>
          <cell r="P7428">
            <v>0</v>
          </cell>
        </row>
        <row r="7429">
          <cell r="K7429">
            <v>0</v>
          </cell>
          <cell r="M7429">
            <v>0</v>
          </cell>
          <cell r="P7429">
            <v>0</v>
          </cell>
        </row>
        <row r="7430">
          <cell r="K7430">
            <v>0</v>
          </cell>
          <cell r="M7430">
            <v>0</v>
          </cell>
          <cell r="P7430">
            <v>0</v>
          </cell>
        </row>
        <row r="7431">
          <cell r="K7431">
            <v>0</v>
          </cell>
          <cell r="M7431">
            <v>0</v>
          </cell>
          <cell r="P7431">
            <v>0</v>
          </cell>
        </row>
        <row r="7432">
          <cell r="K7432">
            <v>0</v>
          </cell>
          <cell r="M7432">
            <v>0</v>
          </cell>
          <cell r="P7432">
            <v>0</v>
          </cell>
        </row>
        <row r="7433">
          <cell r="K7433">
            <v>0</v>
          </cell>
          <cell r="M7433">
            <v>0</v>
          </cell>
          <cell r="P7433">
            <v>0</v>
          </cell>
        </row>
        <row r="7434">
          <cell r="K7434">
            <v>0</v>
          </cell>
          <cell r="M7434">
            <v>0</v>
          </cell>
          <cell r="P7434">
            <v>0</v>
          </cell>
        </row>
        <row r="7435">
          <cell r="K7435">
            <v>0</v>
          </cell>
          <cell r="M7435">
            <v>0</v>
          </cell>
          <cell r="P7435">
            <v>0</v>
          </cell>
        </row>
        <row r="7436">
          <cell r="K7436">
            <v>0</v>
          </cell>
          <cell r="M7436">
            <v>0</v>
          </cell>
          <cell r="P7436">
            <v>0</v>
          </cell>
        </row>
        <row r="7437">
          <cell r="K7437">
            <v>0</v>
          </cell>
          <cell r="M7437">
            <v>0</v>
          </cell>
          <cell r="P7437">
            <v>0</v>
          </cell>
        </row>
        <row r="7438">
          <cell r="K7438">
            <v>0</v>
          </cell>
          <cell r="M7438">
            <v>0</v>
          </cell>
          <cell r="P7438">
            <v>0</v>
          </cell>
        </row>
        <row r="7439">
          <cell r="K7439">
            <v>0</v>
          </cell>
          <cell r="M7439">
            <v>0</v>
          </cell>
          <cell r="P7439">
            <v>0</v>
          </cell>
        </row>
        <row r="7440">
          <cell r="K7440">
            <v>0</v>
          </cell>
          <cell r="M7440">
            <v>0</v>
          </cell>
          <cell r="P7440">
            <v>0</v>
          </cell>
        </row>
        <row r="7441">
          <cell r="K7441">
            <v>0</v>
          </cell>
          <cell r="M7441">
            <v>0</v>
          </cell>
          <cell r="P7441">
            <v>0</v>
          </cell>
        </row>
        <row r="7442">
          <cell r="K7442">
            <v>0</v>
          </cell>
          <cell r="M7442">
            <v>0</v>
          </cell>
          <cell r="P7442">
            <v>0</v>
          </cell>
        </row>
        <row r="7443">
          <cell r="K7443">
            <v>0</v>
          </cell>
          <cell r="M7443">
            <v>0</v>
          </cell>
          <cell r="P7443">
            <v>0</v>
          </cell>
        </row>
        <row r="7444">
          <cell r="K7444">
            <v>0</v>
          </cell>
          <cell r="M7444">
            <v>0</v>
          </cell>
          <cell r="P7444">
            <v>0</v>
          </cell>
        </row>
        <row r="7445">
          <cell r="K7445">
            <v>0</v>
          </cell>
          <cell r="M7445">
            <v>0</v>
          </cell>
          <cell r="P7445">
            <v>0</v>
          </cell>
        </row>
        <row r="7446">
          <cell r="K7446">
            <v>0</v>
          </cell>
          <cell r="M7446">
            <v>0</v>
          </cell>
          <cell r="P7446">
            <v>0</v>
          </cell>
        </row>
        <row r="7447">
          <cell r="K7447">
            <v>0</v>
          </cell>
          <cell r="M7447">
            <v>0</v>
          </cell>
          <cell r="P7447">
            <v>0</v>
          </cell>
        </row>
        <row r="7448">
          <cell r="K7448">
            <v>0</v>
          </cell>
          <cell r="M7448">
            <v>0</v>
          </cell>
          <cell r="P7448">
            <v>0</v>
          </cell>
        </row>
        <row r="7449">
          <cell r="K7449">
            <v>0</v>
          </cell>
          <cell r="M7449">
            <v>0</v>
          </cell>
          <cell r="P7449">
            <v>0</v>
          </cell>
        </row>
        <row r="7450">
          <cell r="K7450">
            <v>0</v>
          </cell>
          <cell r="M7450">
            <v>0</v>
          </cell>
          <cell r="P7450">
            <v>0</v>
          </cell>
        </row>
        <row r="7451">
          <cell r="K7451">
            <v>0</v>
          </cell>
          <cell r="M7451">
            <v>0</v>
          </cell>
          <cell r="P7451">
            <v>0</v>
          </cell>
        </row>
        <row r="7452">
          <cell r="K7452">
            <v>0</v>
          </cell>
          <cell r="M7452">
            <v>0</v>
          </cell>
          <cell r="P7452">
            <v>0</v>
          </cell>
        </row>
        <row r="7453">
          <cell r="K7453">
            <v>0</v>
          </cell>
          <cell r="M7453">
            <v>0</v>
          </cell>
          <cell r="P7453">
            <v>0</v>
          </cell>
        </row>
        <row r="7454">
          <cell r="K7454">
            <v>0</v>
          </cell>
          <cell r="M7454">
            <v>0</v>
          </cell>
          <cell r="P7454">
            <v>0</v>
          </cell>
        </row>
        <row r="7455">
          <cell r="K7455">
            <v>0</v>
          </cell>
          <cell r="M7455">
            <v>0</v>
          </cell>
          <cell r="P7455">
            <v>0</v>
          </cell>
        </row>
        <row r="7456">
          <cell r="K7456">
            <v>0</v>
          </cell>
          <cell r="M7456">
            <v>0</v>
          </cell>
          <cell r="P7456">
            <v>0</v>
          </cell>
        </row>
        <row r="7457">
          <cell r="K7457">
            <v>0</v>
          </cell>
          <cell r="M7457">
            <v>0</v>
          </cell>
          <cell r="P7457">
            <v>0</v>
          </cell>
        </row>
        <row r="7458">
          <cell r="K7458">
            <v>0</v>
          </cell>
          <cell r="M7458">
            <v>0</v>
          </cell>
          <cell r="P7458">
            <v>0</v>
          </cell>
        </row>
        <row r="7459">
          <cell r="K7459">
            <v>0</v>
          </cell>
          <cell r="M7459">
            <v>0</v>
          </cell>
          <cell r="P7459">
            <v>0</v>
          </cell>
        </row>
        <row r="7460">
          <cell r="K7460">
            <v>0</v>
          </cell>
          <cell r="M7460">
            <v>0</v>
          </cell>
          <cell r="P7460">
            <v>0</v>
          </cell>
        </row>
        <row r="7461">
          <cell r="K7461">
            <v>0</v>
          </cell>
          <cell r="M7461">
            <v>0</v>
          </cell>
          <cell r="P7461">
            <v>0</v>
          </cell>
        </row>
        <row r="7462">
          <cell r="K7462">
            <v>0</v>
          </cell>
          <cell r="M7462">
            <v>0</v>
          </cell>
          <cell r="P7462">
            <v>0</v>
          </cell>
        </row>
        <row r="7463">
          <cell r="K7463">
            <v>0</v>
          </cell>
          <cell r="M7463">
            <v>0</v>
          </cell>
          <cell r="P7463">
            <v>0</v>
          </cell>
        </row>
        <row r="7464">
          <cell r="K7464">
            <v>0</v>
          </cell>
          <cell r="M7464">
            <v>0</v>
          </cell>
          <cell r="P7464">
            <v>0</v>
          </cell>
        </row>
        <row r="7465">
          <cell r="K7465">
            <v>0</v>
          </cell>
          <cell r="M7465">
            <v>0</v>
          </cell>
          <cell r="P7465">
            <v>0</v>
          </cell>
        </row>
        <row r="7466">
          <cell r="K7466">
            <v>0</v>
          </cell>
          <cell r="M7466">
            <v>0</v>
          </cell>
          <cell r="P7466">
            <v>0</v>
          </cell>
        </row>
        <row r="7467">
          <cell r="K7467">
            <v>0</v>
          </cell>
          <cell r="M7467">
            <v>0</v>
          </cell>
          <cell r="P7467">
            <v>0</v>
          </cell>
        </row>
        <row r="7468">
          <cell r="K7468">
            <v>0</v>
          </cell>
          <cell r="M7468">
            <v>0</v>
          </cell>
          <cell r="P7468">
            <v>0</v>
          </cell>
        </row>
        <row r="7469">
          <cell r="K7469">
            <v>0</v>
          </cell>
          <cell r="M7469">
            <v>0</v>
          </cell>
          <cell r="P7469">
            <v>0</v>
          </cell>
        </row>
        <row r="7470">
          <cell r="K7470">
            <v>0</v>
          </cell>
          <cell r="M7470">
            <v>0</v>
          </cell>
          <cell r="P7470">
            <v>0</v>
          </cell>
        </row>
        <row r="7471">
          <cell r="K7471">
            <v>0</v>
          </cell>
          <cell r="M7471">
            <v>0</v>
          </cell>
          <cell r="P7471">
            <v>0</v>
          </cell>
        </row>
        <row r="7472">
          <cell r="K7472">
            <v>0</v>
          </cell>
          <cell r="M7472">
            <v>0</v>
          </cell>
          <cell r="P7472">
            <v>0</v>
          </cell>
        </row>
        <row r="7473">
          <cell r="K7473">
            <v>0</v>
          </cell>
          <cell r="M7473">
            <v>0</v>
          </cell>
          <cell r="P7473">
            <v>0</v>
          </cell>
        </row>
        <row r="7474">
          <cell r="K7474">
            <v>0</v>
          </cell>
          <cell r="M7474">
            <v>0</v>
          </cell>
          <cell r="P7474">
            <v>0</v>
          </cell>
        </row>
        <row r="7475">
          <cell r="K7475">
            <v>0</v>
          </cell>
          <cell r="M7475">
            <v>0</v>
          </cell>
          <cell r="P7475">
            <v>0</v>
          </cell>
        </row>
        <row r="7476">
          <cell r="K7476">
            <v>0</v>
          </cell>
          <cell r="M7476">
            <v>0</v>
          </cell>
          <cell r="P7476">
            <v>0</v>
          </cell>
        </row>
        <row r="7477">
          <cell r="K7477">
            <v>0</v>
          </cell>
          <cell r="M7477">
            <v>0</v>
          </cell>
          <cell r="P7477">
            <v>0</v>
          </cell>
        </row>
        <row r="7478">
          <cell r="K7478">
            <v>0</v>
          </cell>
          <cell r="M7478">
            <v>0</v>
          </cell>
          <cell r="P7478">
            <v>0</v>
          </cell>
        </row>
        <row r="7479">
          <cell r="K7479">
            <v>0</v>
          </cell>
          <cell r="M7479">
            <v>0</v>
          </cell>
          <cell r="P7479">
            <v>0</v>
          </cell>
        </row>
        <row r="7480">
          <cell r="K7480">
            <v>0</v>
          </cell>
          <cell r="M7480">
            <v>0</v>
          </cell>
          <cell r="P7480">
            <v>0</v>
          </cell>
        </row>
        <row r="7481">
          <cell r="K7481">
            <v>0</v>
          </cell>
          <cell r="M7481">
            <v>0</v>
          </cell>
          <cell r="P7481">
            <v>0</v>
          </cell>
        </row>
        <row r="7482">
          <cell r="K7482">
            <v>0</v>
          </cell>
          <cell r="M7482">
            <v>0</v>
          </cell>
          <cell r="P7482">
            <v>0</v>
          </cell>
        </row>
        <row r="7483">
          <cell r="K7483">
            <v>0</v>
          </cell>
          <cell r="M7483">
            <v>0</v>
          </cell>
          <cell r="P7483">
            <v>0</v>
          </cell>
        </row>
        <row r="7484">
          <cell r="K7484">
            <v>0</v>
          </cell>
          <cell r="M7484">
            <v>0</v>
          </cell>
          <cell r="P7484">
            <v>0</v>
          </cell>
        </row>
        <row r="7485">
          <cell r="K7485">
            <v>0</v>
          </cell>
          <cell r="M7485">
            <v>0</v>
          </cell>
          <cell r="P7485">
            <v>0</v>
          </cell>
        </row>
        <row r="7486">
          <cell r="K7486">
            <v>0</v>
          </cell>
          <cell r="M7486">
            <v>0</v>
          </cell>
          <cell r="P7486">
            <v>0</v>
          </cell>
        </row>
        <row r="7487">
          <cell r="K7487">
            <v>0</v>
          </cell>
          <cell r="M7487">
            <v>0</v>
          </cell>
          <cell r="P7487">
            <v>0</v>
          </cell>
        </row>
        <row r="7488">
          <cell r="K7488">
            <v>0</v>
          </cell>
          <cell r="M7488">
            <v>0</v>
          </cell>
          <cell r="P7488">
            <v>0</v>
          </cell>
        </row>
        <row r="7489">
          <cell r="K7489">
            <v>0</v>
          </cell>
          <cell r="M7489">
            <v>0</v>
          </cell>
          <cell r="P7489">
            <v>0</v>
          </cell>
        </row>
        <row r="7490">
          <cell r="K7490">
            <v>0</v>
          </cell>
          <cell r="M7490">
            <v>0</v>
          </cell>
          <cell r="P7490">
            <v>0</v>
          </cell>
        </row>
        <row r="7491">
          <cell r="K7491">
            <v>0</v>
          </cell>
          <cell r="M7491">
            <v>0</v>
          </cell>
          <cell r="P7491">
            <v>0</v>
          </cell>
        </row>
        <row r="7492">
          <cell r="K7492">
            <v>0</v>
          </cell>
          <cell r="M7492">
            <v>0</v>
          </cell>
          <cell r="P7492">
            <v>0</v>
          </cell>
        </row>
        <row r="7493">
          <cell r="K7493">
            <v>0</v>
          </cell>
          <cell r="M7493">
            <v>0</v>
          </cell>
          <cell r="P7493">
            <v>0</v>
          </cell>
        </row>
        <row r="7494">
          <cell r="K7494">
            <v>0</v>
          </cell>
          <cell r="M7494">
            <v>0</v>
          </cell>
          <cell r="P7494">
            <v>0</v>
          </cell>
        </row>
        <row r="7495">
          <cell r="K7495">
            <v>0</v>
          </cell>
          <cell r="M7495">
            <v>0</v>
          </cell>
          <cell r="P7495">
            <v>0</v>
          </cell>
        </row>
        <row r="7496">
          <cell r="K7496">
            <v>0</v>
          </cell>
          <cell r="M7496">
            <v>0</v>
          </cell>
          <cell r="P7496">
            <v>0</v>
          </cell>
        </row>
        <row r="7497">
          <cell r="K7497">
            <v>0</v>
          </cell>
          <cell r="M7497">
            <v>0</v>
          </cell>
          <cell r="P7497">
            <v>0</v>
          </cell>
        </row>
        <row r="7498">
          <cell r="K7498">
            <v>0</v>
          </cell>
          <cell r="M7498">
            <v>0</v>
          </cell>
          <cell r="P7498">
            <v>0</v>
          </cell>
        </row>
        <row r="7499">
          <cell r="K7499">
            <v>0</v>
          </cell>
          <cell r="M7499">
            <v>0</v>
          </cell>
          <cell r="P7499">
            <v>0</v>
          </cell>
        </row>
        <row r="7500">
          <cell r="K7500">
            <v>0</v>
          </cell>
          <cell r="M7500">
            <v>0</v>
          </cell>
          <cell r="P7500">
            <v>0</v>
          </cell>
        </row>
        <row r="7501">
          <cell r="K7501">
            <v>0</v>
          </cell>
          <cell r="M7501">
            <v>0</v>
          </cell>
          <cell r="P7501">
            <v>0</v>
          </cell>
        </row>
        <row r="7502">
          <cell r="K7502">
            <v>0</v>
          </cell>
          <cell r="M7502">
            <v>0</v>
          </cell>
          <cell r="P7502">
            <v>0</v>
          </cell>
        </row>
        <row r="7503">
          <cell r="K7503">
            <v>0</v>
          </cell>
          <cell r="M7503">
            <v>0</v>
          </cell>
          <cell r="P7503">
            <v>0</v>
          </cell>
        </row>
        <row r="7504">
          <cell r="K7504">
            <v>0</v>
          </cell>
          <cell r="M7504">
            <v>0</v>
          </cell>
          <cell r="P7504">
            <v>0</v>
          </cell>
        </row>
        <row r="7505">
          <cell r="K7505">
            <v>0</v>
          </cell>
          <cell r="M7505">
            <v>0</v>
          </cell>
          <cell r="P7505">
            <v>0</v>
          </cell>
        </row>
        <row r="7506">
          <cell r="K7506">
            <v>0</v>
          </cell>
          <cell r="M7506">
            <v>0</v>
          </cell>
          <cell r="P7506">
            <v>0</v>
          </cell>
        </row>
        <row r="7507">
          <cell r="K7507">
            <v>0</v>
          </cell>
          <cell r="M7507">
            <v>0</v>
          </cell>
          <cell r="P7507">
            <v>0</v>
          </cell>
        </row>
        <row r="7508">
          <cell r="K7508">
            <v>0</v>
          </cell>
          <cell r="M7508">
            <v>0</v>
          </cell>
          <cell r="P7508">
            <v>0</v>
          </cell>
        </row>
        <row r="7509">
          <cell r="K7509">
            <v>0</v>
          </cell>
          <cell r="M7509">
            <v>0</v>
          </cell>
          <cell r="P7509">
            <v>0</v>
          </cell>
        </row>
        <row r="7510">
          <cell r="K7510">
            <v>0</v>
          </cell>
          <cell r="M7510">
            <v>0</v>
          </cell>
          <cell r="P7510">
            <v>0</v>
          </cell>
        </row>
        <row r="7511">
          <cell r="K7511">
            <v>0</v>
          </cell>
          <cell r="M7511">
            <v>0</v>
          </cell>
          <cell r="P7511">
            <v>0</v>
          </cell>
        </row>
        <row r="7512">
          <cell r="K7512">
            <v>0</v>
          </cell>
          <cell r="M7512">
            <v>0</v>
          </cell>
          <cell r="P7512">
            <v>0</v>
          </cell>
        </row>
        <row r="7513">
          <cell r="K7513">
            <v>0</v>
          </cell>
          <cell r="M7513">
            <v>0</v>
          </cell>
          <cell r="P7513">
            <v>0</v>
          </cell>
        </row>
        <row r="7514">
          <cell r="K7514">
            <v>0</v>
          </cell>
          <cell r="M7514">
            <v>0</v>
          </cell>
          <cell r="P7514">
            <v>0</v>
          </cell>
        </row>
        <row r="7515">
          <cell r="K7515">
            <v>0</v>
          </cell>
          <cell r="M7515">
            <v>0</v>
          </cell>
          <cell r="P7515">
            <v>0</v>
          </cell>
        </row>
        <row r="7516">
          <cell r="K7516">
            <v>0</v>
          </cell>
          <cell r="M7516">
            <v>0</v>
          </cell>
          <cell r="P7516">
            <v>0</v>
          </cell>
        </row>
        <row r="7517">
          <cell r="K7517">
            <v>0</v>
          </cell>
          <cell r="M7517">
            <v>0</v>
          </cell>
          <cell r="P7517">
            <v>0</v>
          </cell>
        </row>
        <row r="7518">
          <cell r="K7518">
            <v>0</v>
          </cell>
          <cell r="M7518">
            <v>0</v>
          </cell>
          <cell r="P7518">
            <v>0</v>
          </cell>
        </row>
        <row r="7519">
          <cell r="K7519">
            <v>0</v>
          </cell>
          <cell r="M7519">
            <v>0</v>
          </cell>
          <cell r="P7519">
            <v>0</v>
          </cell>
        </row>
        <row r="7520">
          <cell r="K7520">
            <v>0</v>
          </cell>
          <cell r="M7520">
            <v>0</v>
          </cell>
          <cell r="P7520">
            <v>0</v>
          </cell>
        </row>
        <row r="7521">
          <cell r="K7521">
            <v>0</v>
          </cell>
          <cell r="M7521">
            <v>0</v>
          </cell>
          <cell r="P7521">
            <v>0</v>
          </cell>
        </row>
        <row r="7522">
          <cell r="K7522">
            <v>0</v>
          </cell>
          <cell r="M7522">
            <v>0</v>
          </cell>
          <cell r="P7522">
            <v>0</v>
          </cell>
        </row>
        <row r="7523">
          <cell r="K7523">
            <v>0</v>
          </cell>
          <cell r="M7523">
            <v>0</v>
          </cell>
          <cell r="P7523">
            <v>0</v>
          </cell>
        </row>
        <row r="7524">
          <cell r="K7524">
            <v>0</v>
          </cell>
          <cell r="M7524">
            <v>0</v>
          </cell>
          <cell r="P7524">
            <v>0</v>
          </cell>
        </row>
        <row r="7525">
          <cell r="K7525">
            <v>0</v>
          </cell>
          <cell r="M7525">
            <v>0</v>
          </cell>
          <cell r="P7525">
            <v>0</v>
          </cell>
        </row>
        <row r="7526">
          <cell r="K7526">
            <v>0</v>
          </cell>
          <cell r="M7526">
            <v>0</v>
          </cell>
          <cell r="P7526">
            <v>0</v>
          </cell>
        </row>
        <row r="7527">
          <cell r="K7527">
            <v>0</v>
          </cell>
          <cell r="M7527">
            <v>0</v>
          </cell>
          <cell r="P7527">
            <v>0</v>
          </cell>
        </row>
        <row r="7528">
          <cell r="K7528">
            <v>0</v>
          </cell>
          <cell r="M7528">
            <v>0</v>
          </cell>
          <cell r="P7528">
            <v>0</v>
          </cell>
        </row>
        <row r="7529">
          <cell r="K7529">
            <v>0</v>
          </cell>
          <cell r="M7529">
            <v>0</v>
          </cell>
          <cell r="P7529">
            <v>0</v>
          </cell>
        </row>
        <row r="7530">
          <cell r="K7530">
            <v>0</v>
          </cell>
          <cell r="M7530">
            <v>0</v>
          </cell>
          <cell r="P7530">
            <v>0</v>
          </cell>
        </row>
        <row r="7531">
          <cell r="K7531">
            <v>0</v>
          </cell>
          <cell r="M7531">
            <v>0</v>
          </cell>
          <cell r="P7531">
            <v>0</v>
          </cell>
        </row>
        <row r="7532">
          <cell r="K7532">
            <v>0</v>
          </cell>
          <cell r="M7532">
            <v>0</v>
          </cell>
          <cell r="P7532">
            <v>0</v>
          </cell>
        </row>
        <row r="7533">
          <cell r="K7533">
            <v>0</v>
          </cell>
          <cell r="M7533">
            <v>0</v>
          </cell>
          <cell r="P7533">
            <v>0</v>
          </cell>
        </row>
        <row r="7534">
          <cell r="K7534">
            <v>0</v>
          </cell>
          <cell r="M7534">
            <v>0</v>
          </cell>
          <cell r="P7534">
            <v>0</v>
          </cell>
        </row>
        <row r="7535">
          <cell r="K7535">
            <v>0</v>
          </cell>
          <cell r="M7535">
            <v>0</v>
          </cell>
          <cell r="P7535">
            <v>0</v>
          </cell>
        </row>
        <row r="7536">
          <cell r="K7536">
            <v>0</v>
          </cell>
          <cell r="M7536">
            <v>0</v>
          </cell>
          <cell r="P7536">
            <v>0</v>
          </cell>
        </row>
        <row r="7537">
          <cell r="K7537">
            <v>0</v>
          </cell>
          <cell r="M7537">
            <v>0</v>
          </cell>
          <cell r="P7537">
            <v>0</v>
          </cell>
        </row>
        <row r="7538">
          <cell r="K7538">
            <v>0</v>
          </cell>
          <cell r="M7538">
            <v>0</v>
          </cell>
          <cell r="P7538">
            <v>0</v>
          </cell>
        </row>
        <row r="7539">
          <cell r="K7539">
            <v>0</v>
          </cell>
          <cell r="M7539">
            <v>0</v>
          </cell>
          <cell r="P7539">
            <v>0</v>
          </cell>
        </row>
        <row r="7540">
          <cell r="K7540">
            <v>0</v>
          </cell>
          <cell r="M7540">
            <v>0</v>
          </cell>
          <cell r="P7540">
            <v>0</v>
          </cell>
        </row>
        <row r="7541">
          <cell r="K7541">
            <v>0</v>
          </cell>
          <cell r="M7541">
            <v>0</v>
          </cell>
          <cell r="P7541">
            <v>0</v>
          </cell>
        </row>
        <row r="7542">
          <cell r="K7542">
            <v>0</v>
          </cell>
          <cell r="M7542">
            <v>0</v>
          </cell>
          <cell r="P7542">
            <v>0</v>
          </cell>
        </row>
        <row r="7543">
          <cell r="K7543">
            <v>0</v>
          </cell>
          <cell r="M7543">
            <v>0</v>
          </cell>
          <cell r="P7543">
            <v>0</v>
          </cell>
        </row>
        <row r="7544">
          <cell r="K7544">
            <v>0</v>
          </cell>
          <cell r="M7544">
            <v>0</v>
          </cell>
          <cell r="P7544">
            <v>0</v>
          </cell>
        </row>
        <row r="7545">
          <cell r="K7545">
            <v>0</v>
          </cell>
          <cell r="M7545">
            <v>0</v>
          </cell>
          <cell r="P7545">
            <v>0</v>
          </cell>
        </row>
        <row r="7546">
          <cell r="K7546">
            <v>0</v>
          </cell>
          <cell r="M7546">
            <v>0</v>
          </cell>
          <cell r="P7546">
            <v>0</v>
          </cell>
        </row>
        <row r="7547">
          <cell r="K7547">
            <v>0</v>
          </cell>
          <cell r="M7547">
            <v>0</v>
          </cell>
          <cell r="P7547">
            <v>0</v>
          </cell>
        </row>
        <row r="7548">
          <cell r="K7548">
            <v>0</v>
          </cell>
          <cell r="M7548">
            <v>0</v>
          </cell>
          <cell r="P7548">
            <v>0</v>
          </cell>
        </row>
        <row r="7549">
          <cell r="K7549">
            <v>0</v>
          </cell>
          <cell r="M7549">
            <v>0</v>
          </cell>
          <cell r="P7549">
            <v>0</v>
          </cell>
        </row>
        <row r="7550">
          <cell r="K7550">
            <v>0</v>
          </cell>
          <cell r="M7550">
            <v>0</v>
          </cell>
          <cell r="P7550">
            <v>0</v>
          </cell>
        </row>
        <row r="7551">
          <cell r="K7551">
            <v>0</v>
          </cell>
          <cell r="M7551">
            <v>0</v>
          </cell>
          <cell r="P7551">
            <v>0</v>
          </cell>
        </row>
        <row r="7552">
          <cell r="K7552">
            <v>0</v>
          </cell>
          <cell r="M7552">
            <v>0</v>
          </cell>
          <cell r="P7552">
            <v>0</v>
          </cell>
        </row>
        <row r="7553">
          <cell r="K7553">
            <v>0</v>
          </cell>
          <cell r="M7553">
            <v>0</v>
          </cell>
          <cell r="P7553">
            <v>0</v>
          </cell>
        </row>
        <row r="7554">
          <cell r="K7554">
            <v>0</v>
          </cell>
          <cell r="M7554">
            <v>0</v>
          </cell>
          <cell r="P7554">
            <v>0</v>
          </cell>
        </row>
        <row r="7555">
          <cell r="K7555">
            <v>0</v>
          </cell>
          <cell r="M7555">
            <v>0</v>
          </cell>
          <cell r="P7555">
            <v>0</v>
          </cell>
        </row>
        <row r="7556">
          <cell r="K7556">
            <v>0</v>
          </cell>
          <cell r="M7556">
            <v>0</v>
          </cell>
          <cell r="P7556">
            <v>0</v>
          </cell>
        </row>
        <row r="7557">
          <cell r="K7557">
            <v>0</v>
          </cell>
          <cell r="M7557">
            <v>0</v>
          </cell>
          <cell r="P7557">
            <v>0</v>
          </cell>
        </row>
        <row r="7558">
          <cell r="K7558">
            <v>0</v>
          </cell>
          <cell r="M7558">
            <v>0</v>
          </cell>
          <cell r="P7558">
            <v>0</v>
          </cell>
        </row>
        <row r="7559">
          <cell r="K7559">
            <v>0</v>
          </cell>
          <cell r="M7559">
            <v>0</v>
          </cell>
          <cell r="P7559">
            <v>0</v>
          </cell>
        </row>
        <row r="7560">
          <cell r="K7560">
            <v>0</v>
          </cell>
          <cell r="M7560">
            <v>0</v>
          </cell>
          <cell r="P7560">
            <v>0</v>
          </cell>
        </row>
        <row r="7561">
          <cell r="K7561">
            <v>0</v>
          </cell>
          <cell r="M7561">
            <v>0</v>
          </cell>
          <cell r="P7561">
            <v>0</v>
          </cell>
        </row>
        <row r="7562">
          <cell r="K7562">
            <v>0</v>
          </cell>
          <cell r="M7562">
            <v>0</v>
          </cell>
          <cell r="P7562">
            <v>0</v>
          </cell>
        </row>
        <row r="7563">
          <cell r="K7563">
            <v>0</v>
          </cell>
          <cell r="M7563">
            <v>0</v>
          </cell>
          <cell r="P7563">
            <v>0</v>
          </cell>
        </row>
        <row r="7564">
          <cell r="K7564">
            <v>0</v>
          </cell>
          <cell r="M7564">
            <v>0</v>
          </cell>
          <cell r="P7564">
            <v>0</v>
          </cell>
        </row>
        <row r="7565">
          <cell r="K7565">
            <v>0</v>
          </cell>
          <cell r="M7565">
            <v>0</v>
          </cell>
          <cell r="P7565">
            <v>0</v>
          </cell>
        </row>
        <row r="7566">
          <cell r="K7566">
            <v>0</v>
          </cell>
          <cell r="M7566">
            <v>0</v>
          </cell>
          <cell r="P7566">
            <v>0</v>
          </cell>
        </row>
        <row r="7567">
          <cell r="K7567">
            <v>0</v>
          </cell>
          <cell r="M7567">
            <v>0</v>
          </cell>
          <cell r="P7567">
            <v>0</v>
          </cell>
        </row>
        <row r="7568">
          <cell r="K7568">
            <v>0</v>
          </cell>
          <cell r="M7568">
            <v>0</v>
          </cell>
          <cell r="P7568">
            <v>0</v>
          </cell>
        </row>
        <row r="7569">
          <cell r="K7569">
            <v>0</v>
          </cell>
          <cell r="M7569">
            <v>0</v>
          </cell>
          <cell r="P7569">
            <v>0</v>
          </cell>
        </row>
        <row r="7570">
          <cell r="K7570">
            <v>0</v>
          </cell>
          <cell r="M7570">
            <v>0</v>
          </cell>
          <cell r="P7570">
            <v>0</v>
          </cell>
        </row>
        <row r="7571">
          <cell r="K7571">
            <v>0</v>
          </cell>
          <cell r="M7571">
            <v>0</v>
          </cell>
          <cell r="P7571">
            <v>0</v>
          </cell>
        </row>
        <row r="7572">
          <cell r="K7572">
            <v>0</v>
          </cell>
          <cell r="M7572">
            <v>0</v>
          </cell>
          <cell r="P7572">
            <v>0</v>
          </cell>
        </row>
        <row r="7573">
          <cell r="K7573">
            <v>0</v>
          </cell>
          <cell r="M7573">
            <v>0</v>
          </cell>
          <cell r="P7573">
            <v>0</v>
          </cell>
        </row>
        <row r="7574">
          <cell r="K7574">
            <v>0</v>
          </cell>
          <cell r="M7574">
            <v>0</v>
          </cell>
          <cell r="P7574">
            <v>0</v>
          </cell>
        </row>
        <row r="7575">
          <cell r="K7575">
            <v>0</v>
          </cell>
          <cell r="M7575">
            <v>0</v>
          </cell>
          <cell r="P7575">
            <v>0</v>
          </cell>
        </row>
        <row r="7576">
          <cell r="K7576">
            <v>0</v>
          </cell>
          <cell r="M7576">
            <v>0</v>
          </cell>
          <cell r="P7576">
            <v>0</v>
          </cell>
        </row>
        <row r="7577">
          <cell r="K7577">
            <v>0</v>
          </cell>
          <cell r="M7577">
            <v>0</v>
          </cell>
          <cell r="P7577">
            <v>0</v>
          </cell>
        </row>
        <row r="7578">
          <cell r="K7578">
            <v>0</v>
          </cell>
          <cell r="M7578">
            <v>0</v>
          </cell>
          <cell r="P7578">
            <v>0</v>
          </cell>
        </row>
        <row r="7579">
          <cell r="K7579">
            <v>0</v>
          </cell>
          <cell r="M7579">
            <v>0</v>
          </cell>
          <cell r="P7579">
            <v>0</v>
          </cell>
        </row>
        <row r="7580">
          <cell r="K7580">
            <v>0</v>
          </cell>
          <cell r="M7580">
            <v>0</v>
          </cell>
          <cell r="P7580">
            <v>0</v>
          </cell>
        </row>
        <row r="7581">
          <cell r="K7581">
            <v>0</v>
          </cell>
          <cell r="M7581">
            <v>0</v>
          </cell>
          <cell r="P7581">
            <v>0</v>
          </cell>
        </row>
        <row r="7582">
          <cell r="K7582">
            <v>0</v>
          </cell>
          <cell r="M7582">
            <v>0</v>
          </cell>
          <cell r="P7582">
            <v>0</v>
          </cell>
        </row>
        <row r="7583">
          <cell r="K7583">
            <v>0</v>
          </cell>
          <cell r="M7583">
            <v>0</v>
          </cell>
          <cell r="P7583">
            <v>0</v>
          </cell>
        </row>
        <row r="7584">
          <cell r="K7584">
            <v>0</v>
          </cell>
          <cell r="M7584">
            <v>0</v>
          </cell>
          <cell r="P7584">
            <v>0</v>
          </cell>
        </row>
        <row r="7585">
          <cell r="K7585">
            <v>0</v>
          </cell>
          <cell r="M7585">
            <v>0</v>
          </cell>
          <cell r="P7585">
            <v>0</v>
          </cell>
        </row>
        <row r="7586">
          <cell r="K7586">
            <v>0</v>
          </cell>
          <cell r="M7586">
            <v>0</v>
          </cell>
          <cell r="P7586">
            <v>0</v>
          </cell>
        </row>
        <row r="7587">
          <cell r="K7587">
            <v>0</v>
          </cell>
          <cell r="M7587">
            <v>0</v>
          </cell>
          <cell r="P7587">
            <v>0</v>
          </cell>
        </row>
        <row r="7588">
          <cell r="K7588">
            <v>0</v>
          </cell>
          <cell r="M7588">
            <v>0</v>
          </cell>
          <cell r="P7588">
            <v>0</v>
          </cell>
        </row>
        <row r="7589">
          <cell r="K7589">
            <v>0</v>
          </cell>
          <cell r="M7589">
            <v>0</v>
          </cell>
          <cell r="P7589">
            <v>0</v>
          </cell>
        </row>
        <row r="7590">
          <cell r="K7590">
            <v>0</v>
          </cell>
          <cell r="M7590">
            <v>0</v>
          </cell>
          <cell r="P7590">
            <v>0</v>
          </cell>
        </row>
        <row r="7591">
          <cell r="K7591">
            <v>0</v>
          </cell>
          <cell r="M7591">
            <v>0</v>
          </cell>
          <cell r="P7591">
            <v>0</v>
          </cell>
        </row>
        <row r="7592">
          <cell r="K7592">
            <v>0</v>
          </cell>
          <cell r="M7592">
            <v>0</v>
          </cell>
          <cell r="P7592">
            <v>0</v>
          </cell>
        </row>
        <row r="7593">
          <cell r="K7593">
            <v>0</v>
          </cell>
          <cell r="M7593">
            <v>0</v>
          </cell>
          <cell r="P7593">
            <v>0</v>
          </cell>
        </row>
        <row r="7594">
          <cell r="K7594">
            <v>0</v>
          </cell>
          <cell r="M7594">
            <v>0</v>
          </cell>
          <cell r="P7594">
            <v>0</v>
          </cell>
        </row>
        <row r="7595">
          <cell r="K7595">
            <v>0</v>
          </cell>
          <cell r="M7595">
            <v>0</v>
          </cell>
          <cell r="P7595">
            <v>0</v>
          </cell>
        </row>
        <row r="7596">
          <cell r="K7596">
            <v>0</v>
          </cell>
          <cell r="M7596">
            <v>0</v>
          </cell>
          <cell r="P7596">
            <v>0</v>
          </cell>
        </row>
        <row r="7597">
          <cell r="K7597">
            <v>0</v>
          </cell>
          <cell r="M7597">
            <v>0</v>
          </cell>
          <cell r="P7597">
            <v>0</v>
          </cell>
        </row>
        <row r="7598">
          <cell r="K7598">
            <v>0</v>
          </cell>
          <cell r="M7598">
            <v>0</v>
          </cell>
          <cell r="P7598">
            <v>0</v>
          </cell>
        </row>
        <row r="7599">
          <cell r="K7599">
            <v>0</v>
          </cell>
          <cell r="M7599">
            <v>0</v>
          </cell>
          <cell r="P7599">
            <v>0</v>
          </cell>
        </row>
        <row r="7600">
          <cell r="K7600">
            <v>0</v>
          </cell>
          <cell r="M7600">
            <v>0</v>
          </cell>
          <cell r="P7600">
            <v>0</v>
          </cell>
        </row>
        <row r="7601">
          <cell r="K7601">
            <v>0</v>
          </cell>
          <cell r="M7601">
            <v>0</v>
          </cell>
          <cell r="P7601">
            <v>0</v>
          </cell>
        </row>
        <row r="7602">
          <cell r="K7602">
            <v>0</v>
          </cell>
          <cell r="M7602">
            <v>0</v>
          </cell>
          <cell r="P7602">
            <v>0</v>
          </cell>
        </row>
        <row r="7603">
          <cell r="K7603">
            <v>0</v>
          </cell>
          <cell r="M7603">
            <v>0</v>
          </cell>
          <cell r="P7603">
            <v>0</v>
          </cell>
        </row>
        <row r="7604">
          <cell r="K7604">
            <v>0</v>
          </cell>
          <cell r="M7604">
            <v>0</v>
          </cell>
          <cell r="P7604">
            <v>0</v>
          </cell>
        </row>
        <row r="7605">
          <cell r="K7605">
            <v>0</v>
          </cell>
          <cell r="M7605">
            <v>0</v>
          </cell>
          <cell r="P7605">
            <v>0</v>
          </cell>
        </row>
        <row r="7606">
          <cell r="K7606">
            <v>0</v>
          </cell>
          <cell r="M7606">
            <v>0</v>
          </cell>
          <cell r="P7606">
            <v>0</v>
          </cell>
        </row>
        <row r="7607">
          <cell r="K7607">
            <v>0</v>
          </cell>
          <cell r="M7607">
            <v>0</v>
          </cell>
          <cell r="P7607">
            <v>0</v>
          </cell>
        </row>
        <row r="7608">
          <cell r="K7608">
            <v>0</v>
          </cell>
          <cell r="M7608">
            <v>0</v>
          </cell>
          <cell r="P7608">
            <v>0</v>
          </cell>
        </row>
        <row r="7609">
          <cell r="K7609">
            <v>0</v>
          </cell>
          <cell r="M7609">
            <v>0</v>
          </cell>
          <cell r="P7609">
            <v>0</v>
          </cell>
        </row>
        <row r="7610">
          <cell r="K7610">
            <v>0</v>
          </cell>
          <cell r="M7610">
            <v>0</v>
          </cell>
          <cell r="P7610">
            <v>0</v>
          </cell>
        </row>
        <row r="7611">
          <cell r="K7611">
            <v>0</v>
          </cell>
          <cell r="M7611">
            <v>0</v>
          </cell>
          <cell r="P7611">
            <v>0</v>
          </cell>
        </row>
        <row r="7612">
          <cell r="K7612">
            <v>0</v>
          </cell>
          <cell r="M7612">
            <v>0</v>
          </cell>
          <cell r="P7612">
            <v>0</v>
          </cell>
        </row>
        <row r="7613">
          <cell r="K7613">
            <v>0</v>
          </cell>
          <cell r="M7613">
            <v>0</v>
          </cell>
          <cell r="P7613">
            <v>0</v>
          </cell>
        </row>
        <row r="7614">
          <cell r="K7614">
            <v>0</v>
          </cell>
          <cell r="M7614">
            <v>0</v>
          </cell>
          <cell r="P7614">
            <v>0</v>
          </cell>
        </row>
        <row r="7615">
          <cell r="K7615">
            <v>0</v>
          </cell>
          <cell r="M7615">
            <v>0</v>
          </cell>
          <cell r="P7615">
            <v>0</v>
          </cell>
        </row>
        <row r="7616">
          <cell r="K7616">
            <v>0</v>
          </cell>
          <cell r="M7616">
            <v>0</v>
          </cell>
          <cell r="P7616">
            <v>0</v>
          </cell>
        </row>
        <row r="7617">
          <cell r="K7617">
            <v>0</v>
          </cell>
          <cell r="M7617">
            <v>0</v>
          </cell>
          <cell r="P7617">
            <v>0</v>
          </cell>
        </row>
        <row r="7618">
          <cell r="K7618">
            <v>0</v>
          </cell>
          <cell r="M7618">
            <v>0</v>
          </cell>
          <cell r="P7618">
            <v>0</v>
          </cell>
        </row>
        <row r="7619">
          <cell r="K7619">
            <v>0</v>
          </cell>
          <cell r="M7619">
            <v>0</v>
          </cell>
          <cell r="P7619">
            <v>0</v>
          </cell>
        </row>
        <row r="7620">
          <cell r="K7620">
            <v>0</v>
          </cell>
          <cell r="M7620">
            <v>0</v>
          </cell>
          <cell r="P7620">
            <v>0</v>
          </cell>
        </row>
        <row r="7621">
          <cell r="K7621">
            <v>0</v>
          </cell>
          <cell r="M7621">
            <v>0</v>
          </cell>
          <cell r="P7621">
            <v>0</v>
          </cell>
        </row>
        <row r="7622">
          <cell r="K7622">
            <v>0</v>
          </cell>
          <cell r="M7622">
            <v>0</v>
          </cell>
          <cell r="P7622">
            <v>0</v>
          </cell>
        </row>
        <row r="7623">
          <cell r="K7623">
            <v>0</v>
          </cell>
          <cell r="M7623">
            <v>0</v>
          </cell>
          <cell r="P7623">
            <v>0</v>
          </cell>
        </row>
        <row r="7624">
          <cell r="K7624">
            <v>0</v>
          </cell>
          <cell r="M7624">
            <v>0</v>
          </cell>
          <cell r="P7624">
            <v>0</v>
          </cell>
        </row>
        <row r="7625">
          <cell r="K7625">
            <v>0</v>
          </cell>
          <cell r="M7625">
            <v>0</v>
          </cell>
          <cell r="P7625">
            <v>0</v>
          </cell>
        </row>
        <row r="7626">
          <cell r="K7626">
            <v>0</v>
          </cell>
          <cell r="M7626">
            <v>0</v>
          </cell>
          <cell r="P7626">
            <v>0</v>
          </cell>
        </row>
        <row r="7627">
          <cell r="K7627">
            <v>0</v>
          </cell>
          <cell r="M7627">
            <v>0</v>
          </cell>
          <cell r="P7627">
            <v>0</v>
          </cell>
        </row>
        <row r="7628">
          <cell r="K7628">
            <v>0</v>
          </cell>
          <cell r="M7628">
            <v>0</v>
          </cell>
          <cell r="P7628">
            <v>0</v>
          </cell>
        </row>
        <row r="7629">
          <cell r="K7629">
            <v>0</v>
          </cell>
          <cell r="M7629">
            <v>0</v>
          </cell>
          <cell r="P7629">
            <v>0</v>
          </cell>
        </row>
        <row r="7630">
          <cell r="K7630">
            <v>0</v>
          </cell>
          <cell r="M7630">
            <v>0</v>
          </cell>
          <cell r="P7630">
            <v>0</v>
          </cell>
        </row>
        <row r="7631">
          <cell r="K7631">
            <v>0</v>
          </cell>
          <cell r="M7631">
            <v>0</v>
          </cell>
          <cell r="P7631">
            <v>0</v>
          </cell>
        </row>
        <row r="7632">
          <cell r="K7632">
            <v>0</v>
          </cell>
          <cell r="M7632">
            <v>0</v>
          </cell>
          <cell r="P7632">
            <v>0</v>
          </cell>
        </row>
        <row r="7633">
          <cell r="K7633">
            <v>0</v>
          </cell>
          <cell r="M7633">
            <v>0</v>
          </cell>
          <cell r="P7633">
            <v>0</v>
          </cell>
        </row>
        <row r="7634">
          <cell r="K7634">
            <v>0</v>
          </cell>
          <cell r="M7634">
            <v>0</v>
          </cell>
          <cell r="P7634">
            <v>0</v>
          </cell>
        </row>
        <row r="7635">
          <cell r="K7635">
            <v>0</v>
          </cell>
          <cell r="M7635">
            <v>0</v>
          </cell>
          <cell r="P7635">
            <v>0</v>
          </cell>
        </row>
        <row r="7636">
          <cell r="K7636">
            <v>0</v>
          </cell>
          <cell r="M7636">
            <v>0</v>
          </cell>
          <cell r="P7636">
            <v>0</v>
          </cell>
        </row>
        <row r="7637">
          <cell r="K7637">
            <v>0</v>
          </cell>
          <cell r="M7637">
            <v>0</v>
          </cell>
          <cell r="P7637">
            <v>0</v>
          </cell>
        </row>
        <row r="7638">
          <cell r="K7638">
            <v>0</v>
          </cell>
          <cell r="M7638">
            <v>0</v>
          </cell>
          <cell r="P7638">
            <v>0</v>
          </cell>
        </row>
        <row r="7639">
          <cell r="K7639">
            <v>0</v>
          </cell>
          <cell r="M7639">
            <v>0</v>
          </cell>
          <cell r="P7639">
            <v>0</v>
          </cell>
        </row>
        <row r="7640">
          <cell r="K7640">
            <v>0</v>
          </cell>
          <cell r="M7640">
            <v>0</v>
          </cell>
          <cell r="P7640">
            <v>0</v>
          </cell>
        </row>
        <row r="7641">
          <cell r="K7641">
            <v>0</v>
          </cell>
          <cell r="M7641">
            <v>0</v>
          </cell>
          <cell r="P7641">
            <v>0</v>
          </cell>
        </row>
        <row r="7642">
          <cell r="K7642">
            <v>0</v>
          </cell>
          <cell r="M7642">
            <v>0</v>
          </cell>
          <cell r="P7642">
            <v>0</v>
          </cell>
        </row>
        <row r="7643">
          <cell r="K7643">
            <v>0</v>
          </cell>
          <cell r="M7643">
            <v>0</v>
          </cell>
          <cell r="P7643">
            <v>0</v>
          </cell>
        </row>
        <row r="7644">
          <cell r="K7644">
            <v>0</v>
          </cell>
          <cell r="M7644">
            <v>0</v>
          </cell>
          <cell r="P7644">
            <v>0</v>
          </cell>
        </row>
        <row r="7645">
          <cell r="K7645">
            <v>0</v>
          </cell>
          <cell r="M7645">
            <v>0</v>
          </cell>
          <cell r="P7645">
            <v>0</v>
          </cell>
        </row>
        <row r="7646">
          <cell r="K7646">
            <v>0</v>
          </cell>
          <cell r="M7646">
            <v>0</v>
          </cell>
          <cell r="P7646">
            <v>0</v>
          </cell>
        </row>
        <row r="7647">
          <cell r="K7647">
            <v>0</v>
          </cell>
          <cell r="M7647">
            <v>0</v>
          </cell>
          <cell r="P7647">
            <v>0</v>
          </cell>
        </row>
        <row r="7648">
          <cell r="K7648">
            <v>0</v>
          </cell>
          <cell r="M7648">
            <v>0</v>
          </cell>
          <cell r="P7648">
            <v>0</v>
          </cell>
        </row>
        <row r="7649">
          <cell r="K7649">
            <v>0</v>
          </cell>
          <cell r="M7649">
            <v>0</v>
          </cell>
          <cell r="P7649">
            <v>0</v>
          </cell>
        </row>
        <row r="7650">
          <cell r="K7650">
            <v>0</v>
          </cell>
          <cell r="M7650">
            <v>0</v>
          </cell>
          <cell r="P7650">
            <v>0</v>
          </cell>
        </row>
        <row r="7651">
          <cell r="K7651">
            <v>0</v>
          </cell>
          <cell r="M7651">
            <v>0</v>
          </cell>
          <cell r="P7651">
            <v>0</v>
          </cell>
        </row>
        <row r="7652">
          <cell r="K7652">
            <v>0</v>
          </cell>
          <cell r="M7652">
            <v>0</v>
          </cell>
          <cell r="P7652">
            <v>0</v>
          </cell>
        </row>
        <row r="7653">
          <cell r="K7653">
            <v>0</v>
          </cell>
          <cell r="M7653">
            <v>0</v>
          </cell>
          <cell r="P7653">
            <v>0</v>
          </cell>
        </row>
        <row r="7654">
          <cell r="K7654">
            <v>0</v>
          </cell>
          <cell r="M7654">
            <v>0</v>
          </cell>
          <cell r="P7654">
            <v>0</v>
          </cell>
        </row>
        <row r="7655">
          <cell r="K7655">
            <v>0</v>
          </cell>
          <cell r="M7655">
            <v>0</v>
          </cell>
          <cell r="P7655">
            <v>0</v>
          </cell>
        </row>
        <row r="7656">
          <cell r="K7656">
            <v>0</v>
          </cell>
          <cell r="M7656">
            <v>0</v>
          </cell>
          <cell r="P7656">
            <v>0</v>
          </cell>
        </row>
        <row r="7657">
          <cell r="K7657">
            <v>0</v>
          </cell>
          <cell r="M7657">
            <v>0</v>
          </cell>
          <cell r="P7657">
            <v>0</v>
          </cell>
        </row>
        <row r="7658">
          <cell r="K7658">
            <v>0</v>
          </cell>
          <cell r="M7658">
            <v>0</v>
          </cell>
          <cell r="P7658">
            <v>0</v>
          </cell>
        </row>
        <row r="7659">
          <cell r="K7659">
            <v>0</v>
          </cell>
          <cell r="M7659">
            <v>0</v>
          </cell>
          <cell r="P7659">
            <v>0</v>
          </cell>
        </row>
        <row r="7660">
          <cell r="K7660">
            <v>0</v>
          </cell>
          <cell r="M7660">
            <v>0</v>
          </cell>
          <cell r="P7660">
            <v>0</v>
          </cell>
        </row>
        <row r="7661">
          <cell r="K7661">
            <v>0</v>
          </cell>
          <cell r="M7661">
            <v>0</v>
          </cell>
          <cell r="P7661">
            <v>0</v>
          </cell>
        </row>
        <row r="7662">
          <cell r="K7662">
            <v>0</v>
          </cell>
          <cell r="M7662">
            <v>0</v>
          </cell>
          <cell r="P7662">
            <v>0</v>
          </cell>
        </row>
        <row r="7663">
          <cell r="K7663">
            <v>0</v>
          </cell>
          <cell r="M7663">
            <v>0</v>
          </cell>
          <cell r="P7663">
            <v>0</v>
          </cell>
        </row>
        <row r="7664">
          <cell r="K7664">
            <v>0</v>
          </cell>
          <cell r="M7664">
            <v>0</v>
          </cell>
          <cell r="P7664">
            <v>0</v>
          </cell>
        </row>
        <row r="7665">
          <cell r="K7665">
            <v>0</v>
          </cell>
          <cell r="M7665">
            <v>0</v>
          </cell>
          <cell r="P7665">
            <v>0</v>
          </cell>
        </row>
        <row r="7666">
          <cell r="K7666">
            <v>0</v>
          </cell>
          <cell r="M7666">
            <v>0</v>
          </cell>
          <cell r="P7666">
            <v>0</v>
          </cell>
        </row>
        <row r="7667">
          <cell r="K7667">
            <v>0</v>
          </cell>
          <cell r="M7667">
            <v>0</v>
          </cell>
          <cell r="P7667">
            <v>0</v>
          </cell>
        </row>
        <row r="7668">
          <cell r="K7668">
            <v>0</v>
          </cell>
          <cell r="M7668">
            <v>0</v>
          </cell>
          <cell r="P7668">
            <v>0</v>
          </cell>
        </row>
        <row r="7669">
          <cell r="K7669">
            <v>0</v>
          </cell>
          <cell r="M7669">
            <v>0</v>
          </cell>
          <cell r="P7669">
            <v>0</v>
          </cell>
        </row>
        <row r="7670">
          <cell r="K7670">
            <v>0</v>
          </cell>
          <cell r="M7670">
            <v>0</v>
          </cell>
          <cell r="P7670">
            <v>0</v>
          </cell>
        </row>
        <row r="7671">
          <cell r="K7671">
            <v>0</v>
          </cell>
          <cell r="M7671">
            <v>0</v>
          </cell>
          <cell r="P7671">
            <v>0</v>
          </cell>
        </row>
        <row r="7672">
          <cell r="K7672">
            <v>0</v>
          </cell>
          <cell r="M7672">
            <v>0</v>
          </cell>
          <cell r="P7672">
            <v>0</v>
          </cell>
        </row>
        <row r="7673">
          <cell r="K7673">
            <v>0</v>
          </cell>
          <cell r="M7673">
            <v>0</v>
          </cell>
          <cell r="P7673">
            <v>0</v>
          </cell>
        </row>
        <row r="7674">
          <cell r="K7674">
            <v>0</v>
          </cell>
          <cell r="M7674">
            <v>0</v>
          </cell>
          <cell r="P7674">
            <v>0</v>
          </cell>
        </row>
        <row r="7675">
          <cell r="K7675">
            <v>0</v>
          </cell>
          <cell r="M7675">
            <v>0</v>
          </cell>
          <cell r="P7675">
            <v>0</v>
          </cell>
        </row>
        <row r="7676">
          <cell r="K7676">
            <v>0</v>
          </cell>
          <cell r="M7676">
            <v>0</v>
          </cell>
          <cell r="P7676">
            <v>0</v>
          </cell>
        </row>
        <row r="7677">
          <cell r="K7677">
            <v>0</v>
          </cell>
          <cell r="M7677">
            <v>0</v>
          </cell>
          <cell r="P7677">
            <v>0</v>
          </cell>
        </row>
        <row r="7678">
          <cell r="K7678">
            <v>0</v>
          </cell>
          <cell r="M7678">
            <v>0</v>
          </cell>
          <cell r="P7678">
            <v>0</v>
          </cell>
        </row>
        <row r="7679">
          <cell r="K7679">
            <v>0</v>
          </cell>
          <cell r="M7679">
            <v>0</v>
          </cell>
          <cell r="P7679">
            <v>0</v>
          </cell>
        </row>
        <row r="7680">
          <cell r="K7680">
            <v>0</v>
          </cell>
          <cell r="M7680">
            <v>0</v>
          </cell>
          <cell r="P7680">
            <v>0</v>
          </cell>
        </row>
        <row r="7681">
          <cell r="K7681">
            <v>0</v>
          </cell>
          <cell r="M7681">
            <v>0</v>
          </cell>
          <cell r="P7681">
            <v>0</v>
          </cell>
        </row>
        <row r="7682">
          <cell r="K7682">
            <v>0</v>
          </cell>
          <cell r="M7682">
            <v>0</v>
          </cell>
          <cell r="P7682">
            <v>0</v>
          </cell>
        </row>
        <row r="7683">
          <cell r="K7683">
            <v>0</v>
          </cell>
          <cell r="M7683">
            <v>0</v>
          </cell>
          <cell r="P7683">
            <v>0</v>
          </cell>
        </row>
        <row r="7684">
          <cell r="K7684">
            <v>0</v>
          </cell>
          <cell r="M7684">
            <v>0</v>
          </cell>
          <cell r="P7684">
            <v>0</v>
          </cell>
        </row>
        <row r="7685">
          <cell r="K7685">
            <v>0</v>
          </cell>
          <cell r="M7685">
            <v>0</v>
          </cell>
          <cell r="P7685">
            <v>0</v>
          </cell>
        </row>
        <row r="7686">
          <cell r="K7686">
            <v>0</v>
          </cell>
          <cell r="M7686">
            <v>0</v>
          </cell>
          <cell r="P7686">
            <v>0</v>
          </cell>
        </row>
        <row r="7687">
          <cell r="K7687">
            <v>0</v>
          </cell>
          <cell r="M7687">
            <v>0</v>
          </cell>
          <cell r="P7687">
            <v>0</v>
          </cell>
        </row>
        <row r="7688">
          <cell r="K7688">
            <v>0</v>
          </cell>
          <cell r="M7688">
            <v>0</v>
          </cell>
          <cell r="P7688">
            <v>0</v>
          </cell>
        </row>
        <row r="7689">
          <cell r="K7689">
            <v>0</v>
          </cell>
          <cell r="M7689">
            <v>0</v>
          </cell>
          <cell r="P7689">
            <v>0</v>
          </cell>
        </row>
        <row r="7690">
          <cell r="K7690">
            <v>0</v>
          </cell>
          <cell r="M7690">
            <v>0</v>
          </cell>
          <cell r="P7690">
            <v>0</v>
          </cell>
        </row>
        <row r="7691">
          <cell r="K7691">
            <v>0</v>
          </cell>
          <cell r="M7691">
            <v>0</v>
          </cell>
          <cell r="P7691">
            <v>0</v>
          </cell>
        </row>
        <row r="7692">
          <cell r="K7692">
            <v>0</v>
          </cell>
          <cell r="M7692">
            <v>0</v>
          </cell>
          <cell r="P7692">
            <v>0</v>
          </cell>
        </row>
        <row r="7693">
          <cell r="K7693">
            <v>0</v>
          </cell>
          <cell r="M7693">
            <v>0</v>
          </cell>
          <cell r="P7693">
            <v>0</v>
          </cell>
        </row>
        <row r="7694">
          <cell r="K7694">
            <v>0</v>
          </cell>
          <cell r="M7694">
            <v>0</v>
          </cell>
          <cell r="P7694">
            <v>0</v>
          </cell>
        </row>
        <row r="7695">
          <cell r="K7695">
            <v>0</v>
          </cell>
          <cell r="M7695">
            <v>0</v>
          </cell>
          <cell r="P7695">
            <v>0</v>
          </cell>
        </row>
        <row r="7696">
          <cell r="K7696">
            <v>0</v>
          </cell>
          <cell r="M7696">
            <v>0</v>
          </cell>
          <cell r="P7696">
            <v>0</v>
          </cell>
        </row>
        <row r="7697">
          <cell r="K7697">
            <v>0</v>
          </cell>
          <cell r="M7697">
            <v>0</v>
          </cell>
          <cell r="P7697">
            <v>0</v>
          </cell>
        </row>
        <row r="7698">
          <cell r="K7698">
            <v>0</v>
          </cell>
          <cell r="M7698">
            <v>0</v>
          </cell>
          <cell r="P7698">
            <v>0</v>
          </cell>
        </row>
        <row r="7699">
          <cell r="K7699">
            <v>0</v>
          </cell>
          <cell r="M7699">
            <v>0</v>
          </cell>
          <cell r="P7699">
            <v>0</v>
          </cell>
        </row>
        <row r="7700">
          <cell r="K7700">
            <v>0</v>
          </cell>
          <cell r="M7700">
            <v>0</v>
          </cell>
          <cell r="P7700">
            <v>0</v>
          </cell>
        </row>
        <row r="7701">
          <cell r="K7701">
            <v>0</v>
          </cell>
          <cell r="M7701">
            <v>0</v>
          </cell>
          <cell r="P7701">
            <v>0</v>
          </cell>
        </row>
        <row r="7702">
          <cell r="K7702">
            <v>0</v>
          </cell>
          <cell r="M7702">
            <v>0</v>
          </cell>
          <cell r="P7702">
            <v>0</v>
          </cell>
        </row>
        <row r="7703">
          <cell r="K7703">
            <v>0</v>
          </cell>
          <cell r="M7703">
            <v>0</v>
          </cell>
          <cell r="P7703">
            <v>0</v>
          </cell>
        </row>
        <row r="7704">
          <cell r="K7704">
            <v>0</v>
          </cell>
          <cell r="M7704">
            <v>0</v>
          </cell>
          <cell r="P7704">
            <v>0</v>
          </cell>
        </row>
        <row r="7705">
          <cell r="K7705">
            <v>0</v>
          </cell>
          <cell r="M7705">
            <v>0</v>
          </cell>
          <cell r="P7705">
            <v>0</v>
          </cell>
        </row>
        <row r="7706">
          <cell r="K7706">
            <v>0</v>
          </cell>
          <cell r="M7706">
            <v>0</v>
          </cell>
          <cell r="P7706">
            <v>0</v>
          </cell>
        </row>
        <row r="7707">
          <cell r="K7707">
            <v>0</v>
          </cell>
          <cell r="M7707">
            <v>0</v>
          </cell>
          <cell r="P7707">
            <v>0</v>
          </cell>
        </row>
        <row r="7708">
          <cell r="K7708">
            <v>0</v>
          </cell>
          <cell r="M7708">
            <v>0</v>
          </cell>
          <cell r="P7708">
            <v>0</v>
          </cell>
        </row>
        <row r="7709">
          <cell r="K7709">
            <v>0</v>
          </cell>
          <cell r="M7709">
            <v>0</v>
          </cell>
          <cell r="P7709">
            <v>0</v>
          </cell>
        </row>
        <row r="7710">
          <cell r="K7710">
            <v>0</v>
          </cell>
          <cell r="M7710">
            <v>0</v>
          </cell>
          <cell r="P7710">
            <v>0</v>
          </cell>
        </row>
        <row r="7711">
          <cell r="K7711">
            <v>0</v>
          </cell>
          <cell r="M7711">
            <v>0</v>
          </cell>
          <cell r="P7711">
            <v>0</v>
          </cell>
        </row>
        <row r="7712">
          <cell r="K7712">
            <v>0</v>
          </cell>
          <cell r="M7712">
            <v>0</v>
          </cell>
          <cell r="P7712">
            <v>0</v>
          </cell>
        </row>
        <row r="7713">
          <cell r="K7713">
            <v>0</v>
          </cell>
          <cell r="M7713">
            <v>0</v>
          </cell>
          <cell r="P7713">
            <v>0</v>
          </cell>
        </row>
        <row r="7714">
          <cell r="K7714">
            <v>0</v>
          </cell>
          <cell r="M7714">
            <v>0</v>
          </cell>
          <cell r="P7714">
            <v>0</v>
          </cell>
        </row>
        <row r="7715">
          <cell r="K7715">
            <v>0</v>
          </cell>
          <cell r="M7715">
            <v>0</v>
          </cell>
          <cell r="P7715">
            <v>0</v>
          </cell>
        </row>
        <row r="7716">
          <cell r="K7716">
            <v>0</v>
          </cell>
          <cell r="M7716">
            <v>0</v>
          </cell>
          <cell r="P7716">
            <v>0</v>
          </cell>
        </row>
        <row r="7717">
          <cell r="K7717">
            <v>0</v>
          </cell>
          <cell r="M7717">
            <v>0</v>
          </cell>
          <cell r="P7717">
            <v>0</v>
          </cell>
        </row>
        <row r="7718">
          <cell r="K7718">
            <v>0</v>
          </cell>
          <cell r="M7718">
            <v>0</v>
          </cell>
          <cell r="P7718">
            <v>0</v>
          </cell>
        </row>
        <row r="7719">
          <cell r="K7719">
            <v>0</v>
          </cell>
          <cell r="M7719">
            <v>0</v>
          </cell>
          <cell r="P7719">
            <v>0</v>
          </cell>
        </row>
        <row r="7720">
          <cell r="K7720">
            <v>0</v>
          </cell>
          <cell r="M7720">
            <v>0</v>
          </cell>
          <cell r="P7720">
            <v>0</v>
          </cell>
        </row>
        <row r="7721">
          <cell r="K7721">
            <v>0</v>
          </cell>
          <cell r="M7721">
            <v>0</v>
          </cell>
          <cell r="P7721">
            <v>0</v>
          </cell>
        </row>
        <row r="7722">
          <cell r="K7722">
            <v>0</v>
          </cell>
          <cell r="M7722">
            <v>0</v>
          </cell>
          <cell r="P7722">
            <v>0</v>
          </cell>
        </row>
        <row r="7723">
          <cell r="K7723">
            <v>0</v>
          </cell>
          <cell r="M7723">
            <v>0</v>
          </cell>
          <cell r="P7723">
            <v>0</v>
          </cell>
        </row>
        <row r="7724">
          <cell r="K7724">
            <v>0</v>
          </cell>
          <cell r="M7724">
            <v>0</v>
          </cell>
          <cell r="P7724">
            <v>0</v>
          </cell>
        </row>
        <row r="7725">
          <cell r="K7725">
            <v>0</v>
          </cell>
          <cell r="M7725">
            <v>0</v>
          </cell>
          <cell r="P7725">
            <v>0</v>
          </cell>
        </row>
        <row r="7726">
          <cell r="K7726">
            <v>0</v>
          </cell>
          <cell r="M7726">
            <v>0</v>
          </cell>
          <cell r="P7726">
            <v>0</v>
          </cell>
        </row>
        <row r="7727">
          <cell r="K7727">
            <v>0</v>
          </cell>
          <cell r="M7727">
            <v>0</v>
          </cell>
          <cell r="P7727">
            <v>0</v>
          </cell>
        </row>
        <row r="7728">
          <cell r="K7728">
            <v>0</v>
          </cell>
          <cell r="M7728">
            <v>0</v>
          </cell>
          <cell r="P7728">
            <v>0</v>
          </cell>
        </row>
        <row r="7729">
          <cell r="K7729">
            <v>0</v>
          </cell>
          <cell r="M7729">
            <v>0</v>
          </cell>
          <cell r="P7729">
            <v>0</v>
          </cell>
        </row>
        <row r="7730">
          <cell r="K7730">
            <v>0</v>
          </cell>
          <cell r="M7730">
            <v>0</v>
          </cell>
          <cell r="P7730">
            <v>0</v>
          </cell>
        </row>
        <row r="7731">
          <cell r="K7731">
            <v>0</v>
          </cell>
          <cell r="M7731">
            <v>0</v>
          </cell>
          <cell r="P7731">
            <v>0</v>
          </cell>
        </row>
        <row r="7732">
          <cell r="K7732">
            <v>0</v>
          </cell>
          <cell r="M7732">
            <v>0</v>
          </cell>
          <cell r="P7732">
            <v>0</v>
          </cell>
        </row>
        <row r="7733">
          <cell r="K7733">
            <v>0</v>
          </cell>
          <cell r="M7733">
            <v>0</v>
          </cell>
          <cell r="P7733">
            <v>0</v>
          </cell>
        </row>
        <row r="7734">
          <cell r="K7734">
            <v>0</v>
          </cell>
          <cell r="M7734">
            <v>0</v>
          </cell>
          <cell r="P7734">
            <v>0</v>
          </cell>
        </row>
        <row r="7735">
          <cell r="K7735">
            <v>0</v>
          </cell>
          <cell r="M7735">
            <v>0</v>
          </cell>
          <cell r="P7735">
            <v>0</v>
          </cell>
        </row>
        <row r="7736">
          <cell r="K7736">
            <v>0</v>
          </cell>
          <cell r="M7736">
            <v>0</v>
          </cell>
          <cell r="P7736">
            <v>0</v>
          </cell>
        </row>
        <row r="7737">
          <cell r="K7737">
            <v>0</v>
          </cell>
          <cell r="M7737">
            <v>0</v>
          </cell>
          <cell r="P7737">
            <v>0</v>
          </cell>
        </row>
        <row r="7738">
          <cell r="K7738">
            <v>0</v>
          </cell>
          <cell r="M7738">
            <v>0</v>
          </cell>
          <cell r="P7738">
            <v>0</v>
          </cell>
        </row>
        <row r="7739">
          <cell r="K7739">
            <v>0</v>
          </cell>
          <cell r="M7739">
            <v>0</v>
          </cell>
          <cell r="P7739">
            <v>0</v>
          </cell>
        </row>
        <row r="7740">
          <cell r="K7740">
            <v>0</v>
          </cell>
          <cell r="M7740">
            <v>0</v>
          </cell>
          <cell r="P7740">
            <v>0</v>
          </cell>
        </row>
        <row r="7741">
          <cell r="K7741">
            <v>0</v>
          </cell>
          <cell r="M7741">
            <v>0</v>
          </cell>
          <cell r="P7741">
            <v>0</v>
          </cell>
        </row>
        <row r="7742">
          <cell r="K7742">
            <v>0</v>
          </cell>
          <cell r="M7742">
            <v>0</v>
          </cell>
          <cell r="P7742">
            <v>0</v>
          </cell>
        </row>
        <row r="7743">
          <cell r="K7743">
            <v>0</v>
          </cell>
          <cell r="M7743">
            <v>0</v>
          </cell>
          <cell r="P7743">
            <v>0</v>
          </cell>
        </row>
        <row r="7744">
          <cell r="K7744">
            <v>0</v>
          </cell>
          <cell r="M7744">
            <v>0</v>
          </cell>
          <cell r="P7744">
            <v>0</v>
          </cell>
        </row>
        <row r="7745">
          <cell r="K7745">
            <v>0</v>
          </cell>
          <cell r="M7745">
            <v>0</v>
          </cell>
          <cell r="P7745">
            <v>0</v>
          </cell>
        </row>
        <row r="7746">
          <cell r="K7746">
            <v>0</v>
          </cell>
          <cell r="M7746">
            <v>0</v>
          </cell>
          <cell r="P7746">
            <v>0</v>
          </cell>
        </row>
        <row r="7747">
          <cell r="K7747">
            <v>0</v>
          </cell>
          <cell r="M7747">
            <v>0</v>
          </cell>
          <cell r="P7747">
            <v>0</v>
          </cell>
        </row>
        <row r="7748">
          <cell r="K7748">
            <v>0</v>
          </cell>
          <cell r="M7748">
            <v>0</v>
          </cell>
          <cell r="P7748">
            <v>0</v>
          </cell>
        </row>
        <row r="7749">
          <cell r="K7749">
            <v>0</v>
          </cell>
          <cell r="M7749">
            <v>0</v>
          </cell>
          <cell r="P7749">
            <v>0</v>
          </cell>
        </row>
        <row r="7750">
          <cell r="K7750">
            <v>0</v>
          </cell>
          <cell r="M7750">
            <v>0</v>
          </cell>
          <cell r="P7750">
            <v>0</v>
          </cell>
        </row>
        <row r="7751">
          <cell r="K7751">
            <v>0</v>
          </cell>
          <cell r="M7751">
            <v>0</v>
          </cell>
          <cell r="P7751">
            <v>0</v>
          </cell>
        </row>
        <row r="7752">
          <cell r="K7752">
            <v>0</v>
          </cell>
          <cell r="M7752">
            <v>0</v>
          </cell>
          <cell r="P7752">
            <v>0</v>
          </cell>
        </row>
        <row r="7753">
          <cell r="K7753">
            <v>0</v>
          </cell>
          <cell r="M7753">
            <v>0</v>
          </cell>
          <cell r="P7753">
            <v>0</v>
          </cell>
        </row>
        <row r="7754">
          <cell r="K7754">
            <v>0</v>
          </cell>
          <cell r="M7754">
            <v>0</v>
          </cell>
          <cell r="P7754">
            <v>0</v>
          </cell>
        </row>
        <row r="7755">
          <cell r="K7755">
            <v>0</v>
          </cell>
          <cell r="M7755">
            <v>0</v>
          </cell>
          <cell r="P7755">
            <v>0</v>
          </cell>
        </row>
        <row r="7756">
          <cell r="K7756">
            <v>0</v>
          </cell>
          <cell r="M7756">
            <v>0</v>
          </cell>
          <cell r="P7756">
            <v>0</v>
          </cell>
        </row>
        <row r="7757">
          <cell r="K7757">
            <v>0</v>
          </cell>
          <cell r="M7757">
            <v>0</v>
          </cell>
          <cell r="P7757">
            <v>0</v>
          </cell>
        </row>
        <row r="7758">
          <cell r="K7758">
            <v>0</v>
          </cell>
          <cell r="M7758">
            <v>0</v>
          </cell>
          <cell r="P7758">
            <v>0</v>
          </cell>
        </row>
        <row r="7759">
          <cell r="K7759">
            <v>0</v>
          </cell>
          <cell r="M7759">
            <v>0</v>
          </cell>
          <cell r="P7759">
            <v>0</v>
          </cell>
        </row>
        <row r="7760">
          <cell r="K7760">
            <v>0</v>
          </cell>
          <cell r="M7760">
            <v>0</v>
          </cell>
          <cell r="P7760">
            <v>0</v>
          </cell>
        </row>
        <row r="7761">
          <cell r="K7761">
            <v>0</v>
          </cell>
          <cell r="M7761">
            <v>0</v>
          </cell>
          <cell r="P7761">
            <v>0</v>
          </cell>
        </row>
        <row r="7762">
          <cell r="K7762">
            <v>0</v>
          </cell>
          <cell r="M7762">
            <v>0</v>
          </cell>
          <cell r="P7762">
            <v>0</v>
          </cell>
        </row>
        <row r="7763">
          <cell r="K7763">
            <v>0</v>
          </cell>
          <cell r="M7763">
            <v>0</v>
          </cell>
          <cell r="P7763">
            <v>0</v>
          </cell>
        </row>
        <row r="7764">
          <cell r="K7764">
            <v>0</v>
          </cell>
          <cell r="M7764">
            <v>0</v>
          </cell>
          <cell r="P7764">
            <v>0</v>
          </cell>
        </row>
        <row r="7765">
          <cell r="K7765">
            <v>0</v>
          </cell>
          <cell r="M7765">
            <v>0</v>
          </cell>
          <cell r="P7765">
            <v>0</v>
          </cell>
        </row>
        <row r="7766">
          <cell r="K7766">
            <v>0</v>
          </cell>
          <cell r="M7766">
            <v>0</v>
          </cell>
          <cell r="P7766">
            <v>0</v>
          </cell>
        </row>
        <row r="7767">
          <cell r="K7767">
            <v>0</v>
          </cell>
          <cell r="M7767">
            <v>0</v>
          </cell>
          <cell r="P7767">
            <v>0</v>
          </cell>
        </row>
        <row r="7768">
          <cell r="K7768">
            <v>0</v>
          </cell>
          <cell r="M7768">
            <v>0</v>
          </cell>
          <cell r="P7768">
            <v>0</v>
          </cell>
        </row>
        <row r="7769">
          <cell r="K7769">
            <v>0</v>
          </cell>
          <cell r="M7769">
            <v>0</v>
          </cell>
          <cell r="P7769">
            <v>0</v>
          </cell>
        </row>
        <row r="7770">
          <cell r="K7770">
            <v>0</v>
          </cell>
          <cell r="M7770">
            <v>0</v>
          </cell>
          <cell r="P7770">
            <v>0</v>
          </cell>
        </row>
        <row r="7771">
          <cell r="K7771">
            <v>0</v>
          </cell>
          <cell r="M7771">
            <v>0</v>
          </cell>
          <cell r="P7771">
            <v>0</v>
          </cell>
        </row>
        <row r="7772">
          <cell r="K7772">
            <v>0</v>
          </cell>
          <cell r="M7772">
            <v>0</v>
          </cell>
          <cell r="P7772">
            <v>0</v>
          </cell>
        </row>
        <row r="7773">
          <cell r="K7773">
            <v>0</v>
          </cell>
          <cell r="M7773">
            <v>0</v>
          </cell>
          <cell r="P7773">
            <v>0</v>
          </cell>
        </row>
        <row r="7774">
          <cell r="K7774">
            <v>0</v>
          </cell>
          <cell r="M7774">
            <v>0</v>
          </cell>
          <cell r="P7774">
            <v>0</v>
          </cell>
        </row>
        <row r="7775">
          <cell r="K7775">
            <v>0</v>
          </cell>
          <cell r="M7775">
            <v>0</v>
          </cell>
          <cell r="P7775">
            <v>0</v>
          </cell>
        </row>
        <row r="7776">
          <cell r="K7776">
            <v>0</v>
          </cell>
          <cell r="M7776">
            <v>0</v>
          </cell>
          <cell r="P7776">
            <v>0</v>
          </cell>
        </row>
        <row r="7777">
          <cell r="K7777">
            <v>0</v>
          </cell>
          <cell r="M7777">
            <v>0</v>
          </cell>
          <cell r="P7777">
            <v>0</v>
          </cell>
        </row>
        <row r="7778">
          <cell r="K7778">
            <v>0</v>
          </cell>
          <cell r="M7778">
            <v>0</v>
          </cell>
          <cell r="P7778">
            <v>0</v>
          </cell>
        </row>
        <row r="7779">
          <cell r="K7779">
            <v>0</v>
          </cell>
          <cell r="M7779">
            <v>0</v>
          </cell>
          <cell r="P7779">
            <v>0</v>
          </cell>
        </row>
        <row r="7780">
          <cell r="K7780">
            <v>0</v>
          </cell>
          <cell r="M7780">
            <v>0</v>
          </cell>
          <cell r="P7780">
            <v>0</v>
          </cell>
        </row>
        <row r="7781">
          <cell r="K7781">
            <v>0</v>
          </cell>
          <cell r="M7781">
            <v>0</v>
          </cell>
          <cell r="P7781">
            <v>0</v>
          </cell>
        </row>
        <row r="7782">
          <cell r="K7782">
            <v>0</v>
          </cell>
          <cell r="M7782">
            <v>0</v>
          </cell>
          <cell r="P7782">
            <v>0</v>
          </cell>
        </row>
        <row r="7783">
          <cell r="K7783">
            <v>0</v>
          </cell>
          <cell r="M7783">
            <v>0</v>
          </cell>
          <cell r="P7783">
            <v>0</v>
          </cell>
        </row>
        <row r="7784">
          <cell r="K7784">
            <v>0</v>
          </cell>
          <cell r="M7784">
            <v>0</v>
          </cell>
          <cell r="P7784">
            <v>0</v>
          </cell>
        </row>
        <row r="7785">
          <cell r="K7785">
            <v>0</v>
          </cell>
          <cell r="M7785">
            <v>0</v>
          </cell>
          <cell r="P7785">
            <v>0</v>
          </cell>
        </row>
        <row r="7786">
          <cell r="K7786">
            <v>0</v>
          </cell>
          <cell r="M7786">
            <v>0</v>
          </cell>
          <cell r="P7786">
            <v>0</v>
          </cell>
        </row>
        <row r="7787">
          <cell r="K7787">
            <v>0</v>
          </cell>
          <cell r="M7787">
            <v>0</v>
          </cell>
          <cell r="P7787">
            <v>0</v>
          </cell>
        </row>
        <row r="7788">
          <cell r="K7788">
            <v>0</v>
          </cell>
          <cell r="M7788">
            <v>0</v>
          </cell>
          <cell r="P7788">
            <v>0</v>
          </cell>
        </row>
        <row r="7789">
          <cell r="K7789">
            <v>0</v>
          </cell>
          <cell r="M7789">
            <v>0</v>
          </cell>
          <cell r="P7789">
            <v>0</v>
          </cell>
        </row>
        <row r="7790">
          <cell r="K7790">
            <v>0</v>
          </cell>
          <cell r="M7790">
            <v>0</v>
          </cell>
          <cell r="P7790">
            <v>0</v>
          </cell>
        </row>
        <row r="7791">
          <cell r="K7791">
            <v>0</v>
          </cell>
          <cell r="M7791">
            <v>0</v>
          </cell>
          <cell r="P7791">
            <v>0</v>
          </cell>
        </row>
        <row r="7792">
          <cell r="K7792">
            <v>0</v>
          </cell>
          <cell r="M7792">
            <v>0</v>
          </cell>
          <cell r="P7792">
            <v>0</v>
          </cell>
        </row>
        <row r="7793">
          <cell r="K7793">
            <v>0</v>
          </cell>
          <cell r="M7793">
            <v>0</v>
          </cell>
          <cell r="P7793">
            <v>0</v>
          </cell>
        </row>
        <row r="7794">
          <cell r="K7794">
            <v>0</v>
          </cell>
          <cell r="M7794">
            <v>0</v>
          </cell>
          <cell r="P7794">
            <v>0</v>
          </cell>
        </row>
        <row r="7795">
          <cell r="K7795">
            <v>0</v>
          </cell>
          <cell r="M7795">
            <v>0</v>
          </cell>
          <cell r="P7795">
            <v>0</v>
          </cell>
        </row>
        <row r="7796">
          <cell r="K7796">
            <v>0</v>
          </cell>
          <cell r="M7796">
            <v>0</v>
          </cell>
          <cell r="P7796">
            <v>0</v>
          </cell>
        </row>
        <row r="7797">
          <cell r="K7797">
            <v>0</v>
          </cell>
          <cell r="M7797">
            <v>0</v>
          </cell>
          <cell r="P7797">
            <v>0</v>
          </cell>
        </row>
        <row r="7798">
          <cell r="K7798">
            <v>0</v>
          </cell>
          <cell r="M7798">
            <v>0</v>
          </cell>
          <cell r="P7798">
            <v>0</v>
          </cell>
        </row>
        <row r="7799">
          <cell r="K7799">
            <v>0</v>
          </cell>
          <cell r="M7799">
            <v>0</v>
          </cell>
          <cell r="P7799">
            <v>0</v>
          </cell>
        </row>
        <row r="7800">
          <cell r="K7800">
            <v>0</v>
          </cell>
          <cell r="M7800">
            <v>0</v>
          </cell>
          <cell r="P7800">
            <v>0</v>
          </cell>
        </row>
        <row r="7801">
          <cell r="K7801">
            <v>0</v>
          </cell>
          <cell r="M7801">
            <v>0</v>
          </cell>
          <cell r="P7801">
            <v>0</v>
          </cell>
        </row>
        <row r="7802">
          <cell r="K7802">
            <v>0</v>
          </cell>
          <cell r="M7802">
            <v>0</v>
          </cell>
          <cell r="P7802">
            <v>0</v>
          </cell>
        </row>
        <row r="7803">
          <cell r="K7803">
            <v>0</v>
          </cell>
          <cell r="M7803">
            <v>0</v>
          </cell>
          <cell r="P7803">
            <v>0</v>
          </cell>
        </row>
        <row r="7804">
          <cell r="K7804">
            <v>0</v>
          </cell>
          <cell r="M7804">
            <v>0</v>
          </cell>
          <cell r="P7804">
            <v>0</v>
          </cell>
        </row>
        <row r="7805">
          <cell r="K7805">
            <v>0</v>
          </cell>
          <cell r="M7805">
            <v>0</v>
          </cell>
          <cell r="P7805">
            <v>0</v>
          </cell>
        </row>
        <row r="7806">
          <cell r="K7806">
            <v>0</v>
          </cell>
          <cell r="M7806">
            <v>0</v>
          </cell>
          <cell r="P7806">
            <v>0</v>
          </cell>
        </row>
        <row r="7807">
          <cell r="K7807">
            <v>0</v>
          </cell>
          <cell r="M7807">
            <v>0</v>
          </cell>
          <cell r="P7807">
            <v>0</v>
          </cell>
        </row>
        <row r="7808">
          <cell r="K7808">
            <v>0</v>
          </cell>
          <cell r="M7808">
            <v>0</v>
          </cell>
          <cell r="P7808">
            <v>0</v>
          </cell>
        </row>
        <row r="7809">
          <cell r="K7809">
            <v>0</v>
          </cell>
          <cell r="M7809">
            <v>0</v>
          </cell>
          <cell r="P7809">
            <v>0</v>
          </cell>
        </row>
        <row r="7810">
          <cell r="K7810">
            <v>0</v>
          </cell>
          <cell r="M7810">
            <v>0</v>
          </cell>
          <cell r="P7810">
            <v>0</v>
          </cell>
        </row>
        <row r="7811">
          <cell r="K7811">
            <v>0</v>
          </cell>
          <cell r="M7811">
            <v>0</v>
          </cell>
          <cell r="P7811">
            <v>0</v>
          </cell>
        </row>
        <row r="7812">
          <cell r="K7812">
            <v>0</v>
          </cell>
          <cell r="M7812">
            <v>0</v>
          </cell>
          <cell r="P7812">
            <v>0</v>
          </cell>
        </row>
        <row r="7813">
          <cell r="K7813">
            <v>0</v>
          </cell>
          <cell r="M7813">
            <v>0</v>
          </cell>
          <cell r="P7813">
            <v>0</v>
          </cell>
        </row>
        <row r="7814">
          <cell r="K7814">
            <v>0</v>
          </cell>
          <cell r="M7814">
            <v>0</v>
          </cell>
          <cell r="P7814">
            <v>0</v>
          </cell>
        </row>
        <row r="7815">
          <cell r="K7815">
            <v>0</v>
          </cell>
          <cell r="M7815">
            <v>0</v>
          </cell>
          <cell r="P7815">
            <v>0</v>
          </cell>
        </row>
        <row r="7816">
          <cell r="K7816">
            <v>0</v>
          </cell>
          <cell r="M7816">
            <v>0</v>
          </cell>
          <cell r="P7816">
            <v>0</v>
          </cell>
        </row>
        <row r="7817">
          <cell r="K7817">
            <v>0</v>
          </cell>
          <cell r="M7817">
            <v>0</v>
          </cell>
          <cell r="P7817">
            <v>0</v>
          </cell>
        </row>
        <row r="7818">
          <cell r="K7818">
            <v>0</v>
          </cell>
          <cell r="M7818">
            <v>0</v>
          </cell>
          <cell r="P7818">
            <v>0</v>
          </cell>
        </row>
        <row r="7819">
          <cell r="K7819">
            <v>0</v>
          </cell>
          <cell r="M7819">
            <v>0</v>
          </cell>
          <cell r="P7819">
            <v>0</v>
          </cell>
        </row>
        <row r="7820">
          <cell r="K7820">
            <v>0</v>
          </cell>
          <cell r="M7820">
            <v>0</v>
          </cell>
          <cell r="P7820">
            <v>0</v>
          </cell>
        </row>
        <row r="7821">
          <cell r="K7821">
            <v>0</v>
          </cell>
          <cell r="M7821">
            <v>0</v>
          </cell>
          <cell r="P7821">
            <v>0</v>
          </cell>
        </row>
        <row r="7822">
          <cell r="K7822">
            <v>0</v>
          </cell>
          <cell r="M7822">
            <v>0</v>
          </cell>
          <cell r="P7822">
            <v>0</v>
          </cell>
        </row>
        <row r="7823">
          <cell r="K7823">
            <v>0</v>
          </cell>
          <cell r="M7823">
            <v>0</v>
          </cell>
          <cell r="P7823">
            <v>0</v>
          </cell>
        </row>
        <row r="7824">
          <cell r="K7824">
            <v>0</v>
          </cell>
          <cell r="M7824">
            <v>0</v>
          </cell>
          <cell r="P7824">
            <v>0</v>
          </cell>
        </row>
        <row r="7825">
          <cell r="K7825">
            <v>0</v>
          </cell>
          <cell r="M7825">
            <v>0</v>
          </cell>
          <cell r="P7825">
            <v>0</v>
          </cell>
        </row>
        <row r="7826">
          <cell r="K7826">
            <v>0</v>
          </cell>
          <cell r="M7826">
            <v>0</v>
          </cell>
          <cell r="P7826">
            <v>0</v>
          </cell>
        </row>
        <row r="7827">
          <cell r="K7827">
            <v>0</v>
          </cell>
          <cell r="M7827">
            <v>0</v>
          </cell>
          <cell r="P7827">
            <v>0</v>
          </cell>
        </row>
        <row r="7828">
          <cell r="K7828">
            <v>0</v>
          </cell>
          <cell r="M7828">
            <v>0</v>
          </cell>
          <cell r="P7828">
            <v>0</v>
          </cell>
        </row>
        <row r="7829">
          <cell r="K7829">
            <v>0</v>
          </cell>
          <cell r="M7829">
            <v>0</v>
          </cell>
          <cell r="P7829">
            <v>0</v>
          </cell>
        </row>
        <row r="7830">
          <cell r="K7830">
            <v>0</v>
          </cell>
          <cell r="M7830">
            <v>0</v>
          </cell>
          <cell r="P7830">
            <v>0</v>
          </cell>
        </row>
        <row r="7831">
          <cell r="K7831">
            <v>0</v>
          </cell>
          <cell r="M7831">
            <v>0</v>
          </cell>
          <cell r="P7831">
            <v>0</v>
          </cell>
        </row>
        <row r="7832">
          <cell r="K7832">
            <v>0</v>
          </cell>
          <cell r="M7832">
            <v>0</v>
          </cell>
          <cell r="P7832">
            <v>0</v>
          </cell>
        </row>
        <row r="7833">
          <cell r="K7833">
            <v>0</v>
          </cell>
          <cell r="M7833">
            <v>0</v>
          </cell>
          <cell r="P7833">
            <v>0</v>
          </cell>
        </row>
        <row r="7834">
          <cell r="K7834">
            <v>0</v>
          </cell>
          <cell r="M7834">
            <v>0</v>
          </cell>
          <cell r="P7834">
            <v>0</v>
          </cell>
        </row>
        <row r="7835">
          <cell r="K7835">
            <v>0</v>
          </cell>
          <cell r="M7835">
            <v>0</v>
          </cell>
          <cell r="P7835">
            <v>0</v>
          </cell>
        </row>
        <row r="7836">
          <cell r="K7836">
            <v>0</v>
          </cell>
          <cell r="M7836">
            <v>0</v>
          </cell>
          <cell r="P7836">
            <v>0</v>
          </cell>
        </row>
        <row r="7837">
          <cell r="K7837">
            <v>0</v>
          </cell>
          <cell r="M7837">
            <v>0</v>
          </cell>
          <cell r="P7837">
            <v>0</v>
          </cell>
        </row>
        <row r="7838">
          <cell r="K7838">
            <v>0</v>
          </cell>
          <cell r="M7838">
            <v>0</v>
          </cell>
          <cell r="P7838">
            <v>0</v>
          </cell>
        </row>
        <row r="7839">
          <cell r="K7839">
            <v>0</v>
          </cell>
          <cell r="M7839">
            <v>0</v>
          </cell>
          <cell r="P7839">
            <v>0</v>
          </cell>
        </row>
        <row r="7840">
          <cell r="K7840">
            <v>0</v>
          </cell>
          <cell r="M7840">
            <v>0</v>
          </cell>
          <cell r="P7840">
            <v>0</v>
          </cell>
        </row>
        <row r="7841">
          <cell r="K7841">
            <v>0</v>
          </cell>
          <cell r="M7841">
            <v>0</v>
          </cell>
          <cell r="P7841">
            <v>0</v>
          </cell>
        </row>
        <row r="7842">
          <cell r="K7842">
            <v>0</v>
          </cell>
          <cell r="M7842">
            <v>0</v>
          </cell>
          <cell r="P7842">
            <v>0</v>
          </cell>
        </row>
        <row r="7843">
          <cell r="K7843">
            <v>0</v>
          </cell>
          <cell r="M7843">
            <v>0</v>
          </cell>
          <cell r="P7843">
            <v>0</v>
          </cell>
        </row>
        <row r="7844">
          <cell r="K7844">
            <v>0</v>
          </cell>
          <cell r="M7844">
            <v>0</v>
          </cell>
          <cell r="P7844">
            <v>0</v>
          </cell>
        </row>
        <row r="7845">
          <cell r="K7845">
            <v>0</v>
          </cell>
          <cell r="M7845">
            <v>0</v>
          </cell>
          <cell r="P7845">
            <v>0</v>
          </cell>
        </row>
        <row r="7846">
          <cell r="K7846">
            <v>0</v>
          </cell>
          <cell r="M7846">
            <v>0</v>
          </cell>
          <cell r="P7846">
            <v>0</v>
          </cell>
        </row>
        <row r="7847">
          <cell r="K7847">
            <v>0</v>
          </cell>
          <cell r="M7847">
            <v>0</v>
          </cell>
          <cell r="P7847">
            <v>0</v>
          </cell>
        </row>
        <row r="7848">
          <cell r="K7848">
            <v>0</v>
          </cell>
          <cell r="M7848">
            <v>0</v>
          </cell>
          <cell r="P7848">
            <v>0</v>
          </cell>
        </row>
        <row r="7849">
          <cell r="K7849">
            <v>0</v>
          </cell>
          <cell r="M7849">
            <v>0</v>
          </cell>
          <cell r="P7849">
            <v>0</v>
          </cell>
        </row>
        <row r="7850">
          <cell r="K7850">
            <v>0</v>
          </cell>
          <cell r="M7850">
            <v>0</v>
          </cell>
          <cell r="P7850">
            <v>0</v>
          </cell>
        </row>
        <row r="7851">
          <cell r="K7851">
            <v>0</v>
          </cell>
          <cell r="M7851">
            <v>0</v>
          </cell>
          <cell r="P7851">
            <v>0</v>
          </cell>
        </row>
        <row r="7852">
          <cell r="K7852">
            <v>0</v>
          </cell>
          <cell r="M7852">
            <v>0</v>
          </cell>
          <cell r="P7852">
            <v>0</v>
          </cell>
        </row>
        <row r="7853">
          <cell r="K7853">
            <v>0</v>
          </cell>
          <cell r="M7853">
            <v>0</v>
          </cell>
          <cell r="P7853">
            <v>0</v>
          </cell>
        </row>
        <row r="7854">
          <cell r="K7854">
            <v>0</v>
          </cell>
          <cell r="M7854">
            <v>0</v>
          </cell>
          <cell r="P7854">
            <v>0</v>
          </cell>
        </row>
        <row r="7855">
          <cell r="K7855">
            <v>0</v>
          </cell>
          <cell r="M7855">
            <v>0</v>
          </cell>
          <cell r="P7855">
            <v>0</v>
          </cell>
        </row>
        <row r="7856">
          <cell r="K7856">
            <v>0</v>
          </cell>
          <cell r="M7856">
            <v>0</v>
          </cell>
          <cell r="P7856">
            <v>0</v>
          </cell>
        </row>
        <row r="7857">
          <cell r="K7857">
            <v>0</v>
          </cell>
          <cell r="M7857">
            <v>0</v>
          </cell>
          <cell r="P7857">
            <v>0</v>
          </cell>
        </row>
        <row r="7858">
          <cell r="K7858">
            <v>0</v>
          </cell>
          <cell r="M7858">
            <v>0</v>
          </cell>
          <cell r="P7858">
            <v>0</v>
          </cell>
        </row>
        <row r="7859">
          <cell r="K7859">
            <v>0</v>
          </cell>
          <cell r="M7859">
            <v>0</v>
          </cell>
          <cell r="P7859">
            <v>0</v>
          </cell>
        </row>
        <row r="7860">
          <cell r="K7860">
            <v>0</v>
          </cell>
          <cell r="M7860">
            <v>0</v>
          </cell>
          <cell r="P7860">
            <v>0</v>
          </cell>
        </row>
        <row r="7861">
          <cell r="K7861">
            <v>0</v>
          </cell>
          <cell r="M7861">
            <v>0</v>
          </cell>
          <cell r="P7861">
            <v>0</v>
          </cell>
        </row>
        <row r="7862">
          <cell r="K7862">
            <v>0</v>
          </cell>
          <cell r="M7862">
            <v>0</v>
          </cell>
          <cell r="P7862">
            <v>0</v>
          </cell>
        </row>
        <row r="7863">
          <cell r="K7863">
            <v>0</v>
          </cell>
          <cell r="M7863">
            <v>0</v>
          </cell>
          <cell r="P7863">
            <v>0</v>
          </cell>
        </row>
        <row r="7864">
          <cell r="K7864">
            <v>0</v>
          </cell>
          <cell r="M7864">
            <v>0</v>
          </cell>
          <cell r="P7864">
            <v>0</v>
          </cell>
        </row>
        <row r="7865">
          <cell r="K7865">
            <v>0</v>
          </cell>
          <cell r="M7865">
            <v>0</v>
          </cell>
          <cell r="P7865">
            <v>0</v>
          </cell>
        </row>
        <row r="7866">
          <cell r="K7866">
            <v>0</v>
          </cell>
          <cell r="M7866">
            <v>0</v>
          </cell>
          <cell r="P7866">
            <v>0</v>
          </cell>
        </row>
        <row r="7867">
          <cell r="K7867">
            <v>0</v>
          </cell>
          <cell r="M7867">
            <v>0</v>
          </cell>
          <cell r="P7867">
            <v>0</v>
          </cell>
        </row>
        <row r="7868">
          <cell r="K7868">
            <v>0</v>
          </cell>
          <cell r="M7868">
            <v>0</v>
          </cell>
          <cell r="P7868">
            <v>0</v>
          </cell>
        </row>
        <row r="7869">
          <cell r="K7869">
            <v>0</v>
          </cell>
          <cell r="M7869">
            <v>0</v>
          </cell>
          <cell r="P7869">
            <v>0</v>
          </cell>
        </row>
        <row r="7870">
          <cell r="K7870">
            <v>0</v>
          </cell>
          <cell r="M7870">
            <v>0</v>
          </cell>
          <cell r="P7870">
            <v>0</v>
          </cell>
        </row>
        <row r="7871">
          <cell r="K7871">
            <v>0</v>
          </cell>
          <cell r="M7871">
            <v>0</v>
          </cell>
          <cell r="P7871">
            <v>0</v>
          </cell>
        </row>
        <row r="7872">
          <cell r="K7872">
            <v>0</v>
          </cell>
          <cell r="M7872">
            <v>0</v>
          </cell>
          <cell r="P7872">
            <v>0</v>
          </cell>
        </row>
        <row r="7873">
          <cell r="K7873">
            <v>0</v>
          </cell>
          <cell r="M7873">
            <v>0</v>
          </cell>
          <cell r="P7873">
            <v>0</v>
          </cell>
        </row>
        <row r="7874">
          <cell r="K7874">
            <v>0</v>
          </cell>
          <cell r="M7874">
            <v>0</v>
          </cell>
          <cell r="P7874">
            <v>0</v>
          </cell>
        </row>
        <row r="7875">
          <cell r="K7875">
            <v>0</v>
          </cell>
          <cell r="M7875">
            <v>0</v>
          </cell>
          <cell r="P7875">
            <v>0</v>
          </cell>
        </row>
        <row r="7876">
          <cell r="K7876">
            <v>0</v>
          </cell>
          <cell r="M7876">
            <v>0</v>
          </cell>
          <cell r="P7876">
            <v>0</v>
          </cell>
        </row>
        <row r="7877">
          <cell r="K7877">
            <v>0</v>
          </cell>
          <cell r="M7877">
            <v>0</v>
          </cell>
          <cell r="P7877">
            <v>0</v>
          </cell>
        </row>
        <row r="7878">
          <cell r="K7878">
            <v>0</v>
          </cell>
          <cell r="M7878">
            <v>0</v>
          </cell>
          <cell r="P7878">
            <v>0</v>
          </cell>
        </row>
        <row r="7879">
          <cell r="K7879">
            <v>0</v>
          </cell>
          <cell r="M7879">
            <v>0</v>
          </cell>
          <cell r="P7879">
            <v>0</v>
          </cell>
        </row>
        <row r="7880">
          <cell r="K7880">
            <v>0</v>
          </cell>
          <cell r="M7880">
            <v>0</v>
          </cell>
          <cell r="P7880">
            <v>0</v>
          </cell>
        </row>
        <row r="7881">
          <cell r="K7881">
            <v>0</v>
          </cell>
          <cell r="M7881">
            <v>0</v>
          </cell>
          <cell r="P7881">
            <v>0</v>
          </cell>
        </row>
        <row r="7882">
          <cell r="K7882">
            <v>0</v>
          </cell>
          <cell r="M7882">
            <v>0</v>
          </cell>
          <cell r="P7882">
            <v>0</v>
          </cell>
        </row>
        <row r="7883">
          <cell r="K7883">
            <v>0</v>
          </cell>
          <cell r="M7883">
            <v>0</v>
          </cell>
          <cell r="P7883">
            <v>0</v>
          </cell>
        </row>
        <row r="7884">
          <cell r="K7884">
            <v>0</v>
          </cell>
          <cell r="M7884">
            <v>0</v>
          </cell>
          <cell r="P7884">
            <v>0</v>
          </cell>
        </row>
        <row r="7885">
          <cell r="K7885">
            <v>0</v>
          </cell>
          <cell r="M7885">
            <v>0</v>
          </cell>
          <cell r="P7885">
            <v>0</v>
          </cell>
        </row>
        <row r="7886">
          <cell r="K7886">
            <v>0</v>
          </cell>
          <cell r="M7886">
            <v>0</v>
          </cell>
          <cell r="P7886">
            <v>0</v>
          </cell>
        </row>
        <row r="7887">
          <cell r="K7887">
            <v>0</v>
          </cell>
          <cell r="M7887">
            <v>0</v>
          </cell>
          <cell r="P7887">
            <v>0</v>
          </cell>
        </row>
        <row r="7888">
          <cell r="K7888">
            <v>0</v>
          </cell>
          <cell r="M7888">
            <v>0</v>
          </cell>
          <cell r="P7888">
            <v>0</v>
          </cell>
        </row>
        <row r="7889">
          <cell r="K7889">
            <v>0</v>
          </cell>
          <cell r="M7889">
            <v>0</v>
          </cell>
          <cell r="P7889">
            <v>0</v>
          </cell>
        </row>
        <row r="7890">
          <cell r="K7890">
            <v>0</v>
          </cell>
          <cell r="M7890">
            <v>0</v>
          </cell>
          <cell r="P7890">
            <v>0</v>
          </cell>
        </row>
        <row r="7891">
          <cell r="K7891">
            <v>0</v>
          </cell>
          <cell r="M7891">
            <v>0</v>
          </cell>
          <cell r="P7891">
            <v>0</v>
          </cell>
        </row>
        <row r="7892">
          <cell r="K7892">
            <v>0</v>
          </cell>
          <cell r="M7892">
            <v>0</v>
          </cell>
          <cell r="P7892">
            <v>0</v>
          </cell>
        </row>
        <row r="7893">
          <cell r="K7893">
            <v>0</v>
          </cell>
          <cell r="M7893">
            <v>0</v>
          </cell>
          <cell r="P7893">
            <v>0</v>
          </cell>
        </row>
        <row r="7894">
          <cell r="K7894">
            <v>0</v>
          </cell>
          <cell r="M7894">
            <v>0</v>
          </cell>
          <cell r="P7894">
            <v>0</v>
          </cell>
        </row>
        <row r="7895">
          <cell r="K7895">
            <v>0</v>
          </cell>
          <cell r="M7895">
            <v>0</v>
          </cell>
          <cell r="P7895">
            <v>0</v>
          </cell>
        </row>
        <row r="7896">
          <cell r="K7896">
            <v>0</v>
          </cell>
          <cell r="M7896">
            <v>0</v>
          </cell>
          <cell r="P7896">
            <v>0</v>
          </cell>
        </row>
        <row r="7897">
          <cell r="K7897">
            <v>0</v>
          </cell>
          <cell r="M7897">
            <v>0</v>
          </cell>
          <cell r="P7897">
            <v>0</v>
          </cell>
        </row>
        <row r="7898">
          <cell r="K7898">
            <v>0</v>
          </cell>
          <cell r="M7898">
            <v>0</v>
          </cell>
          <cell r="P7898">
            <v>0</v>
          </cell>
        </row>
        <row r="7899">
          <cell r="K7899">
            <v>0</v>
          </cell>
          <cell r="M7899">
            <v>0</v>
          </cell>
          <cell r="P7899">
            <v>0</v>
          </cell>
        </row>
        <row r="7900">
          <cell r="K7900">
            <v>0</v>
          </cell>
          <cell r="M7900">
            <v>0</v>
          </cell>
          <cell r="P7900">
            <v>0</v>
          </cell>
        </row>
        <row r="7901">
          <cell r="K7901">
            <v>0</v>
          </cell>
          <cell r="M7901">
            <v>0</v>
          </cell>
          <cell r="P7901">
            <v>0</v>
          </cell>
        </row>
        <row r="7902">
          <cell r="K7902">
            <v>0</v>
          </cell>
          <cell r="M7902">
            <v>0</v>
          </cell>
          <cell r="P7902">
            <v>0</v>
          </cell>
        </row>
        <row r="7903">
          <cell r="K7903">
            <v>0</v>
          </cell>
          <cell r="M7903">
            <v>0</v>
          </cell>
          <cell r="P7903">
            <v>0</v>
          </cell>
        </row>
        <row r="7904">
          <cell r="K7904">
            <v>0</v>
          </cell>
          <cell r="M7904">
            <v>0</v>
          </cell>
          <cell r="P7904">
            <v>0</v>
          </cell>
        </row>
        <row r="7905">
          <cell r="K7905">
            <v>0</v>
          </cell>
          <cell r="M7905">
            <v>0</v>
          </cell>
          <cell r="P7905">
            <v>0</v>
          </cell>
        </row>
        <row r="7906">
          <cell r="K7906">
            <v>0</v>
          </cell>
          <cell r="M7906">
            <v>0</v>
          </cell>
          <cell r="P7906">
            <v>0</v>
          </cell>
        </row>
        <row r="7907">
          <cell r="K7907">
            <v>0</v>
          </cell>
          <cell r="M7907">
            <v>0</v>
          </cell>
          <cell r="P7907">
            <v>0</v>
          </cell>
        </row>
        <row r="7908">
          <cell r="K7908">
            <v>0</v>
          </cell>
          <cell r="M7908">
            <v>0</v>
          </cell>
          <cell r="P7908">
            <v>0</v>
          </cell>
        </row>
        <row r="7909">
          <cell r="K7909">
            <v>0</v>
          </cell>
          <cell r="M7909">
            <v>0</v>
          </cell>
          <cell r="P7909">
            <v>0</v>
          </cell>
        </row>
        <row r="7910">
          <cell r="K7910">
            <v>0</v>
          </cell>
          <cell r="M7910">
            <v>0</v>
          </cell>
          <cell r="P7910">
            <v>0</v>
          </cell>
        </row>
        <row r="7911">
          <cell r="K7911">
            <v>0</v>
          </cell>
          <cell r="M7911">
            <v>0</v>
          </cell>
          <cell r="P7911">
            <v>0</v>
          </cell>
        </row>
        <row r="7912">
          <cell r="K7912">
            <v>0</v>
          </cell>
          <cell r="M7912">
            <v>0</v>
          </cell>
          <cell r="P7912">
            <v>0</v>
          </cell>
        </row>
        <row r="7913">
          <cell r="K7913">
            <v>0</v>
          </cell>
          <cell r="M7913">
            <v>0</v>
          </cell>
          <cell r="P7913">
            <v>0</v>
          </cell>
        </row>
        <row r="7914">
          <cell r="K7914">
            <v>0</v>
          </cell>
          <cell r="M7914">
            <v>0</v>
          </cell>
          <cell r="P7914">
            <v>0</v>
          </cell>
        </row>
        <row r="7915">
          <cell r="K7915">
            <v>0</v>
          </cell>
          <cell r="M7915">
            <v>0</v>
          </cell>
          <cell r="P7915">
            <v>0</v>
          </cell>
        </row>
        <row r="7916">
          <cell r="K7916">
            <v>0</v>
          </cell>
          <cell r="M7916">
            <v>0</v>
          </cell>
          <cell r="P7916">
            <v>0</v>
          </cell>
        </row>
        <row r="7917">
          <cell r="K7917">
            <v>0</v>
          </cell>
          <cell r="M7917">
            <v>0</v>
          </cell>
          <cell r="P7917">
            <v>0</v>
          </cell>
        </row>
        <row r="7918">
          <cell r="K7918">
            <v>0</v>
          </cell>
          <cell r="M7918">
            <v>0</v>
          </cell>
          <cell r="P7918">
            <v>0</v>
          </cell>
        </row>
        <row r="7919">
          <cell r="K7919">
            <v>0</v>
          </cell>
          <cell r="M7919">
            <v>0</v>
          </cell>
          <cell r="P7919">
            <v>0</v>
          </cell>
        </row>
        <row r="7920">
          <cell r="K7920">
            <v>0</v>
          </cell>
          <cell r="M7920">
            <v>0</v>
          </cell>
          <cell r="P7920">
            <v>0</v>
          </cell>
        </row>
        <row r="7921">
          <cell r="K7921">
            <v>0</v>
          </cell>
          <cell r="M7921">
            <v>0</v>
          </cell>
          <cell r="P7921">
            <v>0</v>
          </cell>
        </row>
        <row r="7922">
          <cell r="K7922">
            <v>0</v>
          </cell>
          <cell r="M7922">
            <v>0</v>
          </cell>
          <cell r="P7922">
            <v>0</v>
          </cell>
        </row>
        <row r="7923">
          <cell r="K7923">
            <v>0</v>
          </cell>
          <cell r="M7923">
            <v>0</v>
          </cell>
          <cell r="P7923">
            <v>0</v>
          </cell>
        </row>
        <row r="7924">
          <cell r="K7924">
            <v>0</v>
          </cell>
          <cell r="M7924">
            <v>0</v>
          </cell>
          <cell r="P7924">
            <v>0</v>
          </cell>
        </row>
        <row r="7925">
          <cell r="K7925">
            <v>0</v>
          </cell>
          <cell r="M7925">
            <v>0</v>
          </cell>
          <cell r="P7925">
            <v>0</v>
          </cell>
        </row>
        <row r="7926">
          <cell r="K7926">
            <v>0</v>
          </cell>
          <cell r="M7926">
            <v>0</v>
          </cell>
          <cell r="P7926">
            <v>0</v>
          </cell>
        </row>
        <row r="7927">
          <cell r="K7927">
            <v>0</v>
          </cell>
          <cell r="M7927">
            <v>0</v>
          </cell>
          <cell r="P7927">
            <v>0</v>
          </cell>
        </row>
        <row r="7928">
          <cell r="K7928">
            <v>0</v>
          </cell>
          <cell r="M7928">
            <v>0</v>
          </cell>
          <cell r="P7928">
            <v>0</v>
          </cell>
        </row>
        <row r="7929">
          <cell r="K7929">
            <v>0</v>
          </cell>
          <cell r="M7929">
            <v>0</v>
          </cell>
          <cell r="P7929">
            <v>0</v>
          </cell>
        </row>
        <row r="7930">
          <cell r="K7930">
            <v>0</v>
          </cell>
          <cell r="M7930">
            <v>0</v>
          </cell>
          <cell r="P7930">
            <v>0</v>
          </cell>
        </row>
        <row r="7931">
          <cell r="K7931">
            <v>0</v>
          </cell>
          <cell r="M7931">
            <v>0</v>
          </cell>
          <cell r="P7931">
            <v>0</v>
          </cell>
        </row>
        <row r="7932">
          <cell r="K7932">
            <v>0</v>
          </cell>
          <cell r="M7932">
            <v>0</v>
          </cell>
          <cell r="P7932">
            <v>0</v>
          </cell>
        </row>
        <row r="7933">
          <cell r="K7933">
            <v>0</v>
          </cell>
          <cell r="M7933">
            <v>0</v>
          </cell>
          <cell r="P7933">
            <v>0</v>
          </cell>
        </row>
        <row r="7934">
          <cell r="K7934">
            <v>0</v>
          </cell>
          <cell r="M7934">
            <v>0</v>
          </cell>
          <cell r="P7934">
            <v>0</v>
          </cell>
        </row>
        <row r="7935">
          <cell r="K7935">
            <v>0</v>
          </cell>
          <cell r="M7935">
            <v>0</v>
          </cell>
          <cell r="P7935">
            <v>0</v>
          </cell>
        </row>
        <row r="7936">
          <cell r="K7936">
            <v>0</v>
          </cell>
          <cell r="M7936">
            <v>0</v>
          </cell>
          <cell r="P7936">
            <v>0</v>
          </cell>
        </row>
        <row r="7937">
          <cell r="K7937">
            <v>0</v>
          </cell>
          <cell r="M7937">
            <v>0</v>
          </cell>
          <cell r="P7937">
            <v>0</v>
          </cell>
        </row>
        <row r="7938">
          <cell r="K7938">
            <v>0</v>
          </cell>
          <cell r="M7938">
            <v>0</v>
          </cell>
          <cell r="P7938">
            <v>0</v>
          </cell>
        </row>
        <row r="7939">
          <cell r="K7939">
            <v>0</v>
          </cell>
          <cell r="M7939">
            <v>0</v>
          </cell>
          <cell r="P7939">
            <v>0</v>
          </cell>
        </row>
        <row r="7940">
          <cell r="K7940">
            <v>0</v>
          </cell>
          <cell r="M7940">
            <v>0</v>
          </cell>
          <cell r="P7940">
            <v>0</v>
          </cell>
        </row>
        <row r="7941">
          <cell r="K7941">
            <v>0</v>
          </cell>
          <cell r="M7941">
            <v>0</v>
          </cell>
          <cell r="P7941">
            <v>0</v>
          </cell>
        </row>
        <row r="7942">
          <cell r="K7942">
            <v>0</v>
          </cell>
          <cell r="M7942">
            <v>0</v>
          </cell>
          <cell r="P7942">
            <v>0</v>
          </cell>
        </row>
        <row r="7943">
          <cell r="K7943">
            <v>0</v>
          </cell>
          <cell r="M7943">
            <v>0</v>
          </cell>
          <cell r="P7943">
            <v>0</v>
          </cell>
        </row>
        <row r="7944">
          <cell r="K7944">
            <v>0</v>
          </cell>
          <cell r="M7944">
            <v>0</v>
          </cell>
          <cell r="P7944">
            <v>0</v>
          </cell>
        </row>
        <row r="7945">
          <cell r="K7945">
            <v>0</v>
          </cell>
          <cell r="M7945">
            <v>0</v>
          </cell>
          <cell r="P7945">
            <v>0</v>
          </cell>
        </row>
        <row r="7946">
          <cell r="K7946">
            <v>0</v>
          </cell>
          <cell r="M7946">
            <v>0</v>
          </cell>
          <cell r="P7946">
            <v>0</v>
          </cell>
        </row>
        <row r="7947">
          <cell r="K7947">
            <v>0</v>
          </cell>
          <cell r="M7947">
            <v>0</v>
          </cell>
          <cell r="P7947">
            <v>0</v>
          </cell>
        </row>
        <row r="7948">
          <cell r="K7948">
            <v>0</v>
          </cell>
          <cell r="M7948">
            <v>0</v>
          </cell>
          <cell r="P7948">
            <v>0</v>
          </cell>
        </row>
        <row r="7949">
          <cell r="K7949">
            <v>0</v>
          </cell>
          <cell r="M7949">
            <v>0</v>
          </cell>
          <cell r="P7949">
            <v>0</v>
          </cell>
        </row>
        <row r="7950">
          <cell r="K7950">
            <v>0</v>
          </cell>
          <cell r="M7950">
            <v>0</v>
          </cell>
          <cell r="P7950">
            <v>0</v>
          </cell>
        </row>
        <row r="7951">
          <cell r="K7951">
            <v>0</v>
          </cell>
          <cell r="M7951">
            <v>0</v>
          </cell>
          <cell r="P7951">
            <v>0</v>
          </cell>
        </row>
        <row r="7952">
          <cell r="K7952">
            <v>0</v>
          </cell>
          <cell r="M7952">
            <v>0</v>
          </cell>
          <cell r="P7952">
            <v>0</v>
          </cell>
        </row>
        <row r="7953">
          <cell r="K7953">
            <v>0</v>
          </cell>
          <cell r="M7953">
            <v>0</v>
          </cell>
          <cell r="P7953">
            <v>0</v>
          </cell>
        </row>
        <row r="7954">
          <cell r="K7954">
            <v>0</v>
          </cell>
          <cell r="M7954">
            <v>0</v>
          </cell>
          <cell r="P7954">
            <v>0</v>
          </cell>
        </row>
        <row r="7955">
          <cell r="K7955">
            <v>0</v>
          </cell>
          <cell r="M7955">
            <v>0</v>
          </cell>
          <cell r="P7955">
            <v>0</v>
          </cell>
        </row>
        <row r="7956">
          <cell r="K7956">
            <v>0</v>
          </cell>
          <cell r="M7956">
            <v>0</v>
          </cell>
          <cell r="P7956">
            <v>0</v>
          </cell>
        </row>
        <row r="7957">
          <cell r="K7957">
            <v>0</v>
          </cell>
          <cell r="M7957">
            <v>0</v>
          </cell>
          <cell r="P7957">
            <v>0</v>
          </cell>
        </row>
        <row r="7958">
          <cell r="K7958">
            <v>0</v>
          </cell>
          <cell r="M7958">
            <v>0</v>
          </cell>
          <cell r="P7958">
            <v>0</v>
          </cell>
        </row>
        <row r="7959">
          <cell r="K7959">
            <v>0</v>
          </cell>
          <cell r="M7959">
            <v>0</v>
          </cell>
          <cell r="P7959">
            <v>0</v>
          </cell>
        </row>
        <row r="7960">
          <cell r="K7960">
            <v>0</v>
          </cell>
          <cell r="M7960">
            <v>0</v>
          </cell>
          <cell r="P7960">
            <v>0</v>
          </cell>
        </row>
        <row r="7961">
          <cell r="K7961">
            <v>0</v>
          </cell>
          <cell r="M7961">
            <v>0</v>
          </cell>
          <cell r="P7961">
            <v>0</v>
          </cell>
        </row>
        <row r="7962">
          <cell r="K7962">
            <v>0</v>
          </cell>
          <cell r="M7962">
            <v>0</v>
          </cell>
          <cell r="P7962">
            <v>0</v>
          </cell>
        </row>
        <row r="7963">
          <cell r="K7963">
            <v>0</v>
          </cell>
          <cell r="M7963">
            <v>0</v>
          </cell>
          <cell r="P7963">
            <v>0</v>
          </cell>
        </row>
        <row r="7964">
          <cell r="K7964">
            <v>0</v>
          </cell>
          <cell r="M7964">
            <v>0</v>
          </cell>
          <cell r="P7964">
            <v>0</v>
          </cell>
        </row>
        <row r="7965">
          <cell r="K7965">
            <v>0</v>
          </cell>
          <cell r="M7965">
            <v>0</v>
          </cell>
          <cell r="P7965">
            <v>0</v>
          </cell>
        </row>
        <row r="7966">
          <cell r="K7966">
            <v>0</v>
          </cell>
          <cell r="M7966">
            <v>0</v>
          </cell>
          <cell r="P7966">
            <v>0</v>
          </cell>
        </row>
        <row r="7967">
          <cell r="K7967">
            <v>0</v>
          </cell>
          <cell r="M7967">
            <v>0</v>
          </cell>
          <cell r="P7967">
            <v>0</v>
          </cell>
        </row>
        <row r="7968">
          <cell r="K7968">
            <v>0</v>
          </cell>
          <cell r="M7968">
            <v>0</v>
          </cell>
          <cell r="P7968">
            <v>0</v>
          </cell>
        </row>
        <row r="7969">
          <cell r="K7969">
            <v>0</v>
          </cell>
          <cell r="M7969">
            <v>0</v>
          </cell>
          <cell r="P7969">
            <v>0</v>
          </cell>
        </row>
        <row r="7970">
          <cell r="K7970">
            <v>0</v>
          </cell>
          <cell r="M7970">
            <v>0</v>
          </cell>
          <cell r="P7970">
            <v>0</v>
          </cell>
        </row>
        <row r="7971">
          <cell r="K7971">
            <v>0</v>
          </cell>
          <cell r="M7971">
            <v>0</v>
          </cell>
          <cell r="P7971">
            <v>0</v>
          </cell>
        </row>
        <row r="7972">
          <cell r="K7972">
            <v>0</v>
          </cell>
          <cell r="M7972">
            <v>0</v>
          </cell>
          <cell r="P7972">
            <v>0</v>
          </cell>
        </row>
        <row r="7973">
          <cell r="K7973">
            <v>0</v>
          </cell>
          <cell r="M7973">
            <v>0</v>
          </cell>
          <cell r="P7973">
            <v>0</v>
          </cell>
        </row>
        <row r="7974">
          <cell r="K7974">
            <v>0</v>
          </cell>
          <cell r="M7974">
            <v>0</v>
          </cell>
          <cell r="P7974">
            <v>0</v>
          </cell>
        </row>
        <row r="7975">
          <cell r="K7975">
            <v>0</v>
          </cell>
          <cell r="M7975">
            <v>0</v>
          </cell>
          <cell r="P7975">
            <v>0</v>
          </cell>
        </row>
        <row r="7976">
          <cell r="K7976">
            <v>0</v>
          </cell>
          <cell r="M7976">
            <v>0</v>
          </cell>
          <cell r="P7976">
            <v>0</v>
          </cell>
        </row>
        <row r="7977">
          <cell r="K7977">
            <v>0</v>
          </cell>
          <cell r="M7977">
            <v>0</v>
          </cell>
          <cell r="P7977">
            <v>0</v>
          </cell>
        </row>
        <row r="7978">
          <cell r="K7978">
            <v>0</v>
          </cell>
          <cell r="M7978">
            <v>0</v>
          </cell>
          <cell r="P7978">
            <v>0</v>
          </cell>
        </row>
        <row r="7979">
          <cell r="K7979">
            <v>0</v>
          </cell>
          <cell r="M7979">
            <v>0</v>
          </cell>
          <cell r="P7979">
            <v>0</v>
          </cell>
        </row>
        <row r="7980">
          <cell r="K7980">
            <v>0</v>
          </cell>
          <cell r="M7980">
            <v>0</v>
          </cell>
          <cell r="P7980">
            <v>0</v>
          </cell>
        </row>
        <row r="7981">
          <cell r="K7981">
            <v>0</v>
          </cell>
          <cell r="M7981">
            <v>0</v>
          </cell>
          <cell r="P7981">
            <v>0</v>
          </cell>
        </row>
        <row r="7982">
          <cell r="K7982">
            <v>0</v>
          </cell>
          <cell r="M7982">
            <v>0</v>
          </cell>
          <cell r="P7982">
            <v>0</v>
          </cell>
        </row>
        <row r="7983">
          <cell r="K7983">
            <v>0</v>
          </cell>
          <cell r="M7983">
            <v>0</v>
          </cell>
          <cell r="P7983">
            <v>0</v>
          </cell>
        </row>
        <row r="7984">
          <cell r="K7984">
            <v>0</v>
          </cell>
          <cell r="M7984">
            <v>0</v>
          </cell>
          <cell r="P7984">
            <v>0</v>
          </cell>
        </row>
        <row r="7985">
          <cell r="K7985">
            <v>0</v>
          </cell>
          <cell r="M7985">
            <v>0</v>
          </cell>
          <cell r="P7985">
            <v>0</v>
          </cell>
        </row>
        <row r="7986">
          <cell r="K7986">
            <v>0</v>
          </cell>
          <cell r="M7986">
            <v>0</v>
          </cell>
          <cell r="P7986">
            <v>0</v>
          </cell>
        </row>
        <row r="7987">
          <cell r="K7987">
            <v>0</v>
          </cell>
          <cell r="M7987">
            <v>0</v>
          </cell>
          <cell r="P7987">
            <v>0</v>
          </cell>
        </row>
        <row r="7988">
          <cell r="K7988">
            <v>0</v>
          </cell>
          <cell r="M7988">
            <v>0</v>
          </cell>
          <cell r="P7988">
            <v>0</v>
          </cell>
        </row>
        <row r="7989">
          <cell r="K7989">
            <v>0</v>
          </cell>
          <cell r="M7989">
            <v>0</v>
          </cell>
          <cell r="P7989">
            <v>0</v>
          </cell>
        </row>
        <row r="7990">
          <cell r="K7990">
            <v>0</v>
          </cell>
          <cell r="M7990">
            <v>0</v>
          </cell>
          <cell r="P7990">
            <v>0</v>
          </cell>
        </row>
        <row r="7991">
          <cell r="K7991">
            <v>0</v>
          </cell>
          <cell r="M7991">
            <v>0</v>
          </cell>
          <cell r="P7991">
            <v>0</v>
          </cell>
        </row>
        <row r="7992">
          <cell r="K7992">
            <v>0</v>
          </cell>
          <cell r="M7992">
            <v>0</v>
          </cell>
          <cell r="P7992">
            <v>0</v>
          </cell>
        </row>
        <row r="7993">
          <cell r="K7993">
            <v>0</v>
          </cell>
          <cell r="M7993">
            <v>0</v>
          </cell>
          <cell r="P7993">
            <v>0</v>
          </cell>
        </row>
        <row r="7994">
          <cell r="K7994">
            <v>0</v>
          </cell>
          <cell r="M7994">
            <v>0</v>
          </cell>
          <cell r="P7994">
            <v>0</v>
          </cell>
        </row>
        <row r="7995">
          <cell r="K7995">
            <v>0</v>
          </cell>
          <cell r="M7995">
            <v>0</v>
          </cell>
          <cell r="P7995">
            <v>0</v>
          </cell>
        </row>
        <row r="7996">
          <cell r="K7996">
            <v>0</v>
          </cell>
          <cell r="M7996">
            <v>0</v>
          </cell>
          <cell r="P7996">
            <v>0</v>
          </cell>
        </row>
        <row r="7997">
          <cell r="K7997">
            <v>0</v>
          </cell>
          <cell r="M7997">
            <v>0</v>
          </cell>
          <cell r="P7997">
            <v>0</v>
          </cell>
        </row>
        <row r="7998">
          <cell r="K7998">
            <v>0</v>
          </cell>
          <cell r="M7998">
            <v>0</v>
          </cell>
          <cell r="P7998">
            <v>0</v>
          </cell>
        </row>
        <row r="7999">
          <cell r="K7999">
            <v>0</v>
          </cell>
          <cell r="M7999">
            <v>0</v>
          </cell>
          <cell r="P7999">
            <v>0</v>
          </cell>
        </row>
        <row r="8000">
          <cell r="K8000">
            <v>0</v>
          </cell>
          <cell r="M8000">
            <v>0</v>
          </cell>
          <cell r="P8000">
            <v>0</v>
          </cell>
        </row>
        <row r="8001">
          <cell r="K8001">
            <v>0</v>
          </cell>
          <cell r="M8001">
            <v>0</v>
          </cell>
          <cell r="P8001">
            <v>0</v>
          </cell>
        </row>
        <row r="8002">
          <cell r="K8002">
            <v>0</v>
          </cell>
          <cell r="M8002">
            <v>0</v>
          </cell>
          <cell r="P8002">
            <v>0</v>
          </cell>
        </row>
        <row r="8003">
          <cell r="K8003">
            <v>0</v>
          </cell>
          <cell r="M8003">
            <v>0</v>
          </cell>
          <cell r="P8003">
            <v>0</v>
          </cell>
        </row>
        <row r="8004">
          <cell r="K8004">
            <v>0</v>
          </cell>
          <cell r="M8004">
            <v>0</v>
          </cell>
          <cell r="P8004">
            <v>0</v>
          </cell>
        </row>
        <row r="8005">
          <cell r="K8005">
            <v>0</v>
          </cell>
          <cell r="M8005">
            <v>0</v>
          </cell>
          <cell r="P8005">
            <v>0</v>
          </cell>
        </row>
        <row r="8006">
          <cell r="K8006">
            <v>0</v>
          </cell>
          <cell r="M8006">
            <v>0</v>
          </cell>
          <cell r="P8006">
            <v>0</v>
          </cell>
        </row>
        <row r="8007">
          <cell r="K8007">
            <v>0</v>
          </cell>
          <cell r="M8007">
            <v>0</v>
          </cell>
          <cell r="P8007">
            <v>0</v>
          </cell>
        </row>
        <row r="8008">
          <cell r="K8008">
            <v>0</v>
          </cell>
          <cell r="M8008">
            <v>0</v>
          </cell>
          <cell r="P8008">
            <v>0</v>
          </cell>
        </row>
        <row r="8009">
          <cell r="K8009">
            <v>0</v>
          </cell>
          <cell r="M8009">
            <v>0</v>
          </cell>
          <cell r="P8009">
            <v>0</v>
          </cell>
        </row>
        <row r="8010">
          <cell r="K8010">
            <v>0</v>
          </cell>
          <cell r="M8010">
            <v>0</v>
          </cell>
          <cell r="P8010">
            <v>0</v>
          </cell>
        </row>
        <row r="8011">
          <cell r="K8011">
            <v>0</v>
          </cell>
          <cell r="M8011">
            <v>0</v>
          </cell>
          <cell r="P8011">
            <v>0</v>
          </cell>
        </row>
        <row r="8012">
          <cell r="K8012">
            <v>0</v>
          </cell>
          <cell r="M8012">
            <v>0</v>
          </cell>
          <cell r="P8012">
            <v>0</v>
          </cell>
        </row>
        <row r="8013">
          <cell r="K8013">
            <v>0</v>
          </cell>
          <cell r="M8013">
            <v>0</v>
          </cell>
          <cell r="P8013">
            <v>0</v>
          </cell>
        </row>
        <row r="8014">
          <cell r="K8014">
            <v>0</v>
          </cell>
          <cell r="M8014">
            <v>0</v>
          </cell>
          <cell r="P8014">
            <v>0</v>
          </cell>
        </row>
        <row r="8015">
          <cell r="K8015">
            <v>0</v>
          </cell>
          <cell r="M8015">
            <v>0</v>
          </cell>
          <cell r="P8015">
            <v>0</v>
          </cell>
        </row>
        <row r="8016">
          <cell r="K8016">
            <v>0</v>
          </cell>
          <cell r="M8016">
            <v>0</v>
          </cell>
          <cell r="P8016">
            <v>0</v>
          </cell>
        </row>
        <row r="8017">
          <cell r="K8017">
            <v>0</v>
          </cell>
          <cell r="M8017">
            <v>0</v>
          </cell>
          <cell r="P8017">
            <v>0</v>
          </cell>
        </row>
        <row r="8018">
          <cell r="K8018">
            <v>0</v>
          </cell>
          <cell r="M8018">
            <v>0</v>
          </cell>
          <cell r="P8018">
            <v>0</v>
          </cell>
        </row>
        <row r="8019">
          <cell r="K8019">
            <v>0</v>
          </cell>
          <cell r="M8019">
            <v>0</v>
          </cell>
          <cell r="P8019">
            <v>0</v>
          </cell>
        </row>
        <row r="8020">
          <cell r="K8020">
            <v>0</v>
          </cell>
          <cell r="M8020">
            <v>0</v>
          </cell>
          <cell r="P8020">
            <v>0</v>
          </cell>
        </row>
        <row r="8021">
          <cell r="K8021">
            <v>0</v>
          </cell>
          <cell r="M8021">
            <v>0</v>
          </cell>
          <cell r="P8021">
            <v>0</v>
          </cell>
        </row>
        <row r="8022">
          <cell r="K8022">
            <v>0</v>
          </cell>
          <cell r="M8022">
            <v>0</v>
          </cell>
          <cell r="P8022">
            <v>0</v>
          </cell>
        </row>
        <row r="8023">
          <cell r="K8023">
            <v>0</v>
          </cell>
          <cell r="M8023">
            <v>0</v>
          </cell>
          <cell r="P8023">
            <v>0</v>
          </cell>
        </row>
        <row r="8024">
          <cell r="K8024">
            <v>0</v>
          </cell>
          <cell r="M8024">
            <v>0</v>
          </cell>
          <cell r="P8024">
            <v>0</v>
          </cell>
        </row>
        <row r="8025">
          <cell r="K8025">
            <v>0</v>
          </cell>
          <cell r="M8025">
            <v>0</v>
          </cell>
          <cell r="P8025">
            <v>0</v>
          </cell>
        </row>
        <row r="8026">
          <cell r="K8026">
            <v>0</v>
          </cell>
          <cell r="M8026">
            <v>0</v>
          </cell>
          <cell r="P8026">
            <v>0</v>
          </cell>
        </row>
        <row r="8027">
          <cell r="K8027">
            <v>0</v>
          </cell>
          <cell r="M8027">
            <v>0</v>
          </cell>
          <cell r="P8027">
            <v>0</v>
          </cell>
        </row>
        <row r="8028">
          <cell r="K8028">
            <v>0</v>
          </cell>
          <cell r="M8028">
            <v>0</v>
          </cell>
          <cell r="P8028">
            <v>0</v>
          </cell>
        </row>
        <row r="8029">
          <cell r="K8029">
            <v>0</v>
          </cell>
          <cell r="M8029">
            <v>0</v>
          </cell>
          <cell r="P8029">
            <v>0</v>
          </cell>
        </row>
        <row r="8030">
          <cell r="K8030">
            <v>0</v>
          </cell>
          <cell r="M8030">
            <v>0</v>
          </cell>
          <cell r="P8030">
            <v>0</v>
          </cell>
        </row>
        <row r="8031">
          <cell r="K8031">
            <v>0</v>
          </cell>
          <cell r="M8031">
            <v>0</v>
          </cell>
          <cell r="P8031">
            <v>0</v>
          </cell>
        </row>
        <row r="8032">
          <cell r="K8032">
            <v>0</v>
          </cell>
          <cell r="M8032">
            <v>0</v>
          </cell>
          <cell r="P8032">
            <v>0</v>
          </cell>
        </row>
        <row r="8033">
          <cell r="K8033">
            <v>0</v>
          </cell>
          <cell r="M8033">
            <v>0</v>
          </cell>
          <cell r="P8033">
            <v>0</v>
          </cell>
        </row>
        <row r="8034">
          <cell r="K8034">
            <v>0</v>
          </cell>
          <cell r="M8034">
            <v>0</v>
          </cell>
          <cell r="P8034">
            <v>0</v>
          </cell>
        </row>
        <row r="8035">
          <cell r="K8035">
            <v>0</v>
          </cell>
          <cell r="M8035">
            <v>0</v>
          </cell>
          <cell r="P8035">
            <v>0</v>
          </cell>
        </row>
        <row r="8036">
          <cell r="K8036">
            <v>0</v>
          </cell>
          <cell r="M8036">
            <v>0</v>
          </cell>
          <cell r="P8036">
            <v>0</v>
          </cell>
        </row>
        <row r="8037">
          <cell r="K8037">
            <v>0</v>
          </cell>
          <cell r="M8037">
            <v>0</v>
          </cell>
          <cell r="P8037">
            <v>0</v>
          </cell>
        </row>
        <row r="8038">
          <cell r="K8038">
            <v>0</v>
          </cell>
          <cell r="M8038">
            <v>0</v>
          </cell>
          <cell r="P8038">
            <v>0</v>
          </cell>
        </row>
        <row r="8039">
          <cell r="K8039">
            <v>0</v>
          </cell>
          <cell r="M8039">
            <v>0</v>
          </cell>
          <cell r="P8039">
            <v>0</v>
          </cell>
        </row>
        <row r="8040">
          <cell r="K8040">
            <v>0</v>
          </cell>
          <cell r="M8040">
            <v>0</v>
          </cell>
          <cell r="P8040">
            <v>0</v>
          </cell>
        </row>
        <row r="8041">
          <cell r="K8041">
            <v>0</v>
          </cell>
          <cell r="M8041">
            <v>0</v>
          </cell>
          <cell r="P8041">
            <v>0</v>
          </cell>
        </row>
        <row r="8042">
          <cell r="K8042">
            <v>0</v>
          </cell>
          <cell r="M8042">
            <v>0</v>
          </cell>
          <cell r="P8042">
            <v>0</v>
          </cell>
        </row>
        <row r="8043">
          <cell r="K8043">
            <v>0</v>
          </cell>
          <cell r="M8043">
            <v>0</v>
          </cell>
          <cell r="P8043">
            <v>0</v>
          </cell>
        </row>
        <row r="8044">
          <cell r="K8044">
            <v>0</v>
          </cell>
          <cell r="M8044">
            <v>0</v>
          </cell>
          <cell r="P8044">
            <v>0</v>
          </cell>
        </row>
        <row r="8045">
          <cell r="K8045">
            <v>0</v>
          </cell>
          <cell r="M8045">
            <v>0</v>
          </cell>
          <cell r="P8045">
            <v>0</v>
          </cell>
        </row>
        <row r="8046">
          <cell r="K8046">
            <v>0</v>
          </cell>
          <cell r="M8046">
            <v>0</v>
          </cell>
          <cell r="P8046">
            <v>0</v>
          </cell>
        </row>
        <row r="8047">
          <cell r="K8047">
            <v>0</v>
          </cell>
          <cell r="M8047">
            <v>0</v>
          </cell>
          <cell r="P8047">
            <v>0</v>
          </cell>
        </row>
        <row r="8048">
          <cell r="K8048">
            <v>0</v>
          </cell>
          <cell r="M8048">
            <v>0</v>
          </cell>
          <cell r="P8048">
            <v>0</v>
          </cell>
        </row>
        <row r="8049">
          <cell r="K8049">
            <v>0</v>
          </cell>
          <cell r="M8049">
            <v>0</v>
          </cell>
          <cell r="P8049">
            <v>0</v>
          </cell>
        </row>
        <row r="8050">
          <cell r="K8050">
            <v>0</v>
          </cell>
          <cell r="M8050">
            <v>0</v>
          </cell>
          <cell r="P8050">
            <v>0</v>
          </cell>
        </row>
        <row r="8051">
          <cell r="K8051">
            <v>0</v>
          </cell>
          <cell r="M8051">
            <v>0</v>
          </cell>
          <cell r="P8051">
            <v>0</v>
          </cell>
        </row>
        <row r="8052">
          <cell r="K8052">
            <v>0</v>
          </cell>
          <cell r="M8052">
            <v>0</v>
          </cell>
          <cell r="P8052">
            <v>0</v>
          </cell>
        </row>
        <row r="8053">
          <cell r="K8053">
            <v>0</v>
          </cell>
          <cell r="M8053">
            <v>0</v>
          </cell>
          <cell r="P8053">
            <v>0</v>
          </cell>
        </row>
        <row r="8054">
          <cell r="K8054">
            <v>0</v>
          </cell>
          <cell r="M8054">
            <v>0</v>
          </cell>
          <cell r="P8054">
            <v>0</v>
          </cell>
        </row>
        <row r="8055">
          <cell r="K8055">
            <v>0</v>
          </cell>
          <cell r="M8055">
            <v>0</v>
          </cell>
          <cell r="P8055">
            <v>0</v>
          </cell>
        </row>
        <row r="8056">
          <cell r="K8056">
            <v>0</v>
          </cell>
          <cell r="M8056">
            <v>0</v>
          </cell>
          <cell r="P8056">
            <v>0</v>
          </cell>
        </row>
        <row r="8057">
          <cell r="K8057">
            <v>0</v>
          </cell>
          <cell r="M8057">
            <v>0</v>
          </cell>
          <cell r="P8057">
            <v>0</v>
          </cell>
        </row>
        <row r="8058">
          <cell r="K8058">
            <v>0</v>
          </cell>
          <cell r="M8058">
            <v>0</v>
          </cell>
          <cell r="P8058">
            <v>0</v>
          </cell>
        </row>
        <row r="8059">
          <cell r="K8059">
            <v>0</v>
          </cell>
          <cell r="M8059">
            <v>0</v>
          </cell>
          <cell r="P8059">
            <v>0</v>
          </cell>
        </row>
        <row r="8060">
          <cell r="K8060">
            <v>0</v>
          </cell>
          <cell r="M8060">
            <v>0</v>
          </cell>
          <cell r="P8060">
            <v>0</v>
          </cell>
        </row>
        <row r="8061">
          <cell r="K8061">
            <v>0</v>
          </cell>
          <cell r="M8061">
            <v>0</v>
          </cell>
          <cell r="P8061">
            <v>0</v>
          </cell>
        </row>
        <row r="8062">
          <cell r="K8062">
            <v>0</v>
          </cell>
          <cell r="M8062">
            <v>0</v>
          </cell>
          <cell r="P8062">
            <v>0</v>
          </cell>
        </row>
        <row r="8063">
          <cell r="K8063">
            <v>0</v>
          </cell>
          <cell r="M8063">
            <v>0</v>
          </cell>
          <cell r="P8063">
            <v>0</v>
          </cell>
        </row>
        <row r="8064">
          <cell r="K8064">
            <v>0</v>
          </cell>
          <cell r="M8064">
            <v>0</v>
          </cell>
          <cell r="P8064">
            <v>0</v>
          </cell>
        </row>
        <row r="8065">
          <cell r="K8065">
            <v>0</v>
          </cell>
          <cell r="M8065">
            <v>0</v>
          </cell>
          <cell r="P8065">
            <v>0</v>
          </cell>
        </row>
        <row r="8066">
          <cell r="K8066">
            <v>0</v>
          </cell>
          <cell r="M8066">
            <v>0</v>
          </cell>
          <cell r="P8066">
            <v>0</v>
          </cell>
        </row>
        <row r="8067">
          <cell r="K8067">
            <v>0</v>
          </cell>
          <cell r="M8067">
            <v>0</v>
          </cell>
          <cell r="P8067">
            <v>0</v>
          </cell>
        </row>
        <row r="8068">
          <cell r="K8068">
            <v>0</v>
          </cell>
          <cell r="M8068">
            <v>0</v>
          </cell>
          <cell r="P8068">
            <v>0</v>
          </cell>
        </row>
        <row r="8069">
          <cell r="K8069">
            <v>0</v>
          </cell>
          <cell r="M8069">
            <v>0</v>
          </cell>
          <cell r="P8069">
            <v>0</v>
          </cell>
        </row>
        <row r="8070">
          <cell r="K8070">
            <v>0</v>
          </cell>
          <cell r="M8070">
            <v>0</v>
          </cell>
          <cell r="P8070">
            <v>0</v>
          </cell>
        </row>
        <row r="8071">
          <cell r="K8071">
            <v>0</v>
          </cell>
          <cell r="M8071">
            <v>0</v>
          </cell>
          <cell r="P8071">
            <v>0</v>
          </cell>
        </row>
        <row r="8072">
          <cell r="K8072">
            <v>0</v>
          </cell>
          <cell r="M8072">
            <v>0</v>
          </cell>
          <cell r="P8072">
            <v>0</v>
          </cell>
        </row>
        <row r="8073">
          <cell r="K8073">
            <v>0</v>
          </cell>
          <cell r="M8073">
            <v>0</v>
          </cell>
          <cell r="P8073">
            <v>0</v>
          </cell>
        </row>
        <row r="8074">
          <cell r="K8074">
            <v>0</v>
          </cell>
          <cell r="M8074">
            <v>0</v>
          </cell>
          <cell r="P8074">
            <v>0</v>
          </cell>
        </row>
        <row r="8075">
          <cell r="K8075">
            <v>0</v>
          </cell>
          <cell r="M8075">
            <v>0</v>
          </cell>
          <cell r="P8075">
            <v>0</v>
          </cell>
        </row>
        <row r="8076">
          <cell r="K8076">
            <v>0</v>
          </cell>
          <cell r="M8076">
            <v>0</v>
          </cell>
          <cell r="P8076">
            <v>0</v>
          </cell>
        </row>
        <row r="8077">
          <cell r="K8077">
            <v>0</v>
          </cell>
          <cell r="M8077">
            <v>0</v>
          </cell>
          <cell r="P8077">
            <v>0</v>
          </cell>
        </row>
        <row r="8078">
          <cell r="K8078">
            <v>0</v>
          </cell>
          <cell r="M8078">
            <v>0</v>
          </cell>
          <cell r="P8078">
            <v>0</v>
          </cell>
        </row>
        <row r="8079">
          <cell r="K8079">
            <v>0</v>
          </cell>
          <cell r="M8079">
            <v>0</v>
          </cell>
          <cell r="P8079">
            <v>0</v>
          </cell>
        </row>
        <row r="8080">
          <cell r="K8080">
            <v>0</v>
          </cell>
          <cell r="M8080">
            <v>0</v>
          </cell>
          <cell r="P8080">
            <v>0</v>
          </cell>
        </row>
        <row r="8081">
          <cell r="K8081">
            <v>0</v>
          </cell>
          <cell r="M8081">
            <v>0</v>
          </cell>
          <cell r="P8081">
            <v>0</v>
          </cell>
        </row>
        <row r="8082">
          <cell r="K8082">
            <v>0</v>
          </cell>
          <cell r="M8082">
            <v>0</v>
          </cell>
          <cell r="P8082">
            <v>0</v>
          </cell>
        </row>
        <row r="8083">
          <cell r="K8083">
            <v>0</v>
          </cell>
          <cell r="M8083">
            <v>0</v>
          </cell>
          <cell r="P8083">
            <v>0</v>
          </cell>
        </row>
        <row r="8084">
          <cell r="K8084">
            <v>0</v>
          </cell>
          <cell r="M8084">
            <v>0</v>
          </cell>
          <cell r="P8084">
            <v>0</v>
          </cell>
        </row>
        <row r="8085">
          <cell r="K8085">
            <v>0</v>
          </cell>
          <cell r="M8085">
            <v>0</v>
          </cell>
          <cell r="P8085">
            <v>0</v>
          </cell>
        </row>
        <row r="8086">
          <cell r="K8086">
            <v>0</v>
          </cell>
          <cell r="M8086">
            <v>0</v>
          </cell>
          <cell r="P8086">
            <v>0</v>
          </cell>
        </row>
        <row r="8087">
          <cell r="K8087">
            <v>0</v>
          </cell>
          <cell r="M8087">
            <v>0</v>
          </cell>
          <cell r="P8087">
            <v>0</v>
          </cell>
        </row>
        <row r="8088">
          <cell r="K8088">
            <v>0</v>
          </cell>
          <cell r="M8088">
            <v>0</v>
          </cell>
          <cell r="P8088">
            <v>0</v>
          </cell>
        </row>
        <row r="8089">
          <cell r="K8089">
            <v>0</v>
          </cell>
          <cell r="M8089">
            <v>0</v>
          </cell>
          <cell r="P8089">
            <v>0</v>
          </cell>
        </row>
        <row r="8090">
          <cell r="K8090">
            <v>0</v>
          </cell>
          <cell r="M8090">
            <v>0</v>
          </cell>
          <cell r="P8090">
            <v>0</v>
          </cell>
        </row>
        <row r="8091">
          <cell r="K8091">
            <v>0</v>
          </cell>
          <cell r="M8091">
            <v>0</v>
          </cell>
          <cell r="P8091">
            <v>0</v>
          </cell>
        </row>
        <row r="8092">
          <cell r="K8092">
            <v>0</v>
          </cell>
          <cell r="M8092">
            <v>0</v>
          </cell>
          <cell r="P8092">
            <v>0</v>
          </cell>
        </row>
        <row r="8093">
          <cell r="K8093">
            <v>0</v>
          </cell>
          <cell r="M8093">
            <v>0</v>
          </cell>
          <cell r="P8093">
            <v>0</v>
          </cell>
        </row>
        <row r="8094">
          <cell r="K8094">
            <v>0</v>
          </cell>
          <cell r="M8094">
            <v>0</v>
          </cell>
          <cell r="P8094">
            <v>0</v>
          </cell>
        </row>
        <row r="8095">
          <cell r="K8095">
            <v>0</v>
          </cell>
          <cell r="M8095">
            <v>0</v>
          </cell>
          <cell r="P8095">
            <v>0</v>
          </cell>
        </row>
        <row r="8096">
          <cell r="K8096">
            <v>0</v>
          </cell>
          <cell r="M8096">
            <v>0</v>
          </cell>
          <cell r="P8096">
            <v>0</v>
          </cell>
        </row>
        <row r="8097">
          <cell r="K8097">
            <v>0</v>
          </cell>
          <cell r="M8097">
            <v>0</v>
          </cell>
          <cell r="P8097">
            <v>0</v>
          </cell>
        </row>
        <row r="8098">
          <cell r="K8098">
            <v>0</v>
          </cell>
          <cell r="M8098">
            <v>0</v>
          </cell>
          <cell r="P8098">
            <v>0</v>
          </cell>
        </row>
        <row r="8099">
          <cell r="K8099">
            <v>0</v>
          </cell>
          <cell r="M8099">
            <v>0</v>
          </cell>
          <cell r="P8099">
            <v>0</v>
          </cell>
        </row>
        <row r="8100">
          <cell r="K8100">
            <v>0</v>
          </cell>
          <cell r="M8100">
            <v>0</v>
          </cell>
          <cell r="P8100">
            <v>0</v>
          </cell>
        </row>
        <row r="8101">
          <cell r="K8101">
            <v>0</v>
          </cell>
          <cell r="M8101">
            <v>0</v>
          </cell>
          <cell r="P8101">
            <v>0</v>
          </cell>
        </row>
        <row r="8102">
          <cell r="K8102">
            <v>0</v>
          </cell>
          <cell r="M8102">
            <v>0</v>
          </cell>
          <cell r="P8102">
            <v>0</v>
          </cell>
        </row>
        <row r="8103">
          <cell r="K8103">
            <v>0</v>
          </cell>
          <cell r="M8103">
            <v>0</v>
          </cell>
          <cell r="P8103">
            <v>0</v>
          </cell>
        </row>
        <row r="8104">
          <cell r="K8104">
            <v>0</v>
          </cell>
          <cell r="M8104">
            <v>0</v>
          </cell>
          <cell r="P8104">
            <v>0</v>
          </cell>
        </row>
        <row r="8105">
          <cell r="K8105">
            <v>0</v>
          </cell>
          <cell r="M8105">
            <v>0</v>
          </cell>
          <cell r="P8105">
            <v>0</v>
          </cell>
        </row>
        <row r="8106">
          <cell r="K8106">
            <v>0</v>
          </cell>
          <cell r="M8106">
            <v>0</v>
          </cell>
          <cell r="P8106">
            <v>0</v>
          </cell>
        </row>
        <row r="8107">
          <cell r="K8107">
            <v>0</v>
          </cell>
          <cell r="M8107">
            <v>0</v>
          </cell>
          <cell r="P8107">
            <v>0</v>
          </cell>
        </row>
        <row r="8108">
          <cell r="K8108">
            <v>0</v>
          </cell>
          <cell r="M8108">
            <v>0</v>
          </cell>
          <cell r="P8108">
            <v>0</v>
          </cell>
        </row>
        <row r="8109">
          <cell r="K8109">
            <v>0</v>
          </cell>
          <cell r="M8109">
            <v>0</v>
          </cell>
          <cell r="P8109">
            <v>0</v>
          </cell>
        </row>
        <row r="8110">
          <cell r="K8110">
            <v>0</v>
          </cell>
          <cell r="M8110">
            <v>0</v>
          </cell>
          <cell r="P8110">
            <v>0</v>
          </cell>
        </row>
        <row r="8111">
          <cell r="K8111">
            <v>0</v>
          </cell>
          <cell r="M8111">
            <v>0</v>
          </cell>
          <cell r="P8111">
            <v>0</v>
          </cell>
        </row>
        <row r="8112">
          <cell r="K8112">
            <v>0</v>
          </cell>
          <cell r="M8112">
            <v>0</v>
          </cell>
          <cell r="P8112">
            <v>0</v>
          </cell>
        </row>
        <row r="8113">
          <cell r="K8113">
            <v>0</v>
          </cell>
          <cell r="M8113">
            <v>0</v>
          </cell>
          <cell r="P8113">
            <v>0</v>
          </cell>
        </row>
        <row r="8114">
          <cell r="K8114">
            <v>0</v>
          </cell>
          <cell r="M8114">
            <v>0</v>
          </cell>
          <cell r="P8114">
            <v>0</v>
          </cell>
        </row>
        <row r="8115">
          <cell r="K8115">
            <v>0</v>
          </cell>
          <cell r="M8115">
            <v>0</v>
          </cell>
          <cell r="P8115">
            <v>0</v>
          </cell>
        </row>
        <row r="8116">
          <cell r="K8116">
            <v>0</v>
          </cell>
          <cell r="M8116">
            <v>0</v>
          </cell>
          <cell r="P8116">
            <v>0</v>
          </cell>
        </row>
        <row r="8117">
          <cell r="K8117">
            <v>0</v>
          </cell>
          <cell r="M8117">
            <v>0</v>
          </cell>
          <cell r="P8117">
            <v>0</v>
          </cell>
        </row>
        <row r="8118">
          <cell r="K8118">
            <v>0</v>
          </cell>
          <cell r="M8118">
            <v>0</v>
          </cell>
          <cell r="P8118">
            <v>0</v>
          </cell>
        </row>
        <row r="8119">
          <cell r="K8119">
            <v>0</v>
          </cell>
          <cell r="M8119">
            <v>0</v>
          </cell>
          <cell r="P8119">
            <v>0</v>
          </cell>
        </row>
        <row r="8120">
          <cell r="K8120">
            <v>0</v>
          </cell>
          <cell r="M8120">
            <v>0</v>
          </cell>
          <cell r="P8120">
            <v>0</v>
          </cell>
        </row>
        <row r="8121">
          <cell r="K8121">
            <v>0</v>
          </cell>
          <cell r="M8121">
            <v>0</v>
          </cell>
          <cell r="P8121">
            <v>0</v>
          </cell>
        </row>
        <row r="8122">
          <cell r="K8122">
            <v>0</v>
          </cell>
          <cell r="M8122">
            <v>0</v>
          </cell>
          <cell r="P8122">
            <v>0</v>
          </cell>
        </row>
        <row r="8123">
          <cell r="K8123">
            <v>0</v>
          </cell>
          <cell r="M8123">
            <v>0</v>
          </cell>
          <cell r="P8123">
            <v>0</v>
          </cell>
        </row>
        <row r="8124">
          <cell r="K8124">
            <v>0</v>
          </cell>
          <cell r="M8124">
            <v>0</v>
          </cell>
          <cell r="P8124">
            <v>0</v>
          </cell>
        </row>
        <row r="8125">
          <cell r="K8125">
            <v>0</v>
          </cell>
          <cell r="M8125">
            <v>0</v>
          </cell>
          <cell r="P8125">
            <v>0</v>
          </cell>
        </row>
        <row r="8126">
          <cell r="K8126">
            <v>0</v>
          </cell>
          <cell r="M8126">
            <v>0</v>
          </cell>
          <cell r="P8126">
            <v>0</v>
          </cell>
        </row>
        <row r="8127">
          <cell r="K8127">
            <v>0</v>
          </cell>
          <cell r="M8127">
            <v>0</v>
          </cell>
          <cell r="P8127">
            <v>0</v>
          </cell>
        </row>
        <row r="8128">
          <cell r="K8128">
            <v>0</v>
          </cell>
          <cell r="M8128">
            <v>0</v>
          </cell>
          <cell r="P8128">
            <v>0</v>
          </cell>
        </row>
        <row r="8129">
          <cell r="K8129">
            <v>0</v>
          </cell>
          <cell r="M8129">
            <v>0</v>
          </cell>
          <cell r="P8129">
            <v>0</v>
          </cell>
        </row>
        <row r="8130">
          <cell r="K8130">
            <v>0</v>
          </cell>
          <cell r="M8130">
            <v>0</v>
          </cell>
          <cell r="P8130">
            <v>0</v>
          </cell>
        </row>
        <row r="8131">
          <cell r="K8131">
            <v>0</v>
          </cell>
          <cell r="M8131">
            <v>0</v>
          </cell>
          <cell r="P8131">
            <v>0</v>
          </cell>
        </row>
        <row r="8132">
          <cell r="K8132">
            <v>0</v>
          </cell>
          <cell r="M8132">
            <v>0</v>
          </cell>
          <cell r="P8132">
            <v>0</v>
          </cell>
        </row>
        <row r="8133">
          <cell r="K8133">
            <v>0</v>
          </cell>
          <cell r="M8133">
            <v>0</v>
          </cell>
          <cell r="P8133">
            <v>0</v>
          </cell>
        </row>
        <row r="8134">
          <cell r="K8134">
            <v>0</v>
          </cell>
          <cell r="M8134">
            <v>0</v>
          </cell>
          <cell r="P8134">
            <v>0</v>
          </cell>
        </row>
        <row r="8135">
          <cell r="K8135">
            <v>0</v>
          </cell>
          <cell r="M8135">
            <v>0</v>
          </cell>
          <cell r="P8135">
            <v>0</v>
          </cell>
        </row>
        <row r="8136">
          <cell r="K8136">
            <v>0</v>
          </cell>
          <cell r="M8136">
            <v>0</v>
          </cell>
          <cell r="P8136">
            <v>0</v>
          </cell>
        </row>
        <row r="8137">
          <cell r="K8137">
            <v>0</v>
          </cell>
          <cell r="M8137">
            <v>0</v>
          </cell>
          <cell r="P8137">
            <v>0</v>
          </cell>
        </row>
        <row r="8138">
          <cell r="K8138">
            <v>0</v>
          </cell>
          <cell r="M8138">
            <v>0</v>
          </cell>
          <cell r="P8138">
            <v>0</v>
          </cell>
        </row>
        <row r="8139">
          <cell r="K8139">
            <v>0</v>
          </cell>
          <cell r="M8139">
            <v>0</v>
          </cell>
          <cell r="P8139">
            <v>0</v>
          </cell>
        </row>
        <row r="8140">
          <cell r="K8140">
            <v>0</v>
          </cell>
          <cell r="M8140">
            <v>0</v>
          </cell>
          <cell r="P8140">
            <v>0</v>
          </cell>
        </row>
        <row r="8141">
          <cell r="K8141">
            <v>0</v>
          </cell>
          <cell r="M8141">
            <v>0</v>
          </cell>
          <cell r="P8141">
            <v>0</v>
          </cell>
        </row>
        <row r="8142">
          <cell r="K8142">
            <v>0</v>
          </cell>
          <cell r="M8142">
            <v>0</v>
          </cell>
          <cell r="P8142">
            <v>0</v>
          </cell>
        </row>
        <row r="8143">
          <cell r="K8143">
            <v>0</v>
          </cell>
          <cell r="M8143">
            <v>0</v>
          </cell>
          <cell r="P8143">
            <v>0</v>
          </cell>
        </row>
        <row r="8144">
          <cell r="K8144">
            <v>0</v>
          </cell>
          <cell r="M8144">
            <v>0</v>
          </cell>
          <cell r="P8144">
            <v>0</v>
          </cell>
        </row>
        <row r="8145">
          <cell r="K8145">
            <v>0</v>
          </cell>
          <cell r="M8145">
            <v>0</v>
          </cell>
          <cell r="P8145">
            <v>0</v>
          </cell>
        </row>
        <row r="8146">
          <cell r="K8146">
            <v>0</v>
          </cell>
          <cell r="M8146">
            <v>0</v>
          </cell>
          <cell r="P8146">
            <v>0</v>
          </cell>
        </row>
        <row r="8147">
          <cell r="K8147">
            <v>0</v>
          </cell>
          <cell r="M8147">
            <v>0</v>
          </cell>
          <cell r="P8147">
            <v>0</v>
          </cell>
        </row>
        <row r="8148">
          <cell r="K8148">
            <v>0</v>
          </cell>
          <cell r="M8148">
            <v>0</v>
          </cell>
          <cell r="P8148">
            <v>0</v>
          </cell>
        </row>
        <row r="8149">
          <cell r="K8149">
            <v>0</v>
          </cell>
          <cell r="M8149">
            <v>0</v>
          </cell>
          <cell r="P8149">
            <v>0</v>
          </cell>
        </row>
        <row r="8150">
          <cell r="K8150">
            <v>0</v>
          </cell>
          <cell r="M8150">
            <v>0</v>
          </cell>
          <cell r="P8150">
            <v>0</v>
          </cell>
        </row>
        <row r="8151">
          <cell r="K8151">
            <v>0</v>
          </cell>
          <cell r="M8151">
            <v>0</v>
          </cell>
          <cell r="P8151">
            <v>0</v>
          </cell>
        </row>
        <row r="8152">
          <cell r="K8152">
            <v>0</v>
          </cell>
          <cell r="M8152">
            <v>0</v>
          </cell>
          <cell r="P8152">
            <v>0</v>
          </cell>
        </row>
        <row r="8153">
          <cell r="K8153">
            <v>0</v>
          </cell>
          <cell r="M8153">
            <v>0</v>
          </cell>
          <cell r="P8153">
            <v>0</v>
          </cell>
        </row>
        <row r="8154">
          <cell r="K8154">
            <v>0</v>
          </cell>
          <cell r="M8154">
            <v>0</v>
          </cell>
          <cell r="P8154">
            <v>0</v>
          </cell>
        </row>
        <row r="8155">
          <cell r="K8155">
            <v>0</v>
          </cell>
          <cell r="M8155">
            <v>0</v>
          </cell>
          <cell r="P8155">
            <v>0</v>
          </cell>
        </row>
        <row r="8156">
          <cell r="K8156">
            <v>0</v>
          </cell>
          <cell r="M8156">
            <v>0</v>
          </cell>
          <cell r="P8156">
            <v>0</v>
          </cell>
        </row>
        <row r="8157">
          <cell r="K8157">
            <v>0</v>
          </cell>
          <cell r="M8157">
            <v>0</v>
          </cell>
          <cell r="P8157">
            <v>0</v>
          </cell>
        </row>
        <row r="8158">
          <cell r="K8158">
            <v>0</v>
          </cell>
          <cell r="M8158">
            <v>0</v>
          </cell>
          <cell r="P8158">
            <v>0</v>
          </cell>
        </row>
        <row r="8159">
          <cell r="K8159">
            <v>0</v>
          </cell>
          <cell r="M8159">
            <v>0</v>
          </cell>
          <cell r="P8159">
            <v>0</v>
          </cell>
        </row>
        <row r="8160">
          <cell r="K8160">
            <v>0</v>
          </cell>
          <cell r="M8160">
            <v>0</v>
          </cell>
          <cell r="P8160">
            <v>0</v>
          </cell>
        </row>
        <row r="8161">
          <cell r="K8161">
            <v>0</v>
          </cell>
          <cell r="M8161">
            <v>0</v>
          </cell>
          <cell r="P8161">
            <v>0</v>
          </cell>
        </row>
        <row r="8162">
          <cell r="K8162">
            <v>0</v>
          </cell>
          <cell r="M8162">
            <v>0</v>
          </cell>
          <cell r="P8162">
            <v>0</v>
          </cell>
        </row>
        <row r="8163">
          <cell r="K8163">
            <v>0</v>
          </cell>
          <cell r="M8163">
            <v>0</v>
          </cell>
          <cell r="P8163">
            <v>0</v>
          </cell>
        </row>
        <row r="8164">
          <cell r="K8164">
            <v>0</v>
          </cell>
          <cell r="M8164">
            <v>0</v>
          </cell>
          <cell r="P8164">
            <v>0</v>
          </cell>
        </row>
        <row r="8165">
          <cell r="K8165">
            <v>0</v>
          </cell>
          <cell r="M8165">
            <v>0</v>
          </cell>
          <cell r="P8165">
            <v>0</v>
          </cell>
        </row>
        <row r="8166">
          <cell r="K8166">
            <v>0</v>
          </cell>
          <cell r="M8166">
            <v>0</v>
          </cell>
          <cell r="P8166">
            <v>0</v>
          </cell>
        </row>
        <row r="8167">
          <cell r="K8167">
            <v>0</v>
          </cell>
          <cell r="M8167">
            <v>0</v>
          </cell>
          <cell r="P8167">
            <v>0</v>
          </cell>
        </row>
        <row r="8168">
          <cell r="K8168">
            <v>0</v>
          </cell>
          <cell r="M8168">
            <v>0</v>
          </cell>
          <cell r="P8168">
            <v>0</v>
          </cell>
        </row>
        <row r="8169">
          <cell r="K8169">
            <v>0</v>
          </cell>
          <cell r="M8169">
            <v>0</v>
          </cell>
          <cell r="P8169">
            <v>0</v>
          </cell>
        </row>
        <row r="8170">
          <cell r="K8170">
            <v>0</v>
          </cell>
          <cell r="M8170">
            <v>0</v>
          </cell>
          <cell r="P8170">
            <v>0</v>
          </cell>
        </row>
        <row r="8171">
          <cell r="K8171">
            <v>0</v>
          </cell>
          <cell r="M8171">
            <v>0</v>
          </cell>
          <cell r="P8171">
            <v>0</v>
          </cell>
        </row>
        <row r="8172">
          <cell r="K8172">
            <v>0</v>
          </cell>
          <cell r="M8172">
            <v>0</v>
          </cell>
          <cell r="P8172">
            <v>0</v>
          </cell>
        </row>
        <row r="8173">
          <cell r="K8173">
            <v>0</v>
          </cell>
          <cell r="M8173">
            <v>0</v>
          </cell>
          <cell r="P8173">
            <v>0</v>
          </cell>
        </row>
        <row r="8174">
          <cell r="K8174">
            <v>0</v>
          </cell>
          <cell r="M8174">
            <v>0</v>
          </cell>
          <cell r="P8174">
            <v>0</v>
          </cell>
        </row>
        <row r="8175">
          <cell r="K8175">
            <v>0</v>
          </cell>
          <cell r="M8175">
            <v>0</v>
          </cell>
          <cell r="P8175">
            <v>0</v>
          </cell>
        </row>
        <row r="8176">
          <cell r="K8176">
            <v>0</v>
          </cell>
          <cell r="M8176">
            <v>0</v>
          </cell>
          <cell r="P8176">
            <v>0</v>
          </cell>
        </row>
        <row r="8177">
          <cell r="K8177">
            <v>0</v>
          </cell>
          <cell r="M8177">
            <v>0</v>
          </cell>
          <cell r="P8177">
            <v>0</v>
          </cell>
        </row>
        <row r="8178">
          <cell r="K8178">
            <v>0</v>
          </cell>
          <cell r="M8178">
            <v>0</v>
          </cell>
          <cell r="P8178">
            <v>0</v>
          </cell>
        </row>
        <row r="8179">
          <cell r="K8179">
            <v>0</v>
          </cell>
          <cell r="M8179">
            <v>0</v>
          </cell>
          <cell r="P8179">
            <v>0</v>
          </cell>
        </row>
        <row r="8180">
          <cell r="K8180">
            <v>0</v>
          </cell>
          <cell r="M8180">
            <v>0</v>
          </cell>
          <cell r="P8180">
            <v>0</v>
          </cell>
        </row>
        <row r="8181">
          <cell r="K8181">
            <v>0</v>
          </cell>
          <cell r="M8181">
            <v>0</v>
          </cell>
          <cell r="P8181">
            <v>0</v>
          </cell>
        </row>
        <row r="8182">
          <cell r="K8182">
            <v>0</v>
          </cell>
          <cell r="M8182">
            <v>0</v>
          </cell>
          <cell r="P8182">
            <v>0</v>
          </cell>
        </row>
        <row r="8183">
          <cell r="K8183">
            <v>0</v>
          </cell>
          <cell r="M8183">
            <v>0</v>
          </cell>
          <cell r="P8183">
            <v>0</v>
          </cell>
        </row>
        <row r="8184">
          <cell r="K8184">
            <v>0</v>
          </cell>
          <cell r="M8184">
            <v>0</v>
          </cell>
          <cell r="P8184">
            <v>0</v>
          </cell>
        </row>
        <row r="8185">
          <cell r="K8185">
            <v>0</v>
          </cell>
          <cell r="M8185">
            <v>0</v>
          </cell>
          <cell r="P8185">
            <v>0</v>
          </cell>
        </row>
        <row r="8186">
          <cell r="K8186">
            <v>0</v>
          </cell>
          <cell r="M8186">
            <v>0</v>
          </cell>
          <cell r="P8186">
            <v>0</v>
          </cell>
        </row>
        <row r="8187">
          <cell r="K8187">
            <v>0</v>
          </cell>
          <cell r="M8187">
            <v>0</v>
          </cell>
          <cell r="P8187">
            <v>0</v>
          </cell>
        </row>
        <row r="8188">
          <cell r="K8188">
            <v>0</v>
          </cell>
          <cell r="M8188">
            <v>0</v>
          </cell>
          <cell r="P8188">
            <v>0</v>
          </cell>
        </row>
        <row r="8189">
          <cell r="K8189">
            <v>0</v>
          </cell>
          <cell r="M8189">
            <v>0</v>
          </cell>
          <cell r="P8189">
            <v>0</v>
          </cell>
        </row>
        <row r="8190">
          <cell r="K8190">
            <v>0</v>
          </cell>
          <cell r="M8190">
            <v>0</v>
          </cell>
          <cell r="P8190">
            <v>0</v>
          </cell>
        </row>
        <row r="8191">
          <cell r="K8191">
            <v>0</v>
          </cell>
          <cell r="M8191">
            <v>0</v>
          </cell>
          <cell r="P8191">
            <v>0</v>
          </cell>
        </row>
        <row r="8192">
          <cell r="K8192">
            <v>0</v>
          </cell>
          <cell r="M8192">
            <v>0</v>
          </cell>
          <cell r="P8192">
            <v>0</v>
          </cell>
        </row>
        <row r="8193">
          <cell r="K8193">
            <v>0</v>
          </cell>
          <cell r="M8193">
            <v>0</v>
          </cell>
          <cell r="P8193">
            <v>0</v>
          </cell>
        </row>
        <row r="8194">
          <cell r="K8194">
            <v>0</v>
          </cell>
          <cell r="M8194">
            <v>0</v>
          </cell>
          <cell r="P8194">
            <v>0</v>
          </cell>
        </row>
        <row r="8195">
          <cell r="K8195">
            <v>0</v>
          </cell>
          <cell r="M8195">
            <v>0</v>
          </cell>
          <cell r="P8195">
            <v>0</v>
          </cell>
        </row>
        <row r="8196">
          <cell r="K8196">
            <v>0</v>
          </cell>
          <cell r="M8196">
            <v>0</v>
          </cell>
          <cell r="P8196">
            <v>0</v>
          </cell>
        </row>
        <row r="8197">
          <cell r="K8197">
            <v>0</v>
          </cell>
          <cell r="M8197">
            <v>0</v>
          </cell>
          <cell r="P8197">
            <v>0</v>
          </cell>
        </row>
        <row r="8198">
          <cell r="K8198">
            <v>0</v>
          </cell>
          <cell r="M8198">
            <v>0</v>
          </cell>
          <cell r="P8198">
            <v>0</v>
          </cell>
        </row>
        <row r="8199">
          <cell r="K8199">
            <v>0</v>
          </cell>
          <cell r="M8199">
            <v>0</v>
          </cell>
          <cell r="P8199">
            <v>0</v>
          </cell>
        </row>
        <row r="8200">
          <cell r="K8200">
            <v>0</v>
          </cell>
          <cell r="M8200">
            <v>0</v>
          </cell>
          <cell r="P8200">
            <v>0</v>
          </cell>
        </row>
        <row r="8201">
          <cell r="K8201">
            <v>0</v>
          </cell>
          <cell r="M8201">
            <v>0</v>
          </cell>
          <cell r="P8201">
            <v>0</v>
          </cell>
        </row>
        <row r="8202">
          <cell r="K8202">
            <v>0</v>
          </cell>
          <cell r="M8202">
            <v>0</v>
          </cell>
          <cell r="P8202">
            <v>0</v>
          </cell>
        </row>
        <row r="8203">
          <cell r="K8203">
            <v>0</v>
          </cell>
          <cell r="M8203">
            <v>0</v>
          </cell>
          <cell r="P8203">
            <v>0</v>
          </cell>
        </row>
        <row r="8204">
          <cell r="K8204">
            <v>0</v>
          </cell>
          <cell r="M8204">
            <v>0</v>
          </cell>
          <cell r="P8204">
            <v>0</v>
          </cell>
        </row>
        <row r="8205">
          <cell r="K8205">
            <v>0</v>
          </cell>
          <cell r="M8205">
            <v>0</v>
          </cell>
          <cell r="P8205">
            <v>0</v>
          </cell>
        </row>
        <row r="8206">
          <cell r="K8206">
            <v>0</v>
          </cell>
          <cell r="M8206">
            <v>0</v>
          </cell>
          <cell r="P8206">
            <v>0</v>
          </cell>
        </row>
        <row r="8207">
          <cell r="K8207">
            <v>0</v>
          </cell>
          <cell r="M8207">
            <v>0</v>
          </cell>
          <cell r="P8207">
            <v>0</v>
          </cell>
        </row>
        <row r="8208">
          <cell r="K8208">
            <v>0</v>
          </cell>
          <cell r="M8208">
            <v>0</v>
          </cell>
          <cell r="P8208">
            <v>0</v>
          </cell>
        </row>
        <row r="8209">
          <cell r="K8209">
            <v>0</v>
          </cell>
          <cell r="M8209">
            <v>0</v>
          </cell>
          <cell r="P8209">
            <v>0</v>
          </cell>
        </row>
        <row r="8210">
          <cell r="K8210">
            <v>0</v>
          </cell>
          <cell r="M8210">
            <v>0</v>
          </cell>
          <cell r="P8210">
            <v>0</v>
          </cell>
        </row>
        <row r="8211">
          <cell r="K8211">
            <v>0</v>
          </cell>
          <cell r="M8211">
            <v>0</v>
          </cell>
          <cell r="P8211">
            <v>0</v>
          </cell>
        </row>
        <row r="8212">
          <cell r="K8212">
            <v>0</v>
          </cell>
          <cell r="M8212">
            <v>0</v>
          </cell>
          <cell r="P8212">
            <v>0</v>
          </cell>
        </row>
        <row r="8213">
          <cell r="K8213">
            <v>0</v>
          </cell>
          <cell r="M8213">
            <v>0</v>
          </cell>
          <cell r="P8213">
            <v>0</v>
          </cell>
        </row>
        <row r="8214">
          <cell r="K8214">
            <v>0</v>
          </cell>
          <cell r="M8214">
            <v>0</v>
          </cell>
          <cell r="P8214">
            <v>0</v>
          </cell>
        </row>
        <row r="8215">
          <cell r="K8215">
            <v>0</v>
          </cell>
          <cell r="M8215">
            <v>0</v>
          </cell>
          <cell r="P8215">
            <v>0</v>
          </cell>
        </row>
        <row r="8216">
          <cell r="K8216">
            <v>0</v>
          </cell>
          <cell r="M8216">
            <v>0</v>
          </cell>
          <cell r="P8216">
            <v>0</v>
          </cell>
        </row>
        <row r="8217">
          <cell r="K8217">
            <v>0</v>
          </cell>
          <cell r="M8217">
            <v>0</v>
          </cell>
          <cell r="P8217">
            <v>0</v>
          </cell>
        </row>
        <row r="8218">
          <cell r="K8218">
            <v>0</v>
          </cell>
          <cell r="M8218">
            <v>0</v>
          </cell>
          <cell r="P8218">
            <v>0</v>
          </cell>
        </row>
        <row r="8219">
          <cell r="K8219">
            <v>0</v>
          </cell>
          <cell r="M8219">
            <v>0</v>
          </cell>
          <cell r="P8219">
            <v>0</v>
          </cell>
        </row>
        <row r="8220">
          <cell r="K8220">
            <v>0</v>
          </cell>
          <cell r="M8220">
            <v>0</v>
          </cell>
          <cell r="P8220">
            <v>0</v>
          </cell>
        </row>
        <row r="8221">
          <cell r="K8221">
            <v>0</v>
          </cell>
          <cell r="M8221">
            <v>0</v>
          </cell>
          <cell r="P8221">
            <v>0</v>
          </cell>
        </row>
        <row r="8222">
          <cell r="K8222">
            <v>0</v>
          </cell>
          <cell r="M8222">
            <v>0</v>
          </cell>
          <cell r="P8222">
            <v>0</v>
          </cell>
        </row>
        <row r="8223">
          <cell r="K8223">
            <v>0</v>
          </cell>
          <cell r="M8223">
            <v>0</v>
          </cell>
          <cell r="P8223">
            <v>0</v>
          </cell>
        </row>
        <row r="8224">
          <cell r="K8224">
            <v>0</v>
          </cell>
          <cell r="M8224">
            <v>0</v>
          </cell>
          <cell r="P8224">
            <v>0</v>
          </cell>
        </row>
        <row r="8225">
          <cell r="K8225">
            <v>0</v>
          </cell>
          <cell r="M8225">
            <v>0</v>
          </cell>
          <cell r="P8225">
            <v>0</v>
          </cell>
        </row>
        <row r="8226">
          <cell r="K8226">
            <v>0</v>
          </cell>
          <cell r="M8226">
            <v>0</v>
          </cell>
          <cell r="P8226">
            <v>0</v>
          </cell>
        </row>
        <row r="8227">
          <cell r="K8227">
            <v>0</v>
          </cell>
          <cell r="M8227">
            <v>0</v>
          </cell>
          <cell r="P8227">
            <v>0</v>
          </cell>
        </row>
        <row r="8228">
          <cell r="K8228">
            <v>0</v>
          </cell>
          <cell r="M8228">
            <v>0</v>
          </cell>
          <cell r="P8228">
            <v>0</v>
          </cell>
        </row>
        <row r="8229">
          <cell r="K8229">
            <v>0</v>
          </cell>
          <cell r="M8229">
            <v>0</v>
          </cell>
          <cell r="P8229">
            <v>0</v>
          </cell>
        </row>
        <row r="8230">
          <cell r="K8230">
            <v>0</v>
          </cell>
          <cell r="M8230">
            <v>0</v>
          </cell>
          <cell r="P8230">
            <v>0</v>
          </cell>
        </row>
        <row r="8231">
          <cell r="K8231">
            <v>0</v>
          </cell>
          <cell r="M8231">
            <v>0</v>
          </cell>
          <cell r="P8231">
            <v>0</v>
          </cell>
        </row>
        <row r="8232">
          <cell r="K8232">
            <v>0</v>
          </cell>
          <cell r="M8232">
            <v>0</v>
          </cell>
          <cell r="P8232">
            <v>0</v>
          </cell>
        </row>
        <row r="8233">
          <cell r="K8233">
            <v>0</v>
          </cell>
          <cell r="M8233">
            <v>0</v>
          </cell>
          <cell r="P8233">
            <v>0</v>
          </cell>
        </row>
        <row r="8234">
          <cell r="K8234">
            <v>0</v>
          </cell>
          <cell r="M8234">
            <v>0</v>
          </cell>
          <cell r="P8234">
            <v>0</v>
          </cell>
        </row>
        <row r="8235">
          <cell r="K8235">
            <v>0</v>
          </cell>
          <cell r="M8235">
            <v>0</v>
          </cell>
          <cell r="P8235">
            <v>0</v>
          </cell>
        </row>
        <row r="8236">
          <cell r="K8236">
            <v>0</v>
          </cell>
          <cell r="M8236">
            <v>0</v>
          </cell>
          <cell r="P8236">
            <v>0</v>
          </cell>
        </row>
        <row r="8237">
          <cell r="K8237">
            <v>0</v>
          </cell>
          <cell r="M8237">
            <v>0</v>
          </cell>
          <cell r="P8237">
            <v>0</v>
          </cell>
        </row>
        <row r="8238">
          <cell r="K8238">
            <v>0</v>
          </cell>
          <cell r="M8238">
            <v>0</v>
          </cell>
          <cell r="P8238">
            <v>0</v>
          </cell>
        </row>
        <row r="8239">
          <cell r="K8239">
            <v>0</v>
          </cell>
          <cell r="M8239">
            <v>0</v>
          </cell>
          <cell r="P8239">
            <v>0</v>
          </cell>
        </row>
        <row r="8240">
          <cell r="K8240">
            <v>0</v>
          </cell>
          <cell r="M8240">
            <v>0</v>
          </cell>
          <cell r="P8240">
            <v>0</v>
          </cell>
        </row>
        <row r="8241">
          <cell r="K8241">
            <v>0</v>
          </cell>
          <cell r="M8241">
            <v>0</v>
          </cell>
          <cell r="P8241">
            <v>0</v>
          </cell>
        </row>
        <row r="8242">
          <cell r="K8242">
            <v>0</v>
          </cell>
          <cell r="M8242">
            <v>0</v>
          </cell>
          <cell r="P8242">
            <v>0</v>
          </cell>
        </row>
        <row r="8243">
          <cell r="K8243">
            <v>0</v>
          </cell>
          <cell r="M8243">
            <v>0</v>
          </cell>
          <cell r="P8243">
            <v>0</v>
          </cell>
        </row>
        <row r="8244">
          <cell r="K8244">
            <v>0</v>
          </cell>
          <cell r="M8244">
            <v>0</v>
          </cell>
          <cell r="P8244">
            <v>0</v>
          </cell>
        </row>
        <row r="8245">
          <cell r="K8245">
            <v>0</v>
          </cell>
          <cell r="M8245">
            <v>0</v>
          </cell>
          <cell r="P8245">
            <v>0</v>
          </cell>
        </row>
        <row r="8246">
          <cell r="K8246">
            <v>0</v>
          </cell>
          <cell r="M8246">
            <v>0</v>
          </cell>
          <cell r="P8246">
            <v>0</v>
          </cell>
        </row>
        <row r="8247">
          <cell r="K8247">
            <v>0</v>
          </cell>
          <cell r="M8247">
            <v>0</v>
          </cell>
          <cell r="P8247">
            <v>0</v>
          </cell>
        </row>
        <row r="8248">
          <cell r="K8248">
            <v>0</v>
          </cell>
          <cell r="M8248">
            <v>0</v>
          </cell>
          <cell r="P8248">
            <v>0</v>
          </cell>
        </row>
        <row r="8249">
          <cell r="K8249">
            <v>0</v>
          </cell>
          <cell r="M8249">
            <v>0</v>
          </cell>
          <cell r="P8249">
            <v>0</v>
          </cell>
        </row>
        <row r="8250">
          <cell r="K8250">
            <v>0</v>
          </cell>
          <cell r="M8250">
            <v>0</v>
          </cell>
          <cell r="P8250">
            <v>0</v>
          </cell>
        </row>
        <row r="8251">
          <cell r="K8251">
            <v>0</v>
          </cell>
          <cell r="M8251">
            <v>0</v>
          </cell>
          <cell r="P8251">
            <v>0</v>
          </cell>
        </row>
        <row r="8252">
          <cell r="K8252">
            <v>0</v>
          </cell>
          <cell r="M8252">
            <v>0</v>
          </cell>
          <cell r="P8252">
            <v>0</v>
          </cell>
        </row>
        <row r="8253">
          <cell r="K8253">
            <v>0</v>
          </cell>
          <cell r="M8253">
            <v>0</v>
          </cell>
          <cell r="P8253">
            <v>0</v>
          </cell>
        </row>
        <row r="8254">
          <cell r="K8254">
            <v>0</v>
          </cell>
          <cell r="M8254">
            <v>0</v>
          </cell>
          <cell r="P8254">
            <v>0</v>
          </cell>
        </row>
        <row r="8255">
          <cell r="K8255">
            <v>0</v>
          </cell>
          <cell r="M8255">
            <v>0</v>
          </cell>
          <cell r="P8255">
            <v>0</v>
          </cell>
        </row>
        <row r="8256">
          <cell r="K8256">
            <v>0</v>
          </cell>
          <cell r="M8256">
            <v>0</v>
          </cell>
          <cell r="P8256">
            <v>0</v>
          </cell>
        </row>
        <row r="8257">
          <cell r="K8257">
            <v>0</v>
          </cell>
          <cell r="M8257">
            <v>0</v>
          </cell>
          <cell r="P8257">
            <v>0</v>
          </cell>
        </row>
        <row r="8258">
          <cell r="K8258">
            <v>0</v>
          </cell>
          <cell r="M8258">
            <v>0</v>
          </cell>
          <cell r="P8258">
            <v>0</v>
          </cell>
        </row>
        <row r="8259">
          <cell r="K8259">
            <v>0</v>
          </cell>
          <cell r="M8259">
            <v>0</v>
          </cell>
          <cell r="P8259">
            <v>0</v>
          </cell>
        </row>
        <row r="8260">
          <cell r="K8260">
            <v>0</v>
          </cell>
          <cell r="M8260">
            <v>0</v>
          </cell>
          <cell r="P8260">
            <v>0</v>
          </cell>
        </row>
        <row r="8261">
          <cell r="K8261">
            <v>0</v>
          </cell>
          <cell r="M8261">
            <v>0</v>
          </cell>
          <cell r="P8261">
            <v>0</v>
          </cell>
        </row>
        <row r="8262">
          <cell r="K8262">
            <v>0</v>
          </cell>
          <cell r="M8262">
            <v>0</v>
          </cell>
          <cell r="P8262">
            <v>0</v>
          </cell>
        </row>
        <row r="8263">
          <cell r="K8263">
            <v>0</v>
          </cell>
          <cell r="M8263">
            <v>0</v>
          </cell>
          <cell r="P8263">
            <v>0</v>
          </cell>
        </row>
        <row r="8264">
          <cell r="K8264">
            <v>0</v>
          </cell>
          <cell r="M8264">
            <v>0</v>
          </cell>
          <cell r="P8264">
            <v>0</v>
          </cell>
        </row>
        <row r="8265">
          <cell r="K8265">
            <v>0</v>
          </cell>
          <cell r="M8265">
            <v>0</v>
          </cell>
          <cell r="P8265">
            <v>0</v>
          </cell>
        </row>
        <row r="8266">
          <cell r="K8266">
            <v>0</v>
          </cell>
          <cell r="M8266">
            <v>0</v>
          </cell>
          <cell r="P8266">
            <v>0</v>
          </cell>
        </row>
        <row r="8267">
          <cell r="K8267">
            <v>0</v>
          </cell>
          <cell r="M8267">
            <v>0</v>
          </cell>
          <cell r="P8267">
            <v>0</v>
          </cell>
        </row>
        <row r="8268">
          <cell r="K8268">
            <v>0</v>
          </cell>
          <cell r="M8268">
            <v>0</v>
          </cell>
          <cell r="P8268">
            <v>0</v>
          </cell>
        </row>
        <row r="8269">
          <cell r="K8269">
            <v>0</v>
          </cell>
          <cell r="M8269">
            <v>0</v>
          </cell>
          <cell r="P8269">
            <v>0</v>
          </cell>
        </row>
        <row r="8270">
          <cell r="K8270">
            <v>0</v>
          </cell>
          <cell r="M8270">
            <v>0</v>
          </cell>
          <cell r="P8270">
            <v>0</v>
          </cell>
        </row>
        <row r="8271">
          <cell r="K8271">
            <v>0</v>
          </cell>
          <cell r="M8271">
            <v>0</v>
          </cell>
          <cell r="P8271">
            <v>0</v>
          </cell>
        </row>
        <row r="8272">
          <cell r="K8272">
            <v>0</v>
          </cell>
          <cell r="M8272">
            <v>0</v>
          </cell>
          <cell r="P8272">
            <v>0</v>
          </cell>
        </row>
        <row r="8273">
          <cell r="K8273">
            <v>0</v>
          </cell>
          <cell r="M8273">
            <v>0</v>
          </cell>
          <cell r="P8273">
            <v>0</v>
          </cell>
        </row>
        <row r="8274">
          <cell r="K8274">
            <v>0</v>
          </cell>
          <cell r="M8274">
            <v>0</v>
          </cell>
          <cell r="P8274">
            <v>0</v>
          </cell>
        </row>
        <row r="8275">
          <cell r="K8275">
            <v>0</v>
          </cell>
          <cell r="M8275">
            <v>0</v>
          </cell>
          <cell r="P8275">
            <v>0</v>
          </cell>
        </row>
        <row r="8276">
          <cell r="K8276">
            <v>0</v>
          </cell>
          <cell r="M8276">
            <v>0</v>
          </cell>
          <cell r="P8276">
            <v>0</v>
          </cell>
        </row>
        <row r="8277">
          <cell r="K8277">
            <v>0</v>
          </cell>
          <cell r="M8277">
            <v>0</v>
          </cell>
          <cell r="P8277">
            <v>0</v>
          </cell>
        </row>
        <row r="8278">
          <cell r="K8278">
            <v>0</v>
          </cell>
          <cell r="M8278">
            <v>0</v>
          </cell>
          <cell r="P8278">
            <v>0</v>
          </cell>
        </row>
        <row r="8279">
          <cell r="K8279">
            <v>0</v>
          </cell>
          <cell r="M8279">
            <v>0</v>
          </cell>
          <cell r="P8279">
            <v>0</v>
          </cell>
        </row>
        <row r="8280">
          <cell r="K8280">
            <v>0</v>
          </cell>
          <cell r="M8280">
            <v>0</v>
          </cell>
          <cell r="P8280">
            <v>0</v>
          </cell>
        </row>
        <row r="8281">
          <cell r="K8281">
            <v>0</v>
          </cell>
          <cell r="M8281">
            <v>0</v>
          </cell>
          <cell r="P8281">
            <v>0</v>
          </cell>
        </row>
        <row r="8282">
          <cell r="K8282">
            <v>0</v>
          </cell>
          <cell r="M8282">
            <v>0</v>
          </cell>
          <cell r="P8282">
            <v>0</v>
          </cell>
        </row>
        <row r="8283">
          <cell r="K8283">
            <v>0</v>
          </cell>
          <cell r="M8283">
            <v>0</v>
          </cell>
          <cell r="P8283">
            <v>0</v>
          </cell>
        </row>
        <row r="8284">
          <cell r="K8284">
            <v>0</v>
          </cell>
          <cell r="M8284">
            <v>0</v>
          </cell>
          <cell r="P8284">
            <v>0</v>
          </cell>
        </row>
        <row r="8285">
          <cell r="K8285">
            <v>0</v>
          </cell>
          <cell r="M8285">
            <v>0</v>
          </cell>
          <cell r="P8285">
            <v>0</v>
          </cell>
        </row>
        <row r="8286">
          <cell r="K8286">
            <v>0</v>
          </cell>
          <cell r="M8286">
            <v>0</v>
          </cell>
          <cell r="P8286">
            <v>0</v>
          </cell>
        </row>
        <row r="8287">
          <cell r="K8287">
            <v>0</v>
          </cell>
          <cell r="M8287">
            <v>0</v>
          </cell>
          <cell r="P8287">
            <v>0</v>
          </cell>
        </row>
        <row r="8288">
          <cell r="K8288">
            <v>0</v>
          </cell>
          <cell r="M8288">
            <v>0</v>
          </cell>
          <cell r="P8288">
            <v>0</v>
          </cell>
        </row>
        <row r="8289">
          <cell r="K8289">
            <v>0</v>
          </cell>
          <cell r="M8289">
            <v>0</v>
          </cell>
          <cell r="P8289">
            <v>0</v>
          </cell>
        </row>
        <row r="8290">
          <cell r="K8290">
            <v>0</v>
          </cell>
          <cell r="M8290">
            <v>0</v>
          </cell>
          <cell r="P8290">
            <v>0</v>
          </cell>
        </row>
        <row r="8291">
          <cell r="K8291">
            <v>0</v>
          </cell>
          <cell r="M8291">
            <v>0</v>
          </cell>
          <cell r="P8291">
            <v>0</v>
          </cell>
        </row>
        <row r="8292">
          <cell r="K8292">
            <v>0</v>
          </cell>
          <cell r="M8292">
            <v>0</v>
          </cell>
          <cell r="P8292">
            <v>0</v>
          </cell>
        </row>
        <row r="8293">
          <cell r="K8293">
            <v>0</v>
          </cell>
          <cell r="M8293">
            <v>0</v>
          </cell>
          <cell r="P8293">
            <v>0</v>
          </cell>
        </row>
        <row r="8294">
          <cell r="K8294">
            <v>0</v>
          </cell>
          <cell r="M8294">
            <v>0</v>
          </cell>
          <cell r="P8294">
            <v>0</v>
          </cell>
        </row>
        <row r="8295">
          <cell r="K8295">
            <v>0</v>
          </cell>
          <cell r="M8295">
            <v>0</v>
          </cell>
          <cell r="P8295">
            <v>0</v>
          </cell>
        </row>
        <row r="8296">
          <cell r="K8296">
            <v>0</v>
          </cell>
          <cell r="M8296">
            <v>0</v>
          </cell>
          <cell r="P8296">
            <v>0</v>
          </cell>
        </row>
        <row r="8297">
          <cell r="K8297">
            <v>0</v>
          </cell>
          <cell r="M8297">
            <v>0</v>
          </cell>
          <cell r="P8297">
            <v>0</v>
          </cell>
        </row>
        <row r="8298">
          <cell r="K8298">
            <v>0</v>
          </cell>
          <cell r="M8298">
            <v>0</v>
          </cell>
          <cell r="P8298">
            <v>0</v>
          </cell>
        </row>
        <row r="8299">
          <cell r="K8299">
            <v>0</v>
          </cell>
          <cell r="M8299">
            <v>0</v>
          </cell>
          <cell r="P8299">
            <v>0</v>
          </cell>
        </row>
        <row r="8300">
          <cell r="K8300">
            <v>0</v>
          </cell>
          <cell r="M8300">
            <v>0</v>
          </cell>
          <cell r="P8300">
            <v>0</v>
          </cell>
        </row>
        <row r="8301">
          <cell r="K8301">
            <v>0</v>
          </cell>
          <cell r="M8301">
            <v>0</v>
          </cell>
          <cell r="P8301">
            <v>0</v>
          </cell>
        </row>
        <row r="8302">
          <cell r="K8302">
            <v>0</v>
          </cell>
          <cell r="M8302">
            <v>0</v>
          </cell>
          <cell r="P8302">
            <v>0</v>
          </cell>
        </row>
        <row r="8303">
          <cell r="K8303">
            <v>0</v>
          </cell>
          <cell r="M8303">
            <v>0</v>
          </cell>
          <cell r="P8303">
            <v>0</v>
          </cell>
        </row>
        <row r="8304">
          <cell r="K8304">
            <v>0</v>
          </cell>
          <cell r="M8304">
            <v>0</v>
          </cell>
          <cell r="P8304">
            <v>0</v>
          </cell>
        </row>
        <row r="8305">
          <cell r="K8305">
            <v>0</v>
          </cell>
          <cell r="M8305">
            <v>0</v>
          </cell>
          <cell r="P8305">
            <v>0</v>
          </cell>
        </row>
        <row r="8306">
          <cell r="K8306">
            <v>0</v>
          </cell>
          <cell r="M8306">
            <v>0</v>
          </cell>
          <cell r="P8306">
            <v>0</v>
          </cell>
        </row>
        <row r="8307">
          <cell r="K8307">
            <v>0</v>
          </cell>
          <cell r="M8307">
            <v>0</v>
          </cell>
          <cell r="P8307">
            <v>0</v>
          </cell>
        </row>
        <row r="8308">
          <cell r="K8308">
            <v>0</v>
          </cell>
          <cell r="M8308">
            <v>0</v>
          </cell>
          <cell r="P8308">
            <v>0</v>
          </cell>
        </row>
        <row r="8309">
          <cell r="K8309">
            <v>0</v>
          </cell>
          <cell r="M8309">
            <v>0</v>
          </cell>
          <cell r="P8309">
            <v>0</v>
          </cell>
        </row>
        <row r="8310">
          <cell r="K8310">
            <v>0</v>
          </cell>
          <cell r="M8310">
            <v>0</v>
          </cell>
          <cell r="P8310">
            <v>0</v>
          </cell>
        </row>
        <row r="8311">
          <cell r="K8311">
            <v>0</v>
          </cell>
          <cell r="M8311">
            <v>0</v>
          </cell>
          <cell r="P8311">
            <v>0</v>
          </cell>
        </row>
        <row r="8312">
          <cell r="K8312">
            <v>0</v>
          </cell>
          <cell r="M8312">
            <v>0</v>
          </cell>
          <cell r="P8312">
            <v>0</v>
          </cell>
        </row>
        <row r="8313">
          <cell r="K8313">
            <v>0</v>
          </cell>
          <cell r="M8313">
            <v>0</v>
          </cell>
          <cell r="P8313">
            <v>0</v>
          </cell>
        </row>
        <row r="8314">
          <cell r="K8314">
            <v>0</v>
          </cell>
          <cell r="M8314">
            <v>0</v>
          </cell>
          <cell r="P8314">
            <v>0</v>
          </cell>
        </row>
        <row r="8315">
          <cell r="K8315">
            <v>0</v>
          </cell>
          <cell r="M8315">
            <v>0</v>
          </cell>
          <cell r="P8315">
            <v>0</v>
          </cell>
        </row>
        <row r="8316">
          <cell r="K8316">
            <v>0</v>
          </cell>
          <cell r="M8316">
            <v>0</v>
          </cell>
          <cell r="P8316">
            <v>0</v>
          </cell>
        </row>
        <row r="8317">
          <cell r="K8317">
            <v>0</v>
          </cell>
          <cell r="M8317">
            <v>0</v>
          </cell>
          <cell r="P8317">
            <v>0</v>
          </cell>
        </row>
        <row r="8318">
          <cell r="K8318">
            <v>0</v>
          </cell>
          <cell r="M8318">
            <v>0</v>
          </cell>
          <cell r="P8318">
            <v>0</v>
          </cell>
        </row>
        <row r="8319">
          <cell r="K8319">
            <v>0</v>
          </cell>
          <cell r="M8319">
            <v>0</v>
          </cell>
          <cell r="P8319">
            <v>0</v>
          </cell>
        </row>
        <row r="8320">
          <cell r="K8320">
            <v>0</v>
          </cell>
          <cell r="M8320">
            <v>0</v>
          </cell>
          <cell r="P8320">
            <v>0</v>
          </cell>
        </row>
        <row r="8321">
          <cell r="K8321">
            <v>0</v>
          </cell>
          <cell r="M8321">
            <v>0</v>
          </cell>
          <cell r="P8321">
            <v>0</v>
          </cell>
        </row>
        <row r="8322">
          <cell r="K8322">
            <v>0</v>
          </cell>
          <cell r="M8322">
            <v>0</v>
          </cell>
          <cell r="P8322">
            <v>0</v>
          </cell>
        </row>
        <row r="8323">
          <cell r="K8323">
            <v>0</v>
          </cell>
          <cell r="M8323">
            <v>0</v>
          </cell>
          <cell r="P8323">
            <v>0</v>
          </cell>
        </row>
        <row r="8324">
          <cell r="K8324">
            <v>0</v>
          </cell>
          <cell r="M8324">
            <v>0</v>
          </cell>
          <cell r="P8324">
            <v>0</v>
          </cell>
        </row>
        <row r="8325">
          <cell r="K8325">
            <v>0</v>
          </cell>
          <cell r="M8325">
            <v>0</v>
          </cell>
          <cell r="P8325">
            <v>0</v>
          </cell>
        </row>
        <row r="8326">
          <cell r="K8326">
            <v>0</v>
          </cell>
          <cell r="M8326">
            <v>0</v>
          </cell>
          <cell r="P8326">
            <v>0</v>
          </cell>
        </row>
        <row r="8327">
          <cell r="K8327">
            <v>0</v>
          </cell>
          <cell r="M8327">
            <v>0</v>
          </cell>
          <cell r="P8327">
            <v>0</v>
          </cell>
        </row>
        <row r="8328">
          <cell r="K8328">
            <v>0</v>
          </cell>
          <cell r="M8328">
            <v>0</v>
          </cell>
          <cell r="P8328">
            <v>0</v>
          </cell>
        </row>
        <row r="8329">
          <cell r="K8329">
            <v>0</v>
          </cell>
          <cell r="M8329">
            <v>0</v>
          </cell>
          <cell r="P8329">
            <v>0</v>
          </cell>
        </row>
        <row r="8330">
          <cell r="K8330">
            <v>0</v>
          </cell>
          <cell r="M8330">
            <v>0</v>
          </cell>
          <cell r="P8330">
            <v>0</v>
          </cell>
        </row>
        <row r="8331">
          <cell r="K8331">
            <v>0</v>
          </cell>
          <cell r="M8331">
            <v>0</v>
          </cell>
          <cell r="P8331">
            <v>0</v>
          </cell>
        </row>
        <row r="8332">
          <cell r="K8332">
            <v>0</v>
          </cell>
          <cell r="M8332">
            <v>0</v>
          </cell>
          <cell r="P8332">
            <v>0</v>
          </cell>
        </row>
        <row r="8333">
          <cell r="K8333">
            <v>0</v>
          </cell>
          <cell r="M8333">
            <v>0</v>
          </cell>
          <cell r="P8333">
            <v>0</v>
          </cell>
        </row>
        <row r="8334">
          <cell r="K8334">
            <v>0</v>
          </cell>
          <cell r="M8334">
            <v>0</v>
          </cell>
          <cell r="P8334">
            <v>0</v>
          </cell>
        </row>
        <row r="8335">
          <cell r="K8335">
            <v>0</v>
          </cell>
          <cell r="M8335">
            <v>0</v>
          </cell>
          <cell r="P8335">
            <v>0</v>
          </cell>
        </row>
        <row r="8336">
          <cell r="K8336">
            <v>0</v>
          </cell>
          <cell r="M8336">
            <v>0</v>
          </cell>
          <cell r="P8336">
            <v>0</v>
          </cell>
        </row>
        <row r="8337">
          <cell r="K8337">
            <v>0</v>
          </cell>
          <cell r="M8337">
            <v>0</v>
          </cell>
          <cell r="P8337">
            <v>0</v>
          </cell>
        </row>
        <row r="8338">
          <cell r="K8338">
            <v>0</v>
          </cell>
          <cell r="M8338">
            <v>0</v>
          </cell>
          <cell r="P8338">
            <v>0</v>
          </cell>
        </row>
        <row r="8339">
          <cell r="K8339">
            <v>0</v>
          </cell>
          <cell r="M8339">
            <v>0</v>
          </cell>
          <cell r="P8339">
            <v>0</v>
          </cell>
        </row>
        <row r="8340">
          <cell r="K8340">
            <v>0</v>
          </cell>
          <cell r="M8340">
            <v>0</v>
          </cell>
          <cell r="P8340">
            <v>0</v>
          </cell>
        </row>
        <row r="8341">
          <cell r="K8341">
            <v>0</v>
          </cell>
          <cell r="M8341">
            <v>0</v>
          </cell>
          <cell r="P8341">
            <v>0</v>
          </cell>
        </row>
        <row r="8342">
          <cell r="K8342">
            <v>0</v>
          </cell>
          <cell r="M8342">
            <v>0</v>
          </cell>
          <cell r="P8342">
            <v>0</v>
          </cell>
        </row>
        <row r="8343">
          <cell r="K8343">
            <v>0</v>
          </cell>
          <cell r="M8343">
            <v>0</v>
          </cell>
          <cell r="P8343">
            <v>0</v>
          </cell>
        </row>
        <row r="8344">
          <cell r="K8344">
            <v>0</v>
          </cell>
          <cell r="M8344">
            <v>0</v>
          </cell>
          <cell r="P8344">
            <v>0</v>
          </cell>
        </row>
        <row r="8345">
          <cell r="K8345">
            <v>0</v>
          </cell>
          <cell r="M8345">
            <v>0</v>
          </cell>
          <cell r="P8345">
            <v>0</v>
          </cell>
        </row>
        <row r="8346">
          <cell r="K8346">
            <v>0</v>
          </cell>
          <cell r="M8346">
            <v>0</v>
          </cell>
          <cell r="P8346">
            <v>0</v>
          </cell>
        </row>
        <row r="8347">
          <cell r="K8347">
            <v>0</v>
          </cell>
          <cell r="M8347">
            <v>0</v>
          </cell>
          <cell r="P8347">
            <v>0</v>
          </cell>
        </row>
        <row r="8348">
          <cell r="K8348">
            <v>0</v>
          </cell>
          <cell r="M8348">
            <v>0</v>
          </cell>
          <cell r="P8348">
            <v>0</v>
          </cell>
        </row>
        <row r="8349">
          <cell r="K8349">
            <v>0</v>
          </cell>
          <cell r="M8349">
            <v>0</v>
          </cell>
          <cell r="P8349">
            <v>0</v>
          </cell>
        </row>
        <row r="8350">
          <cell r="K8350">
            <v>0</v>
          </cell>
          <cell r="M8350">
            <v>0</v>
          </cell>
          <cell r="P8350">
            <v>0</v>
          </cell>
        </row>
        <row r="8351">
          <cell r="K8351">
            <v>0</v>
          </cell>
          <cell r="M8351">
            <v>0</v>
          </cell>
          <cell r="P8351">
            <v>0</v>
          </cell>
        </row>
        <row r="8352">
          <cell r="K8352">
            <v>0</v>
          </cell>
          <cell r="M8352">
            <v>0</v>
          </cell>
          <cell r="P8352">
            <v>0</v>
          </cell>
        </row>
        <row r="8353">
          <cell r="K8353">
            <v>0</v>
          </cell>
          <cell r="M8353">
            <v>0</v>
          </cell>
          <cell r="P8353">
            <v>0</v>
          </cell>
        </row>
        <row r="8354">
          <cell r="K8354">
            <v>0</v>
          </cell>
          <cell r="M8354">
            <v>0</v>
          </cell>
          <cell r="P8354">
            <v>0</v>
          </cell>
        </row>
        <row r="8355">
          <cell r="K8355">
            <v>0</v>
          </cell>
          <cell r="M8355">
            <v>0</v>
          </cell>
          <cell r="P8355">
            <v>0</v>
          </cell>
        </row>
        <row r="8356">
          <cell r="K8356">
            <v>0</v>
          </cell>
          <cell r="M8356">
            <v>0</v>
          </cell>
          <cell r="P8356">
            <v>0</v>
          </cell>
        </row>
        <row r="8357">
          <cell r="K8357">
            <v>0</v>
          </cell>
          <cell r="M8357">
            <v>0</v>
          </cell>
          <cell r="P8357">
            <v>0</v>
          </cell>
        </row>
        <row r="8358">
          <cell r="K8358">
            <v>0</v>
          </cell>
          <cell r="M8358">
            <v>0</v>
          </cell>
          <cell r="P8358">
            <v>0</v>
          </cell>
        </row>
        <row r="8359">
          <cell r="K8359">
            <v>0</v>
          </cell>
          <cell r="M8359">
            <v>0</v>
          </cell>
          <cell r="P8359">
            <v>0</v>
          </cell>
        </row>
        <row r="8360">
          <cell r="K8360">
            <v>0</v>
          </cell>
          <cell r="M8360">
            <v>0</v>
          </cell>
          <cell r="P8360">
            <v>0</v>
          </cell>
        </row>
        <row r="8361">
          <cell r="K8361">
            <v>0</v>
          </cell>
          <cell r="M8361">
            <v>0</v>
          </cell>
          <cell r="P8361">
            <v>0</v>
          </cell>
        </row>
        <row r="8362">
          <cell r="K8362">
            <v>0</v>
          </cell>
          <cell r="M8362">
            <v>0</v>
          </cell>
          <cell r="P8362">
            <v>0</v>
          </cell>
        </row>
        <row r="8363">
          <cell r="K8363">
            <v>0</v>
          </cell>
          <cell r="M8363">
            <v>0</v>
          </cell>
          <cell r="P8363">
            <v>0</v>
          </cell>
        </row>
        <row r="8364">
          <cell r="K8364">
            <v>0</v>
          </cell>
          <cell r="M8364">
            <v>0</v>
          </cell>
          <cell r="P8364">
            <v>0</v>
          </cell>
        </row>
        <row r="8365">
          <cell r="K8365">
            <v>0</v>
          </cell>
          <cell r="M8365">
            <v>0</v>
          </cell>
          <cell r="P8365">
            <v>0</v>
          </cell>
        </row>
        <row r="8366">
          <cell r="K8366">
            <v>0</v>
          </cell>
          <cell r="M8366">
            <v>0</v>
          </cell>
          <cell r="P8366">
            <v>0</v>
          </cell>
        </row>
        <row r="8367">
          <cell r="K8367">
            <v>0</v>
          </cell>
          <cell r="M8367">
            <v>0</v>
          </cell>
          <cell r="P8367">
            <v>0</v>
          </cell>
        </row>
        <row r="8368">
          <cell r="K8368">
            <v>0</v>
          </cell>
          <cell r="M8368">
            <v>0</v>
          </cell>
          <cell r="P8368">
            <v>0</v>
          </cell>
        </row>
        <row r="8369">
          <cell r="K8369">
            <v>0</v>
          </cell>
          <cell r="M8369">
            <v>0</v>
          </cell>
          <cell r="P8369">
            <v>0</v>
          </cell>
        </row>
        <row r="8370">
          <cell r="K8370">
            <v>0</v>
          </cell>
          <cell r="M8370">
            <v>0</v>
          </cell>
          <cell r="P8370">
            <v>0</v>
          </cell>
        </row>
        <row r="8371">
          <cell r="K8371">
            <v>0</v>
          </cell>
          <cell r="M8371">
            <v>0</v>
          </cell>
          <cell r="P8371">
            <v>0</v>
          </cell>
        </row>
        <row r="8372">
          <cell r="K8372">
            <v>0</v>
          </cell>
          <cell r="M8372">
            <v>0</v>
          </cell>
          <cell r="P8372">
            <v>0</v>
          </cell>
        </row>
        <row r="8373">
          <cell r="K8373">
            <v>0</v>
          </cell>
          <cell r="M8373">
            <v>0</v>
          </cell>
          <cell r="P8373">
            <v>0</v>
          </cell>
        </row>
        <row r="8374">
          <cell r="K8374">
            <v>0</v>
          </cell>
          <cell r="M8374">
            <v>0</v>
          </cell>
          <cell r="P8374">
            <v>0</v>
          </cell>
        </row>
        <row r="8375">
          <cell r="K8375">
            <v>0</v>
          </cell>
          <cell r="M8375">
            <v>0</v>
          </cell>
          <cell r="P8375">
            <v>0</v>
          </cell>
        </row>
        <row r="8376">
          <cell r="K8376">
            <v>0</v>
          </cell>
          <cell r="M8376">
            <v>0</v>
          </cell>
          <cell r="P8376">
            <v>0</v>
          </cell>
        </row>
        <row r="8377">
          <cell r="K8377">
            <v>0</v>
          </cell>
          <cell r="M8377">
            <v>0</v>
          </cell>
          <cell r="P8377">
            <v>0</v>
          </cell>
        </row>
        <row r="8378">
          <cell r="K8378">
            <v>0</v>
          </cell>
          <cell r="M8378">
            <v>0</v>
          </cell>
          <cell r="P8378">
            <v>0</v>
          </cell>
        </row>
        <row r="8379">
          <cell r="K8379">
            <v>0</v>
          </cell>
          <cell r="M8379">
            <v>0</v>
          </cell>
          <cell r="P8379">
            <v>0</v>
          </cell>
        </row>
        <row r="8380">
          <cell r="K8380">
            <v>0</v>
          </cell>
          <cell r="M8380">
            <v>0</v>
          </cell>
          <cell r="P8380">
            <v>0</v>
          </cell>
        </row>
        <row r="8381">
          <cell r="K8381">
            <v>0</v>
          </cell>
          <cell r="M8381">
            <v>0</v>
          </cell>
          <cell r="P8381">
            <v>0</v>
          </cell>
        </row>
        <row r="8382">
          <cell r="K8382">
            <v>0</v>
          </cell>
          <cell r="M8382">
            <v>0</v>
          </cell>
          <cell r="P8382">
            <v>0</v>
          </cell>
        </row>
        <row r="8383">
          <cell r="K8383">
            <v>0</v>
          </cell>
          <cell r="M8383">
            <v>0</v>
          </cell>
          <cell r="P8383">
            <v>0</v>
          </cell>
        </row>
        <row r="8384">
          <cell r="K8384">
            <v>0</v>
          </cell>
          <cell r="M8384">
            <v>0</v>
          </cell>
          <cell r="P8384">
            <v>0</v>
          </cell>
        </row>
        <row r="8385">
          <cell r="K8385">
            <v>0</v>
          </cell>
          <cell r="M8385">
            <v>0</v>
          </cell>
          <cell r="P8385">
            <v>0</v>
          </cell>
        </row>
        <row r="8386">
          <cell r="K8386">
            <v>0</v>
          </cell>
          <cell r="M8386">
            <v>0</v>
          </cell>
          <cell r="P8386">
            <v>0</v>
          </cell>
        </row>
        <row r="8387">
          <cell r="K8387">
            <v>0</v>
          </cell>
          <cell r="M8387">
            <v>0</v>
          </cell>
          <cell r="P8387">
            <v>0</v>
          </cell>
        </row>
        <row r="8388">
          <cell r="K8388">
            <v>0</v>
          </cell>
          <cell r="M8388">
            <v>0</v>
          </cell>
          <cell r="P8388">
            <v>0</v>
          </cell>
        </row>
        <row r="8389">
          <cell r="K8389">
            <v>0</v>
          </cell>
          <cell r="M8389">
            <v>0</v>
          </cell>
          <cell r="P8389">
            <v>0</v>
          </cell>
        </row>
        <row r="8390">
          <cell r="K8390">
            <v>0</v>
          </cell>
          <cell r="M8390">
            <v>0</v>
          </cell>
          <cell r="P8390">
            <v>0</v>
          </cell>
        </row>
        <row r="8391">
          <cell r="K8391">
            <v>0</v>
          </cell>
          <cell r="M8391">
            <v>0</v>
          </cell>
          <cell r="P8391">
            <v>0</v>
          </cell>
        </row>
        <row r="8392">
          <cell r="K8392">
            <v>0</v>
          </cell>
          <cell r="M8392">
            <v>0</v>
          </cell>
          <cell r="P8392">
            <v>0</v>
          </cell>
        </row>
        <row r="8393">
          <cell r="K8393">
            <v>0</v>
          </cell>
          <cell r="M8393">
            <v>0</v>
          </cell>
          <cell r="P8393">
            <v>0</v>
          </cell>
        </row>
        <row r="8394">
          <cell r="K8394">
            <v>0</v>
          </cell>
          <cell r="M8394">
            <v>0</v>
          </cell>
          <cell r="P8394">
            <v>0</v>
          </cell>
        </row>
        <row r="8395">
          <cell r="K8395">
            <v>0</v>
          </cell>
          <cell r="M8395">
            <v>0</v>
          </cell>
          <cell r="P8395">
            <v>0</v>
          </cell>
        </row>
        <row r="8396">
          <cell r="K8396">
            <v>0</v>
          </cell>
          <cell r="M8396">
            <v>0</v>
          </cell>
          <cell r="P8396">
            <v>0</v>
          </cell>
        </row>
        <row r="8397">
          <cell r="K8397">
            <v>0</v>
          </cell>
          <cell r="M8397">
            <v>0</v>
          </cell>
          <cell r="P8397">
            <v>0</v>
          </cell>
        </row>
        <row r="8398">
          <cell r="K8398">
            <v>0</v>
          </cell>
          <cell r="M8398">
            <v>0</v>
          </cell>
          <cell r="P8398">
            <v>0</v>
          </cell>
        </row>
        <row r="8399">
          <cell r="K8399">
            <v>0</v>
          </cell>
          <cell r="M8399">
            <v>0</v>
          </cell>
          <cell r="P8399">
            <v>0</v>
          </cell>
        </row>
        <row r="8400">
          <cell r="K8400">
            <v>0</v>
          </cell>
          <cell r="M8400">
            <v>0</v>
          </cell>
          <cell r="P8400">
            <v>0</v>
          </cell>
        </row>
        <row r="8401">
          <cell r="K8401">
            <v>0</v>
          </cell>
          <cell r="M8401">
            <v>0</v>
          </cell>
          <cell r="P8401">
            <v>0</v>
          </cell>
        </row>
        <row r="8402">
          <cell r="K8402">
            <v>0</v>
          </cell>
          <cell r="M8402">
            <v>0</v>
          </cell>
          <cell r="P8402">
            <v>0</v>
          </cell>
        </row>
        <row r="8403">
          <cell r="K8403">
            <v>0</v>
          </cell>
          <cell r="M8403">
            <v>0</v>
          </cell>
          <cell r="P8403">
            <v>0</v>
          </cell>
        </row>
        <row r="8404">
          <cell r="K8404">
            <v>0</v>
          </cell>
          <cell r="M8404">
            <v>0</v>
          </cell>
          <cell r="P8404">
            <v>0</v>
          </cell>
        </row>
        <row r="8405">
          <cell r="K8405">
            <v>0</v>
          </cell>
          <cell r="M8405">
            <v>0</v>
          </cell>
          <cell r="P8405">
            <v>0</v>
          </cell>
        </row>
        <row r="8406">
          <cell r="K8406">
            <v>0</v>
          </cell>
          <cell r="M8406">
            <v>0</v>
          </cell>
          <cell r="P8406">
            <v>0</v>
          </cell>
        </row>
        <row r="8407">
          <cell r="K8407">
            <v>0</v>
          </cell>
          <cell r="M8407">
            <v>0</v>
          </cell>
          <cell r="P8407">
            <v>0</v>
          </cell>
        </row>
        <row r="8408">
          <cell r="K8408">
            <v>0</v>
          </cell>
          <cell r="M8408">
            <v>0</v>
          </cell>
          <cell r="P8408">
            <v>0</v>
          </cell>
        </row>
        <row r="8409">
          <cell r="K8409">
            <v>0</v>
          </cell>
          <cell r="M8409">
            <v>0</v>
          </cell>
          <cell r="P8409">
            <v>0</v>
          </cell>
        </row>
        <row r="8410">
          <cell r="K8410">
            <v>0</v>
          </cell>
          <cell r="M8410">
            <v>0</v>
          </cell>
          <cell r="P8410">
            <v>0</v>
          </cell>
        </row>
        <row r="8411">
          <cell r="K8411">
            <v>0</v>
          </cell>
          <cell r="M8411">
            <v>0</v>
          </cell>
          <cell r="P8411">
            <v>0</v>
          </cell>
        </row>
        <row r="8412">
          <cell r="K8412">
            <v>0</v>
          </cell>
          <cell r="M8412">
            <v>0</v>
          </cell>
          <cell r="P8412">
            <v>0</v>
          </cell>
        </row>
        <row r="8413">
          <cell r="K8413">
            <v>0</v>
          </cell>
          <cell r="M8413">
            <v>0</v>
          </cell>
          <cell r="P8413">
            <v>0</v>
          </cell>
        </row>
        <row r="8414">
          <cell r="K8414">
            <v>0</v>
          </cell>
          <cell r="M8414">
            <v>0</v>
          </cell>
          <cell r="P8414">
            <v>0</v>
          </cell>
        </row>
        <row r="8415">
          <cell r="K8415">
            <v>0</v>
          </cell>
          <cell r="M8415">
            <v>0</v>
          </cell>
          <cell r="P8415">
            <v>0</v>
          </cell>
        </row>
        <row r="8416">
          <cell r="K8416">
            <v>0</v>
          </cell>
          <cell r="M8416">
            <v>0</v>
          </cell>
          <cell r="P8416">
            <v>0</v>
          </cell>
        </row>
        <row r="8417">
          <cell r="K8417">
            <v>0</v>
          </cell>
          <cell r="M8417">
            <v>0</v>
          </cell>
          <cell r="P8417">
            <v>0</v>
          </cell>
        </row>
        <row r="8418">
          <cell r="K8418">
            <v>0</v>
          </cell>
          <cell r="M8418">
            <v>0</v>
          </cell>
          <cell r="P8418">
            <v>0</v>
          </cell>
        </row>
        <row r="8419">
          <cell r="K8419">
            <v>0</v>
          </cell>
          <cell r="M8419">
            <v>0</v>
          </cell>
          <cell r="P8419">
            <v>0</v>
          </cell>
        </row>
        <row r="8420">
          <cell r="K8420">
            <v>0</v>
          </cell>
          <cell r="M8420">
            <v>0</v>
          </cell>
          <cell r="P8420">
            <v>0</v>
          </cell>
        </row>
        <row r="8421">
          <cell r="K8421">
            <v>0</v>
          </cell>
          <cell r="M8421">
            <v>0</v>
          </cell>
          <cell r="P8421">
            <v>0</v>
          </cell>
        </row>
        <row r="8422">
          <cell r="K8422">
            <v>0</v>
          </cell>
          <cell r="M8422">
            <v>0</v>
          </cell>
          <cell r="P8422">
            <v>0</v>
          </cell>
        </row>
        <row r="8423">
          <cell r="K8423">
            <v>0</v>
          </cell>
          <cell r="M8423">
            <v>0</v>
          </cell>
          <cell r="P8423">
            <v>0</v>
          </cell>
        </row>
        <row r="8424">
          <cell r="K8424">
            <v>0</v>
          </cell>
          <cell r="M8424">
            <v>0</v>
          </cell>
          <cell r="P8424">
            <v>0</v>
          </cell>
        </row>
        <row r="8425">
          <cell r="K8425">
            <v>0</v>
          </cell>
          <cell r="M8425">
            <v>0</v>
          </cell>
          <cell r="P8425">
            <v>0</v>
          </cell>
        </row>
        <row r="8426">
          <cell r="K8426">
            <v>0</v>
          </cell>
          <cell r="M8426">
            <v>0</v>
          </cell>
          <cell r="P8426">
            <v>0</v>
          </cell>
        </row>
        <row r="8427">
          <cell r="K8427">
            <v>0</v>
          </cell>
          <cell r="M8427">
            <v>0</v>
          </cell>
          <cell r="P8427">
            <v>0</v>
          </cell>
        </row>
        <row r="8428">
          <cell r="K8428">
            <v>0</v>
          </cell>
          <cell r="M8428">
            <v>0</v>
          </cell>
          <cell r="P8428">
            <v>0</v>
          </cell>
        </row>
        <row r="8429">
          <cell r="K8429">
            <v>0</v>
          </cell>
          <cell r="M8429">
            <v>0</v>
          </cell>
          <cell r="P8429">
            <v>0</v>
          </cell>
        </row>
        <row r="8430">
          <cell r="K8430">
            <v>0</v>
          </cell>
          <cell r="M8430">
            <v>0</v>
          </cell>
          <cell r="P8430">
            <v>0</v>
          </cell>
        </row>
        <row r="8431">
          <cell r="K8431">
            <v>0</v>
          </cell>
          <cell r="M8431">
            <v>0</v>
          </cell>
          <cell r="P8431">
            <v>0</v>
          </cell>
        </row>
        <row r="8432">
          <cell r="K8432">
            <v>0</v>
          </cell>
          <cell r="M8432">
            <v>0</v>
          </cell>
          <cell r="P8432">
            <v>0</v>
          </cell>
        </row>
        <row r="8433">
          <cell r="K8433">
            <v>0</v>
          </cell>
          <cell r="M8433">
            <v>0</v>
          </cell>
          <cell r="P8433">
            <v>0</v>
          </cell>
        </row>
        <row r="8434">
          <cell r="K8434">
            <v>0</v>
          </cell>
          <cell r="M8434">
            <v>0</v>
          </cell>
          <cell r="P8434">
            <v>0</v>
          </cell>
        </row>
        <row r="8435">
          <cell r="K8435">
            <v>0</v>
          </cell>
          <cell r="M8435">
            <v>0</v>
          </cell>
          <cell r="P8435">
            <v>0</v>
          </cell>
        </row>
        <row r="8436">
          <cell r="K8436">
            <v>0</v>
          </cell>
          <cell r="M8436">
            <v>0</v>
          </cell>
          <cell r="P8436">
            <v>0</v>
          </cell>
        </row>
        <row r="8437">
          <cell r="K8437">
            <v>0</v>
          </cell>
          <cell r="M8437">
            <v>0</v>
          </cell>
          <cell r="P8437">
            <v>0</v>
          </cell>
        </row>
        <row r="8438">
          <cell r="K8438">
            <v>0</v>
          </cell>
          <cell r="M8438">
            <v>0</v>
          </cell>
          <cell r="P8438">
            <v>0</v>
          </cell>
        </row>
        <row r="8439">
          <cell r="K8439">
            <v>0</v>
          </cell>
          <cell r="M8439">
            <v>0</v>
          </cell>
          <cell r="P8439">
            <v>0</v>
          </cell>
        </row>
        <row r="8440">
          <cell r="K8440">
            <v>0</v>
          </cell>
          <cell r="M8440">
            <v>0</v>
          </cell>
          <cell r="P8440">
            <v>0</v>
          </cell>
        </row>
        <row r="8441">
          <cell r="K8441">
            <v>0</v>
          </cell>
          <cell r="M8441">
            <v>0</v>
          </cell>
          <cell r="P8441">
            <v>0</v>
          </cell>
        </row>
        <row r="8442">
          <cell r="K8442">
            <v>0</v>
          </cell>
          <cell r="M8442">
            <v>0</v>
          </cell>
          <cell r="P8442">
            <v>0</v>
          </cell>
        </row>
        <row r="8443">
          <cell r="K8443">
            <v>0</v>
          </cell>
          <cell r="M8443">
            <v>0</v>
          </cell>
          <cell r="P8443">
            <v>0</v>
          </cell>
        </row>
        <row r="8444">
          <cell r="K8444">
            <v>0</v>
          </cell>
          <cell r="M8444">
            <v>0</v>
          </cell>
          <cell r="P8444">
            <v>0</v>
          </cell>
        </row>
        <row r="8445">
          <cell r="K8445">
            <v>0</v>
          </cell>
          <cell r="M8445">
            <v>0</v>
          </cell>
          <cell r="P8445">
            <v>0</v>
          </cell>
        </row>
        <row r="8446">
          <cell r="K8446">
            <v>0</v>
          </cell>
          <cell r="M8446">
            <v>0</v>
          </cell>
          <cell r="P8446">
            <v>0</v>
          </cell>
        </row>
        <row r="8447">
          <cell r="K8447">
            <v>0</v>
          </cell>
          <cell r="M8447">
            <v>0</v>
          </cell>
          <cell r="P8447">
            <v>0</v>
          </cell>
        </row>
        <row r="8448">
          <cell r="K8448">
            <v>0</v>
          </cell>
          <cell r="M8448">
            <v>0</v>
          </cell>
          <cell r="P8448">
            <v>0</v>
          </cell>
        </row>
        <row r="8449">
          <cell r="K8449">
            <v>0</v>
          </cell>
          <cell r="M8449">
            <v>0</v>
          </cell>
          <cell r="P8449">
            <v>0</v>
          </cell>
        </row>
        <row r="8450">
          <cell r="K8450">
            <v>0</v>
          </cell>
          <cell r="M8450">
            <v>0</v>
          </cell>
          <cell r="P8450">
            <v>0</v>
          </cell>
        </row>
        <row r="8451">
          <cell r="K8451">
            <v>0</v>
          </cell>
          <cell r="M8451">
            <v>0</v>
          </cell>
          <cell r="P8451">
            <v>0</v>
          </cell>
        </row>
        <row r="8452">
          <cell r="K8452">
            <v>0</v>
          </cell>
          <cell r="M8452">
            <v>0</v>
          </cell>
          <cell r="P8452">
            <v>0</v>
          </cell>
        </row>
        <row r="8453">
          <cell r="K8453">
            <v>0</v>
          </cell>
          <cell r="M8453">
            <v>0</v>
          </cell>
          <cell r="P8453">
            <v>0</v>
          </cell>
        </row>
        <row r="8454">
          <cell r="K8454">
            <v>0</v>
          </cell>
          <cell r="M8454">
            <v>0</v>
          </cell>
          <cell r="P8454">
            <v>0</v>
          </cell>
        </row>
        <row r="8455">
          <cell r="K8455">
            <v>0</v>
          </cell>
          <cell r="M8455">
            <v>0</v>
          </cell>
          <cell r="P8455">
            <v>0</v>
          </cell>
        </row>
        <row r="8456">
          <cell r="K8456">
            <v>0</v>
          </cell>
          <cell r="M8456">
            <v>0</v>
          </cell>
          <cell r="P8456">
            <v>0</v>
          </cell>
        </row>
        <row r="8457">
          <cell r="K8457">
            <v>0</v>
          </cell>
          <cell r="M8457">
            <v>0</v>
          </cell>
          <cell r="P8457">
            <v>0</v>
          </cell>
        </row>
        <row r="8458">
          <cell r="K8458">
            <v>0</v>
          </cell>
          <cell r="M8458">
            <v>0</v>
          </cell>
          <cell r="P8458">
            <v>0</v>
          </cell>
        </row>
        <row r="8459">
          <cell r="K8459">
            <v>0</v>
          </cell>
          <cell r="M8459">
            <v>0</v>
          </cell>
          <cell r="P8459">
            <v>0</v>
          </cell>
        </row>
        <row r="8460">
          <cell r="K8460">
            <v>0</v>
          </cell>
          <cell r="M8460">
            <v>0</v>
          </cell>
          <cell r="P8460">
            <v>0</v>
          </cell>
        </row>
        <row r="8461">
          <cell r="K8461">
            <v>0</v>
          </cell>
          <cell r="M8461">
            <v>0</v>
          </cell>
          <cell r="P8461">
            <v>0</v>
          </cell>
        </row>
        <row r="8462">
          <cell r="K8462">
            <v>0</v>
          </cell>
          <cell r="M8462">
            <v>0</v>
          </cell>
          <cell r="P8462">
            <v>0</v>
          </cell>
        </row>
        <row r="8463">
          <cell r="K8463">
            <v>0</v>
          </cell>
          <cell r="M8463">
            <v>0</v>
          </cell>
          <cell r="P8463">
            <v>0</v>
          </cell>
        </row>
        <row r="8464">
          <cell r="K8464">
            <v>0</v>
          </cell>
          <cell r="M8464">
            <v>0</v>
          </cell>
          <cell r="P8464">
            <v>0</v>
          </cell>
        </row>
        <row r="8465">
          <cell r="K8465">
            <v>0</v>
          </cell>
          <cell r="M8465">
            <v>0</v>
          </cell>
          <cell r="P8465">
            <v>0</v>
          </cell>
        </row>
        <row r="8466">
          <cell r="K8466">
            <v>0</v>
          </cell>
          <cell r="M8466">
            <v>0</v>
          </cell>
          <cell r="P8466">
            <v>0</v>
          </cell>
        </row>
        <row r="8467">
          <cell r="K8467">
            <v>0</v>
          </cell>
          <cell r="M8467">
            <v>0</v>
          </cell>
          <cell r="P8467">
            <v>0</v>
          </cell>
        </row>
        <row r="8468">
          <cell r="K8468">
            <v>0</v>
          </cell>
          <cell r="M8468">
            <v>0</v>
          </cell>
          <cell r="P8468">
            <v>0</v>
          </cell>
        </row>
        <row r="8469">
          <cell r="K8469">
            <v>0</v>
          </cell>
          <cell r="M8469">
            <v>0</v>
          </cell>
          <cell r="P8469">
            <v>0</v>
          </cell>
        </row>
        <row r="8470">
          <cell r="K8470">
            <v>0</v>
          </cell>
          <cell r="M8470">
            <v>0</v>
          </cell>
          <cell r="P8470">
            <v>0</v>
          </cell>
        </row>
        <row r="8471">
          <cell r="K8471">
            <v>0</v>
          </cell>
          <cell r="M8471">
            <v>0</v>
          </cell>
          <cell r="P8471">
            <v>0</v>
          </cell>
        </row>
        <row r="8472">
          <cell r="K8472">
            <v>0</v>
          </cell>
          <cell r="M8472">
            <v>0</v>
          </cell>
          <cell r="P8472">
            <v>0</v>
          </cell>
        </row>
        <row r="8473">
          <cell r="K8473">
            <v>0</v>
          </cell>
          <cell r="M8473">
            <v>0</v>
          </cell>
          <cell r="P8473">
            <v>0</v>
          </cell>
        </row>
        <row r="8474">
          <cell r="K8474">
            <v>0</v>
          </cell>
          <cell r="M8474">
            <v>0</v>
          </cell>
          <cell r="P8474">
            <v>0</v>
          </cell>
        </row>
        <row r="8475">
          <cell r="K8475">
            <v>0</v>
          </cell>
          <cell r="M8475">
            <v>0</v>
          </cell>
          <cell r="P8475">
            <v>0</v>
          </cell>
        </row>
        <row r="8476">
          <cell r="K8476">
            <v>0</v>
          </cell>
          <cell r="M8476">
            <v>0</v>
          </cell>
          <cell r="P8476">
            <v>0</v>
          </cell>
        </row>
        <row r="8477">
          <cell r="K8477">
            <v>0</v>
          </cell>
          <cell r="M8477">
            <v>0</v>
          </cell>
          <cell r="P8477">
            <v>0</v>
          </cell>
        </row>
        <row r="8478">
          <cell r="K8478">
            <v>0</v>
          </cell>
          <cell r="M8478">
            <v>0</v>
          </cell>
          <cell r="P8478">
            <v>0</v>
          </cell>
        </row>
        <row r="8479">
          <cell r="K8479">
            <v>0</v>
          </cell>
          <cell r="M8479">
            <v>0</v>
          </cell>
          <cell r="P8479">
            <v>0</v>
          </cell>
        </row>
        <row r="8480">
          <cell r="K8480">
            <v>0</v>
          </cell>
          <cell r="M8480">
            <v>0</v>
          </cell>
          <cell r="P8480">
            <v>0</v>
          </cell>
        </row>
        <row r="8481">
          <cell r="K8481">
            <v>0</v>
          </cell>
          <cell r="M8481">
            <v>0</v>
          </cell>
          <cell r="P8481">
            <v>0</v>
          </cell>
        </row>
        <row r="8482">
          <cell r="K8482">
            <v>0</v>
          </cell>
          <cell r="M8482">
            <v>0</v>
          </cell>
          <cell r="P8482">
            <v>0</v>
          </cell>
        </row>
        <row r="8483">
          <cell r="K8483">
            <v>0</v>
          </cell>
          <cell r="M8483">
            <v>0</v>
          </cell>
          <cell r="P8483">
            <v>0</v>
          </cell>
        </row>
        <row r="8484">
          <cell r="K8484">
            <v>0</v>
          </cell>
          <cell r="M8484">
            <v>0</v>
          </cell>
          <cell r="P8484">
            <v>0</v>
          </cell>
        </row>
        <row r="8485">
          <cell r="K8485">
            <v>0</v>
          </cell>
          <cell r="M8485">
            <v>0</v>
          </cell>
          <cell r="P8485">
            <v>0</v>
          </cell>
        </row>
        <row r="8486">
          <cell r="K8486">
            <v>0</v>
          </cell>
          <cell r="M8486">
            <v>0</v>
          </cell>
          <cell r="P8486">
            <v>0</v>
          </cell>
        </row>
        <row r="8487">
          <cell r="K8487">
            <v>0</v>
          </cell>
          <cell r="M8487">
            <v>0</v>
          </cell>
          <cell r="P8487">
            <v>0</v>
          </cell>
        </row>
        <row r="8488">
          <cell r="K8488">
            <v>0</v>
          </cell>
          <cell r="M8488">
            <v>0</v>
          </cell>
          <cell r="P8488">
            <v>0</v>
          </cell>
        </row>
        <row r="8489">
          <cell r="K8489">
            <v>0</v>
          </cell>
          <cell r="M8489">
            <v>0</v>
          </cell>
          <cell r="P8489">
            <v>0</v>
          </cell>
        </row>
        <row r="8490">
          <cell r="K8490">
            <v>0</v>
          </cell>
          <cell r="M8490">
            <v>0</v>
          </cell>
          <cell r="P8490">
            <v>0</v>
          </cell>
        </row>
        <row r="8491">
          <cell r="K8491">
            <v>0</v>
          </cell>
          <cell r="M8491">
            <v>0</v>
          </cell>
          <cell r="P8491">
            <v>0</v>
          </cell>
        </row>
        <row r="8492">
          <cell r="K8492">
            <v>0</v>
          </cell>
          <cell r="M8492">
            <v>0</v>
          </cell>
          <cell r="P8492">
            <v>0</v>
          </cell>
        </row>
        <row r="8493">
          <cell r="K8493">
            <v>0</v>
          </cell>
          <cell r="M8493">
            <v>0</v>
          </cell>
          <cell r="P8493">
            <v>0</v>
          </cell>
        </row>
        <row r="8494">
          <cell r="K8494">
            <v>0</v>
          </cell>
          <cell r="M8494">
            <v>0</v>
          </cell>
          <cell r="P8494">
            <v>0</v>
          </cell>
        </row>
        <row r="8495">
          <cell r="K8495">
            <v>0</v>
          </cell>
          <cell r="M8495">
            <v>0</v>
          </cell>
          <cell r="P8495">
            <v>0</v>
          </cell>
        </row>
        <row r="8496">
          <cell r="K8496">
            <v>0</v>
          </cell>
          <cell r="M8496">
            <v>0</v>
          </cell>
          <cell r="P8496">
            <v>0</v>
          </cell>
        </row>
        <row r="8497">
          <cell r="K8497">
            <v>0</v>
          </cell>
          <cell r="M8497">
            <v>0</v>
          </cell>
          <cell r="P8497">
            <v>0</v>
          </cell>
        </row>
        <row r="8498">
          <cell r="K8498">
            <v>0</v>
          </cell>
          <cell r="M8498">
            <v>0</v>
          </cell>
          <cell r="P8498">
            <v>0</v>
          </cell>
        </row>
        <row r="8499">
          <cell r="K8499">
            <v>0</v>
          </cell>
          <cell r="M8499">
            <v>0</v>
          </cell>
          <cell r="P8499">
            <v>0</v>
          </cell>
        </row>
        <row r="8500">
          <cell r="K8500">
            <v>0</v>
          </cell>
          <cell r="M8500">
            <v>0</v>
          </cell>
          <cell r="P8500">
            <v>0</v>
          </cell>
        </row>
        <row r="8501">
          <cell r="K8501">
            <v>0</v>
          </cell>
          <cell r="M8501">
            <v>0</v>
          </cell>
          <cell r="P8501">
            <v>0</v>
          </cell>
        </row>
        <row r="8502">
          <cell r="K8502">
            <v>0</v>
          </cell>
          <cell r="M8502">
            <v>0</v>
          </cell>
          <cell r="P8502">
            <v>0</v>
          </cell>
        </row>
        <row r="8503">
          <cell r="K8503">
            <v>0</v>
          </cell>
          <cell r="M8503">
            <v>0</v>
          </cell>
          <cell r="P8503">
            <v>0</v>
          </cell>
        </row>
        <row r="8504">
          <cell r="K8504">
            <v>0</v>
          </cell>
          <cell r="M8504">
            <v>0</v>
          </cell>
          <cell r="P8504">
            <v>0</v>
          </cell>
        </row>
        <row r="8505">
          <cell r="K8505">
            <v>0</v>
          </cell>
          <cell r="M8505">
            <v>0</v>
          </cell>
          <cell r="P8505">
            <v>0</v>
          </cell>
        </row>
        <row r="8506">
          <cell r="K8506">
            <v>0</v>
          </cell>
          <cell r="M8506">
            <v>0</v>
          </cell>
          <cell r="P8506">
            <v>0</v>
          </cell>
        </row>
        <row r="8507">
          <cell r="K8507">
            <v>0</v>
          </cell>
          <cell r="M8507">
            <v>0</v>
          </cell>
          <cell r="P8507">
            <v>0</v>
          </cell>
        </row>
        <row r="8508">
          <cell r="K8508">
            <v>0</v>
          </cell>
          <cell r="M8508">
            <v>0</v>
          </cell>
          <cell r="P8508">
            <v>0</v>
          </cell>
        </row>
        <row r="8509">
          <cell r="K8509">
            <v>0</v>
          </cell>
          <cell r="M8509">
            <v>0</v>
          </cell>
          <cell r="P8509">
            <v>0</v>
          </cell>
        </row>
        <row r="8510">
          <cell r="K8510">
            <v>0</v>
          </cell>
          <cell r="M8510">
            <v>0</v>
          </cell>
          <cell r="P8510">
            <v>0</v>
          </cell>
        </row>
        <row r="8511">
          <cell r="K8511">
            <v>0</v>
          </cell>
          <cell r="M8511">
            <v>0</v>
          </cell>
          <cell r="P8511">
            <v>0</v>
          </cell>
        </row>
        <row r="8512">
          <cell r="K8512">
            <v>0</v>
          </cell>
          <cell r="M8512">
            <v>0</v>
          </cell>
          <cell r="P8512">
            <v>0</v>
          </cell>
        </row>
        <row r="8513">
          <cell r="K8513">
            <v>0</v>
          </cell>
          <cell r="M8513">
            <v>0</v>
          </cell>
          <cell r="P8513">
            <v>0</v>
          </cell>
        </row>
        <row r="8514">
          <cell r="K8514">
            <v>0</v>
          </cell>
          <cell r="M8514">
            <v>0</v>
          </cell>
          <cell r="P8514">
            <v>0</v>
          </cell>
        </row>
        <row r="8515">
          <cell r="K8515">
            <v>0</v>
          </cell>
          <cell r="M8515">
            <v>0</v>
          </cell>
          <cell r="P8515">
            <v>0</v>
          </cell>
        </row>
        <row r="8516">
          <cell r="K8516">
            <v>0</v>
          </cell>
          <cell r="M8516">
            <v>0</v>
          </cell>
          <cell r="P8516">
            <v>0</v>
          </cell>
        </row>
        <row r="8517">
          <cell r="K8517">
            <v>0</v>
          </cell>
          <cell r="M8517">
            <v>0</v>
          </cell>
          <cell r="P8517">
            <v>0</v>
          </cell>
        </row>
        <row r="8518">
          <cell r="K8518">
            <v>0</v>
          </cell>
          <cell r="M8518">
            <v>0</v>
          </cell>
          <cell r="P8518">
            <v>0</v>
          </cell>
        </row>
        <row r="8519">
          <cell r="K8519">
            <v>0</v>
          </cell>
          <cell r="M8519">
            <v>0</v>
          </cell>
          <cell r="P8519">
            <v>0</v>
          </cell>
        </row>
        <row r="8520">
          <cell r="K8520">
            <v>0</v>
          </cell>
          <cell r="M8520">
            <v>0</v>
          </cell>
          <cell r="P8520">
            <v>0</v>
          </cell>
        </row>
        <row r="8521">
          <cell r="K8521">
            <v>0</v>
          </cell>
          <cell r="M8521">
            <v>0</v>
          </cell>
          <cell r="P8521">
            <v>0</v>
          </cell>
        </row>
        <row r="8522">
          <cell r="K8522">
            <v>0</v>
          </cell>
          <cell r="M8522">
            <v>0</v>
          </cell>
          <cell r="P8522">
            <v>0</v>
          </cell>
        </row>
        <row r="8523">
          <cell r="K8523">
            <v>0</v>
          </cell>
          <cell r="M8523">
            <v>0</v>
          </cell>
          <cell r="P8523">
            <v>0</v>
          </cell>
        </row>
        <row r="8524">
          <cell r="K8524">
            <v>0</v>
          </cell>
          <cell r="M8524">
            <v>0</v>
          </cell>
          <cell r="P8524">
            <v>0</v>
          </cell>
        </row>
        <row r="8525">
          <cell r="K8525">
            <v>0</v>
          </cell>
          <cell r="M8525">
            <v>0</v>
          </cell>
          <cell r="P8525">
            <v>0</v>
          </cell>
        </row>
        <row r="8526">
          <cell r="K8526">
            <v>0</v>
          </cell>
          <cell r="M8526">
            <v>0</v>
          </cell>
          <cell r="P8526">
            <v>0</v>
          </cell>
        </row>
        <row r="8527">
          <cell r="K8527">
            <v>0</v>
          </cell>
          <cell r="M8527">
            <v>0</v>
          </cell>
          <cell r="P8527">
            <v>0</v>
          </cell>
        </row>
        <row r="8528">
          <cell r="K8528">
            <v>0</v>
          </cell>
          <cell r="M8528">
            <v>0</v>
          </cell>
          <cell r="P8528">
            <v>0</v>
          </cell>
        </row>
        <row r="8529">
          <cell r="K8529">
            <v>0</v>
          </cell>
          <cell r="M8529">
            <v>0</v>
          </cell>
          <cell r="P8529">
            <v>0</v>
          </cell>
        </row>
        <row r="8530">
          <cell r="K8530">
            <v>0</v>
          </cell>
          <cell r="M8530">
            <v>0</v>
          </cell>
          <cell r="P8530">
            <v>0</v>
          </cell>
        </row>
        <row r="8531">
          <cell r="K8531">
            <v>0</v>
          </cell>
          <cell r="M8531">
            <v>0</v>
          </cell>
          <cell r="P8531">
            <v>0</v>
          </cell>
        </row>
        <row r="8532">
          <cell r="K8532">
            <v>0</v>
          </cell>
          <cell r="M8532">
            <v>0</v>
          </cell>
          <cell r="P8532">
            <v>0</v>
          </cell>
        </row>
        <row r="8533">
          <cell r="K8533">
            <v>0</v>
          </cell>
          <cell r="M8533">
            <v>0</v>
          </cell>
          <cell r="P8533">
            <v>0</v>
          </cell>
        </row>
        <row r="8534">
          <cell r="K8534">
            <v>0</v>
          </cell>
          <cell r="M8534">
            <v>0</v>
          </cell>
          <cell r="P8534">
            <v>0</v>
          </cell>
        </row>
        <row r="8535">
          <cell r="K8535">
            <v>0</v>
          </cell>
          <cell r="M8535">
            <v>0</v>
          </cell>
          <cell r="P8535">
            <v>0</v>
          </cell>
        </row>
        <row r="8536">
          <cell r="K8536">
            <v>0</v>
          </cell>
          <cell r="M8536">
            <v>0</v>
          </cell>
          <cell r="P8536">
            <v>0</v>
          </cell>
        </row>
        <row r="8537">
          <cell r="K8537">
            <v>0</v>
          </cell>
          <cell r="M8537">
            <v>0</v>
          </cell>
          <cell r="P8537">
            <v>0</v>
          </cell>
        </row>
        <row r="8538">
          <cell r="K8538">
            <v>0</v>
          </cell>
          <cell r="M8538">
            <v>0</v>
          </cell>
          <cell r="P8538">
            <v>0</v>
          </cell>
        </row>
        <row r="8539">
          <cell r="K8539">
            <v>0</v>
          </cell>
          <cell r="M8539">
            <v>0</v>
          </cell>
          <cell r="P8539">
            <v>0</v>
          </cell>
        </row>
        <row r="8540">
          <cell r="K8540">
            <v>0</v>
          </cell>
          <cell r="M8540">
            <v>0</v>
          </cell>
          <cell r="P8540">
            <v>0</v>
          </cell>
        </row>
        <row r="8541">
          <cell r="K8541">
            <v>0</v>
          </cell>
          <cell r="M8541">
            <v>0</v>
          </cell>
          <cell r="P8541">
            <v>0</v>
          </cell>
        </row>
        <row r="8542">
          <cell r="K8542">
            <v>0</v>
          </cell>
          <cell r="M8542">
            <v>0</v>
          </cell>
          <cell r="P8542">
            <v>0</v>
          </cell>
        </row>
        <row r="8543">
          <cell r="K8543">
            <v>0</v>
          </cell>
          <cell r="M8543">
            <v>0</v>
          </cell>
          <cell r="P8543">
            <v>0</v>
          </cell>
        </row>
        <row r="8544">
          <cell r="K8544">
            <v>0</v>
          </cell>
          <cell r="M8544">
            <v>0</v>
          </cell>
          <cell r="P8544">
            <v>0</v>
          </cell>
        </row>
        <row r="8545">
          <cell r="K8545">
            <v>0</v>
          </cell>
          <cell r="M8545">
            <v>0</v>
          </cell>
          <cell r="P8545">
            <v>0</v>
          </cell>
        </row>
        <row r="8546">
          <cell r="K8546">
            <v>0</v>
          </cell>
          <cell r="M8546">
            <v>0</v>
          </cell>
          <cell r="P8546">
            <v>0</v>
          </cell>
        </row>
        <row r="8547">
          <cell r="K8547">
            <v>0</v>
          </cell>
          <cell r="M8547">
            <v>0</v>
          </cell>
          <cell r="P8547">
            <v>0</v>
          </cell>
        </row>
        <row r="8548">
          <cell r="K8548">
            <v>0</v>
          </cell>
          <cell r="M8548">
            <v>0</v>
          </cell>
          <cell r="P8548">
            <v>0</v>
          </cell>
        </row>
        <row r="8549">
          <cell r="K8549">
            <v>0</v>
          </cell>
          <cell r="M8549">
            <v>0</v>
          </cell>
          <cell r="P8549">
            <v>0</v>
          </cell>
        </row>
        <row r="8550">
          <cell r="K8550">
            <v>0</v>
          </cell>
          <cell r="M8550">
            <v>0</v>
          </cell>
          <cell r="P8550">
            <v>0</v>
          </cell>
        </row>
        <row r="8551">
          <cell r="K8551">
            <v>0</v>
          </cell>
          <cell r="M8551">
            <v>0</v>
          </cell>
          <cell r="P8551">
            <v>0</v>
          </cell>
        </row>
        <row r="8552">
          <cell r="K8552">
            <v>0</v>
          </cell>
          <cell r="M8552">
            <v>0</v>
          </cell>
          <cell r="P8552">
            <v>0</v>
          </cell>
        </row>
        <row r="8553">
          <cell r="K8553">
            <v>0</v>
          </cell>
          <cell r="M8553">
            <v>0</v>
          </cell>
          <cell r="P8553">
            <v>0</v>
          </cell>
        </row>
        <row r="8554">
          <cell r="K8554">
            <v>0</v>
          </cell>
          <cell r="M8554">
            <v>0</v>
          </cell>
          <cell r="P8554">
            <v>0</v>
          </cell>
        </row>
        <row r="8555">
          <cell r="K8555">
            <v>0</v>
          </cell>
          <cell r="M8555">
            <v>0</v>
          </cell>
          <cell r="P8555">
            <v>0</v>
          </cell>
        </row>
        <row r="8556">
          <cell r="K8556">
            <v>0</v>
          </cell>
          <cell r="M8556">
            <v>0</v>
          </cell>
          <cell r="P8556">
            <v>0</v>
          </cell>
        </row>
        <row r="8557">
          <cell r="K8557">
            <v>0</v>
          </cell>
          <cell r="M8557">
            <v>0</v>
          </cell>
          <cell r="P8557">
            <v>0</v>
          </cell>
        </row>
        <row r="8558">
          <cell r="K8558">
            <v>0</v>
          </cell>
          <cell r="M8558">
            <v>0</v>
          </cell>
          <cell r="P8558">
            <v>0</v>
          </cell>
        </row>
        <row r="8559">
          <cell r="K8559">
            <v>0</v>
          </cell>
          <cell r="M8559">
            <v>0</v>
          </cell>
          <cell r="P8559">
            <v>0</v>
          </cell>
        </row>
        <row r="8560">
          <cell r="K8560">
            <v>0</v>
          </cell>
          <cell r="M8560">
            <v>0</v>
          </cell>
          <cell r="P8560">
            <v>0</v>
          </cell>
        </row>
        <row r="8561">
          <cell r="K8561">
            <v>0</v>
          </cell>
          <cell r="M8561">
            <v>0</v>
          </cell>
          <cell r="P8561">
            <v>0</v>
          </cell>
        </row>
        <row r="8562">
          <cell r="K8562">
            <v>0</v>
          </cell>
          <cell r="M8562">
            <v>0</v>
          </cell>
          <cell r="P8562">
            <v>0</v>
          </cell>
        </row>
        <row r="8563">
          <cell r="K8563">
            <v>0</v>
          </cell>
          <cell r="M8563">
            <v>0</v>
          </cell>
          <cell r="P8563">
            <v>0</v>
          </cell>
        </row>
        <row r="8564">
          <cell r="K8564">
            <v>0</v>
          </cell>
          <cell r="M8564">
            <v>0</v>
          </cell>
          <cell r="P8564">
            <v>0</v>
          </cell>
        </row>
        <row r="8565">
          <cell r="K8565">
            <v>0</v>
          </cell>
          <cell r="M8565">
            <v>0</v>
          </cell>
          <cell r="P8565">
            <v>0</v>
          </cell>
        </row>
        <row r="8566">
          <cell r="K8566">
            <v>0</v>
          </cell>
          <cell r="M8566">
            <v>0</v>
          </cell>
          <cell r="P8566">
            <v>0</v>
          </cell>
        </row>
        <row r="8567">
          <cell r="K8567">
            <v>0</v>
          </cell>
          <cell r="M8567">
            <v>0</v>
          </cell>
          <cell r="P8567">
            <v>0</v>
          </cell>
        </row>
        <row r="8568">
          <cell r="K8568">
            <v>0</v>
          </cell>
          <cell r="M8568">
            <v>0</v>
          </cell>
          <cell r="P8568">
            <v>0</v>
          </cell>
        </row>
        <row r="8569">
          <cell r="K8569">
            <v>0</v>
          </cell>
          <cell r="M8569">
            <v>0</v>
          </cell>
          <cell r="P8569">
            <v>0</v>
          </cell>
        </row>
        <row r="8570">
          <cell r="K8570">
            <v>0</v>
          </cell>
          <cell r="M8570">
            <v>0</v>
          </cell>
          <cell r="P8570">
            <v>0</v>
          </cell>
        </row>
        <row r="8571">
          <cell r="K8571">
            <v>0</v>
          </cell>
          <cell r="M8571">
            <v>0</v>
          </cell>
          <cell r="P8571">
            <v>0</v>
          </cell>
        </row>
        <row r="8572">
          <cell r="K8572">
            <v>0</v>
          </cell>
          <cell r="M8572">
            <v>0</v>
          </cell>
          <cell r="P8572">
            <v>0</v>
          </cell>
        </row>
        <row r="8573">
          <cell r="K8573">
            <v>0</v>
          </cell>
          <cell r="M8573">
            <v>0</v>
          </cell>
          <cell r="P8573">
            <v>0</v>
          </cell>
        </row>
        <row r="8574">
          <cell r="K8574">
            <v>0</v>
          </cell>
          <cell r="M8574">
            <v>0</v>
          </cell>
          <cell r="P8574">
            <v>0</v>
          </cell>
        </row>
        <row r="8575">
          <cell r="K8575">
            <v>0</v>
          </cell>
          <cell r="M8575">
            <v>0</v>
          </cell>
          <cell r="P8575">
            <v>0</v>
          </cell>
        </row>
        <row r="8576">
          <cell r="K8576">
            <v>0</v>
          </cell>
          <cell r="M8576">
            <v>0</v>
          </cell>
          <cell r="P8576">
            <v>0</v>
          </cell>
        </row>
        <row r="8577">
          <cell r="K8577">
            <v>0</v>
          </cell>
          <cell r="M8577">
            <v>0</v>
          </cell>
          <cell r="P8577">
            <v>0</v>
          </cell>
        </row>
        <row r="8578">
          <cell r="K8578">
            <v>0</v>
          </cell>
          <cell r="M8578">
            <v>0</v>
          </cell>
          <cell r="P8578">
            <v>0</v>
          </cell>
        </row>
        <row r="8579">
          <cell r="K8579">
            <v>0</v>
          </cell>
          <cell r="M8579">
            <v>0</v>
          </cell>
          <cell r="P8579">
            <v>0</v>
          </cell>
        </row>
        <row r="8580">
          <cell r="K8580">
            <v>0</v>
          </cell>
          <cell r="M8580">
            <v>0</v>
          </cell>
          <cell r="P8580">
            <v>0</v>
          </cell>
        </row>
        <row r="8581">
          <cell r="K8581">
            <v>0</v>
          </cell>
          <cell r="M8581">
            <v>0</v>
          </cell>
          <cell r="P8581">
            <v>0</v>
          </cell>
        </row>
        <row r="8582">
          <cell r="K8582">
            <v>0</v>
          </cell>
          <cell r="M8582">
            <v>0</v>
          </cell>
          <cell r="P8582">
            <v>0</v>
          </cell>
        </row>
        <row r="8583">
          <cell r="K8583">
            <v>0</v>
          </cell>
          <cell r="M8583">
            <v>0</v>
          </cell>
          <cell r="P8583">
            <v>0</v>
          </cell>
        </row>
        <row r="8584">
          <cell r="K8584">
            <v>0</v>
          </cell>
          <cell r="M8584">
            <v>0</v>
          </cell>
          <cell r="P8584">
            <v>0</v>
          </cell>
        </row>
        <row r="8585">
          <cell r="K8585">
            <v>0</v>
          </cell>
          <cell r="M8585">
            <v>0</v>
          </cell>
          <cell r="P8585">
            <v>0</v>
          </cell>
        </row>
        <row r="8586">
          <cell r="K8586">
            <v>0</v>
          </cell>
          <cell r="M8586">
            <v>0</v>
          </cell>
          <cell r="P8586">
            <v>0</v>
          </cell>
        </row>
        <row r="8587">
          <cell r="K8587">
            <v>0</v>
          </cell>
          <cell r="M8587">
            <v>0</v>
          </cell>
          <cell r="P8587">
            <v>0</v>
          </cell>
        </row>
        <row r="8588">
          <cell r="K8588">
            <v>0</v>
          </cell>
          <cell r="M8588">
            <v>0</v>
          </cell>
          <cell r="P8588">
            <v>0</v>
          </cell>
        </row>
        <row r="8589">
          <cell r="K8589">
            <v>0</v>
          </cell>
          <cell r="M8589">
            <v>0</v>
          </cell>
          <cell r="P8589">
            <v>0</v>
          </cell>
        </row>
        <row r="8590">
          <cell r="K8590">
            <v>0</v>
          </cell>
          <cell r="M8590">
            <v>0</v>
          </cell>
          <cell r="P8590">
            <v>0</v>
          </cell>
        </row>
        <row r="8591">
          <cell r="K8591">
            <v>0</v>
          </cell>
          <cell r="M8591">
            <v>0</v>
          </cell>
          <cell r="P8591">
            <v>0</v>
          </cell>
        </row>
        <row r="8592">
          <cell r="K8592">
            <v>0</v>
          </cell>
          <cell r="M8592">
            <v>0</v>
          </cell>
          <cell r="P8592">
            <v>0</v>
          </cell>
        </row>
        <row r="8593">
          <cell r="K8593">
            <v>0</v>
          </cell>
          <cell r="M8593">
            <v>0</v>
          </cell>
          <cell r="P8593">
            <v>0</v>
          </cell>
        </row>
        <row r="8594">
          <cell r="K8594">
            <v>0</v>
          </cell>
          <cell r="M8594">
            <v>0</v>
          </cell>
          <cell r="P8594">
            <v>0</v>
          </cell>
        </row>
        <row r="8595">
          <cell r="K8595">
            <v>0</v>
          </cell>
          <cell r="M8595">
            <v>0</v>
          </cell>
          <cell r="P8595">
            <v>0</v>
          </cell>
        </row>
        <row r="8596">
          <cell r="K8596">
            <v>0</v>
          </cell>
          <cell r="M8596">
            <v>0</v>
          </cell>
          <cell r="P8596">
            <v>0</v>
          </cell>
        </row>
        <row r="8597">
          <cell r="K8597">
            <v>0</v>
          </cell>
          <cell r="M8597">
            <v>0</v>
          </cell>
          <cell r="P8597">
            <v>0</v>
          </cell>
        </row>
        <row r="8598">
          <cell r="K8598">
            <v>0</v>
          </cell>
          <cell r="M8598">
            <v>0</v>
          </cell>
          <cell r="P8598">
            <v>0</v>
          </cell>
        </row>
        <row r="8599">
          <cell r="K8599">
            <v>0</v>
          </cell>
          <cell r="M8599">
            <v>0</v>
          </cell>
          <cell r="P8599">
            <v>0</v>
          </cell>
        </row>
        <row r="8600">
          <cell r="K8600">
            <v>0</v>
          </cell>
          <cell r="M8600">
            <v>0</v>
          </cell>
          <cell r="P8600">
            <v>0</v>
          </cell>
        </row>
        <row r="8601">
          <cell r="K8601">
            <v>0</v>
          </cell>
          <cell r="M8601">
            <v>0</v>
          </cell>
          <cell r="P8601">
            <v>0</v>
          </cell>
        </row>
        <row r="8602">
          <cell r="K8602">
            <v>0</v>
          </cell>
          <cell r="M8602">
            <v>0</v>
          </cell>
          <cell r="P8602">
            <v>0</v>
          </cell>
        </row>
        <row r="8603">
          <cell r="K8603">
            <v>0</v>
          </cell>
          <cell r="M8603">
            <v>0</v>
          </cell>
          <cell r="P8603">
            <v>0</v>
          </cell>
        </row>
        <row r="8604">
          <cell r="K8604">
            <v>0</v>
          </cell>
          <cell r="M8604">
            <v>0</v>
          </cell>
          <cell r="P8604">
            <v>0</v>
          </cell>
        </row>
        <row r="8605">
          <cell r="K8605">
            <v>0</v>
          </cell>
          <cell r="M8605">
            <v>0</v>
          </cell>
          <cell r="P8605">
            <v>0</v>
          </cell>
        </row>
        <row r="8606">
          <cell r="K8606">
            <v>0</v>
          </cell>
          <cell r="M8606">
            <v>0</v>
          </cell>
          <cell r="P8606">
            <v>0</v>
          </cell>
        </row>
        <row r="8607">
          <cell r="K8607">
            <v>0</v>
          </cell>
          <cell r="M8607">
            <v>0</v>
          </cell>
          <cell r="P8607">
            <v>0</v>
          </cell>
        </row>
        <row r="8608">
          <cell r="K8608">
            <v>0</v>
          </cell>
          <cell r="M8608">
            <v>0</v>
          </cell>
          <cell r="P8608">
            <v>0</v>
          </cell>
        </row>
        <row r="8609">
          <cell r="K8609">
            <v>0</v>
          </cell>
          <cell r="M8609">
            <v>0</v>
          </cell>
          <cell r="P8609">
            <v>0</v>
          </cell>
        </row>
        <row r="8610">
          <cell r="K8610">
            <v>0</v>
          </cell>
          <cell r="M8610">
            <v>0</v>
          </cell>
          <cell r="P8610">
            <v>0</v>
          </cell>
        </row>
        <row r="8611">
          <cell r="K8611">
            <v>0</v>
          </cell>
          <cell r="M8611">
            <v>0</v>
          </cell>
          <cell r="P8611">
            <v>0</v>
          </cell>
        </row>
        <row r="8612">
          <cell r="K8612">
            <v>0</v>
          </cell>
          <cell r="M8612">
            <v>0</v>
          </cell>
          <cell r="P8612">
            <v>0</v>
          </cell>
        </row>
        <row r="8613">
          <cell r="K8613">
            <v>0</v>
          </cell>
          <cell r="M8613">
            <v>0</v>
          </cell>
          <cell r="P8613">
            <v>0</v>
          </cell>
        </row>
        <row r="8614">
          <cell r="K8614">
            <v>0</v>
          </cell>
          <cell r="M8614">
            <v>0</v>
          </cell>
          <cell r="P8614">
            <v>0</v>
          </cell>
        </row>
        <row r="8615">
          <cell r="K8615">
            <v>0</v>
          </cell>
          <cell r="M8615">
            <v>0</v>
          </cell>
          <cell r="P8615">
            <v>0</v>
          </cell>
        </row>
        <row r="8616">
          <cell r="K8616">
            <v>0</v>
          </cell>
          <cell r="M8616">
            <v>0</v>
          </cell>
          <cell r="P8616">
            <v>0</v>
          </cell>
        </row>
        <row r="8617">
          <cell r="K8617">
            <v>0</v>
          </cell>
          <cell r="M8617">
            <v>0</v>
          </cell>
          <cell r="P8617">
            <v>0</v>
          </cell>
        </row>
        <row r="8618">
          <cell r="K8618">
            <v>0</v>
          </cell>
          <cell r="M8618">
            <v>0</v>
          </cell>
          <cell r="P8618">
            <v>0</v>
          </cell>
        </row>
        <row r="8619">
          <cell r="K8619">
            <v>0</v>
          </cell>
          <cell r="M8619">
            <v>0</v>
          </cell>
          <cell r="P8619">
            <v>0</v>
          </cell>
        </row>
        <row r="8620">
          <cell r="K8620">
            <v>0</v>
          </cell>
          <cell r="M8620">
            <v>0</v>
          </cell>
          <cell r="P8620">
            <v>0</v>
          </cell>
        </row>
        <row r="8621">
          <cell r="K8621">
            <v>0</v>
          </cell>
          <cell r="M8621">
            <v>0</v>
          </cell>
          <cell r="P8621">
            <v>0</v>
          </cell>
        </row>
        <row r="8622">
          <cell r="K8622">
            <v>0</v>
          </cell>
          <cell r="M8622">
            <v>0</v>
          </cell>
          <cell r="P8622">
            <v>0</v>
          </cell>
        </row>
        <row r="8623">
          <cell r="K8623">
            <v>0</v>
          </cell>
          <cell r="M8623">
            <v>0</v>
          </cell>
          <cell r="P8623">
            <v>0</v>
          </cell>
        </row>
        <row r="8624">
          <cell r="K8624">
            <v>0</v>
          </cell>
          <cell r="M8624">
            <v>0</v>
          </cell>
          <cell r="P8624">
            <v>0</v>
          </cell>
        </row>
        <row r="8625">
          <cell r="K8625">
            <v>0</v>
          </cell>
          <cell r="M8625">
            <v>0</v>
          </cell>
          <cell r="P8625">
            <v>0</v>
          </cell>
        </row>
        <row r="8626">
          <cell r="K8626">
            <v>0</v>
          </cell>
          <cell r="M8626">
            <v>0</v>
          </cell>
          <cell r="P8626">
            <v>0</v>
          </cell>
        </row>
        <row r="8627">
          <cell r="K8627">
            <v>0</v>
          </cell>
          <cell r="M8627">
            <v>0</v>
          </cell>
          <cell r="P8627">
            <v>0</v>
          </cell>
        </row>
        <row r="8628">
          <cell r="K8628">
            <v>0</v>
          </cell>
          <cell r="M8628">
            <v>0</v>
          </cell>
          <cell r="P8628">
            <v>0</v>
          </cell>
        </row>
        <row r="8629">
          <cell r="K8629">
            <v>0</v>
          </cell>
          <cell r="M8629">
            <v>0</v>
          </cell>
          <cell r="P8629">
            <v>0</v>
          </cell>
        </row>
        <row r="8630">
          <cell r="K8630">
            <v>0</v>
          </cell>
          <cell r="M8630">
            <v>0</v>
          </cell>
          <cell r="P8630">
            <v>0</v>
          </cell>
        </row>
        <row r="8631">
          <cell r="K8631">
            <v>0</v>
          </cell>
          <cell r="M8631">
            <v>0</v>
          </cell>
          <cell r="P8631">
            <v>0</v>
          </cell>
        </row>
        <row r="8632">
          <cell r="K8632">
            <v>0</v>
          </cell>
          <cell r="M8632">
            <v>0</v>
          </cell>
          <cell r="P8632">
            <v>0</v>
          </cell>
        </row>
        <row r="8633">
          <cell r="K8633">
            <v>0</v>
          </cell>
          <cell r="M8633">
            <v>0</v>
          </cell>
          <cell r="P8633">
            <v>0</v>
          </cell>
        </row>
        <row r="8634">
          <cell r="K8634">
            <v>0</v>
          </cell>
          <cell r="M8634">
            <v>0</v>
          </cell>
          <cell r="P8634">
            <v>0</v>
          </cell>
        </row>
        <row r="8635">
          <cell r="K8635">
            <v>0</v>
          </cell>
          <cell r="M8635">
            <v>0</v>
          </cell>
          <cell r="P8635">
            <v>0</v>
          </cell>
        </row>
        <row r="8636">
          <cell r="K8636">
            <v>0</v>
          </cell>
          <cell r="M8636">
            <v>0</v>
          </cell>
          <cell r="P8636">
            <v>0</v>
          </cell>
        </row>
        <row r="8637">
          <cell r="K8637">
            <v>0</v>
          </cell>
          <cell r="M8637">
            <v>0</v>
          </cell>
          <cell r="P8637">
            <v>0</v>
          </cell>
        </row>
        <row r="8638">
          <cell r="K8638">
            <v>0</v>
          </cell>
          <cell r="M8638">
            <v>0</v>
          </cell>
          <cell r="P8638">
            <v>0</v>
          </cell>
        </row>
        <row r="8639">
          <cell r="K8639">
            <v>0</v>
          </cell>
          <cell r="M8639">
            <v>0</v>
          </cell>
          <cell r="P8639">
            <v>0</v>
          </cell>
        </row>
        <row r="8640">
          <cell r="K8640">
            <v>0</v>
          </cell>
          <cell r="M8640">
            <v>0</v>
          </cell>
          <cell r="P8640">
            <v>0</v>
          </cell>
        </row>
        <row r="8641">
          <cell r="K8641">
            <v>0</v>
          </cell>
          <cell r="M8641">
            <v>0</v>
          </cell>
          <cell r="P8641">
            <v>0</v>
          </cell>
        </row>
        <row r="8642">
          <cell r="K8642">
            <v>0</v>
          </cell>
          <cell r="M8642">
            <v>0</v>
          </cell>
          <cell r="P8642">
            <v>0</v>
          </cell>
        </row>
        <row r="8643">
          <cell r="K8643">
            <v>0</v>
          </cell>
          <cell r="M8643">
            <v>0</v>
          </cell>
          <cell r="P8643">
            <v>0</v>
          </cell>
        </row>
        <row r="8644">
          <cell r="K8644">
            <v>0</v>
          </cell>
          <cell r="M8644">
            <v>0</v>
          </cell>
          <cell r="P8644">
            <v>0</v>
          </cell>
        </row>
        <row r="8645">
          <cell r="K8645">
            <v>0</v>
          </cell>
          <cell r="M8645">
            <v>0</v>
          </cell>
          <cell r="P8645">
            <v>0</v>
          </cell>
        </row>
        <row r="8646">
          <cell r="K8646">
            <v>0</v>
          </cell>
          <cell r="M8646">
            <v>0</v>
          </cell>
          <cell r="P8646">
            <v>0</v>
          </cell>
        </row>
        <row r="8647">
          <cell r="K8647">
            <v>0</v>
          </cell>
          <cell r="M8647">
            <v>0</v>
          </cell>
          <cell r="P8647">
            <v>0</v>
          </cell>
        </row>
        <row r="8648">
          <cell r="K8648">
            <v>0</v>
          </cell>
          <cell r="M8648">
            <v>0</v>
          </cell>
          <cell r="P8648">
            <v>0</v>
          </cell>
        </row>
        <row r="8649">
          <cell r="K8649">
            <v>0</v>
          </cell>
          <cell r="M8649">
            <v>0</v>
          </cell>
          <cell r="P8649">
            <v>0</v>
          </cell>
        </row>
        <row r="8650">
          <cell r="K8650">
            <v>0</v>
          </cell>
          <cell r="M8650">
            <v>0</v>
          </cell>
          <cell r="P8650">
            <v>0</v>
          </cell>
        </row>
        <row r="8651">
          <cell r="K8651">
            <v>0</v>
          </cell>
          <cell r="M8651">
            <v>0</v>
          </cell>
          <cell r="P8651">
            <v>0</v>
          </cell>
        </row>
        <row r="8652">
          <cell r="K8652">
            <v>0</v>
          </cell>
          <cell r="M8652">
            <v>0</v>
          </cell>
          <cell r="P8652">
            <v>0</v>
          </cell>
        </row>
        <row r="8653">
          <cell r="K8653">
            <v>0</v>
          </cell>
          <cell r="M8653">
            <v>0</v>
          </cell>
          <cell r="P8653">
            <v>0</v>
          </cell>
        </row>
        <row r="8654">
          <cell r="K8654">
            <v>0</v>
          </cell>
          <cell r="M8654">
            <v>0</v>
          </cell>
          <cell r="P8654">
            <v>0</v>
          </cell>
        </row>
        <row r="8655">
          <cell r="K8655">
            <v>0</v>
          </cell>
          <cell r="M8655">
            <v>0</v>
          </cell>
          <cell r="P8655">
            <v>0</v>
          </cell>
        </row>
        <row r="8656">
          <cell r="K8656">
            <v>0</v>
          </cell>
          <cell r="M8656">
            <v>0</v>
          </cell>
          <cell r="P8656">
            <v>0</v>
          </cell>
        </row>
        <row r="8657">
          <cell r="K8657">
            <v>0</v>
          </cell>
          <cell r="M8657">
            <v>0</v>
          </cell>
          <cell r="P8657">
            <v>0</v>
          </cell>
        </row>
        <row r="8658">
          <cell r="K8658">
            <v>0</v>
          </cell>
          <cell r="M8658">
            <v>0</v>
          </cell>
          <cell r="P8658">
            <v>0</v>
          </cell>
        </row>
        <row r="8659">
          <cell r="K8659">
            <v>0</v>
          </cell>
          <cell r="M8659">
            <v>0</v>
          </cell>
          <cell r="P8659">
            <v>0</v>
          </cell>
        </row>
        <row r="8660">
          <cell r="K8660">
            <v>0</v>
          </cell>
          <cell r="M8660">
            <v>0</v>
          </cell>
          <cell r="P8660">
            <v>0</v>
          </cell>
        </row>
        <row r="8661">
          <cell r="K8661">
            <v>0</v>
          </cell>
          <cell r="M8661">
            <v>0</v>
          </cell>
          <cell r="P8661">
            <v>0</v>
          </cell>
        </row>
        <row r="8662">
          <cell r="K8662">
            <v>0</v>
          </cell>
          <cell r="M8662">
            <v>0</v>
          </cell>
          <cell r="P8662">
            <v>0</v>
          </cell>
        </row>
        <row r="8663">
          <cell r="K8663">
            <v>0</v>
          </cell>
          <cell r="M8663">
            <v>0</v>
          </cell>
          <cell r="P8663">
            <v>0</v>
          </cell>
        </row>
        <row r="8664">
          <cell r="K8664">
            <v>0</v>
          </cell>
          <cell r="M8664">
            <v>0</v>
          </cell>
          <cell r="P8664">
            <v>0</v>
          </cell>
        </row>
        <row r="8665">
          <cell r="K8665">
            <v>0</v>
          </cell>
          <cell r="M8665">
            <v>0</v>
          </cell>
          <cell r="P8665">
            <v>0</v>
          </cell>
        </row>
        <row r="8666">
          <cell r="K8666">
            <v>0</v>
          </cell>
          <cell r="M8666">
            <v>0</v>
          </cell>
          <cell r="P8666">
            <v>0</v>
          </cell>
        </row>
        <row r="8667">
          <cell r="K8667">
            <v>0</v>
          </cell>
          <cell r="M8667">
            <v>0</v>
          </cell>
          <cell r="P8667">
            <v>0</v>
          </cell>
        </row>
        <row r="8668">
          <cell r="K8668">
            <v>0</v>
          </cell>
          <cell r="M8668">
            <v>0</v>
          </cell>
          <cell r="P8668">
            <v>0</v>
          </cell>
        </row>
        <row r="8669">
          <cell r="K8669">
            <v>0</v>
          </cell>
          <cell r="M8669">
            <v>0</v>
          </cell>
          <cell r="P8669">
            <v>0</v>
          </cell>
        </row>
        <row r="8670">
          <cell r="K8670">
            <v>0</v>
          </cell>
          <cell r="M8670">
            <v>0</v>
          </cell>
          <cell r="P8670">
            <v>0</v>
          </cell>
        </row>
        <row r="8671">
          <cell r="K8671">
            <v>0</v>
          </cell>
          <cell r="M8671">
            <v>0</v>
          </cell>
          <cell r="P8671">
            <v>0</v>
          </cell>
        </row>
        <row r="8672">
          <cell r="K8672">
            <v>0</v>
          </cell>
          <cell r="M8672">
            <v>0</v>
          </cell>
          <cell r="P8672">
            <v>0</v>
          </cell>
        </row>
        <row r="8673">
          <cell r="K8673">
            <v>0</v>
          </cell>
          <cell r="M8673">
            <v>0</v>
          </cell>
          <cell r="P8673">
            <v>0</v>
          </cell>
        </row>
        <row r="8674">
          <cell r="K8674">
            <v>0</v>
          </cell>
          <cell r="M8674">
            <v>0</v>
          </cell>
          <cell r="P8674">
            <v>0</v>
          </cell>
        </row>
        <row r="8675">
          <cell r="K8675">
            <v>0</v>
          </cell>
          <cell r="M8675">
            <v>0</v>
          </cell>
          <cell r="P8675">
            <v>0</v>
          </cell>
        </row>
        <row r="8676">
          <cell r="K8676">
            <v>0</v>
          </cell>
          <cell r="M8676">
            <v>0</v>
          </cell>
          <cell r="P8676">
            <v>0</v>
          </cell>
        </row>
        <row r="8677">
          <cell r="K8677">
            <v>0</v>
          </cell>
          <cell r="M8677">
            <v>0</v>
          </cell>
          <cell r="P8677">
            <v>0</v>
          </cell>
        </row>
        <row r="8678">
          <cell r="K8678">
            <v>0</v>
          </cell>
          <cell r="M8678">
            <v>0</v>
          </cell>
          <cell r="P8678">
            <v>0</v>
          </cell>
        </row>
        <row r="8679">
          <cell r="K8679">
            <v>0</v>
          </cell>
          <cell r="M8679">
            <v>0</v>
          </cell>
          <cell r="P8679">
            <v>0</v>
          </cell>
        </row>
        <row r="8680">
          <cell r="K8680">
            <v>0</v>
          </cell>
          <cell r="M8680">
            <v>0</v>
          </cell>
          <cell r="P8680">
            <v>0</v>
          </cell>
        </row>
        <row r="8681">
          <cell r="K8681">
            <v>0</v>
          </cell>
          <cell r="M8681">
            <v>0</v>
          </cell>
          <cell r="P8681">
            <v>0</v>
          </cell>
        </row>
        <row r="8682">
          <cell r="K8682">
            <v>0</v>
          </cell>
          <cell r="M8682">
            <v>0</v>
          </cell>
          <cell r="P8682">
            <v>0</v>
          </cell>
        </row>
        <row r="8683">
          <cell r="K8683">
            <v>0</v>
          </cell>
          <cell r="M8683">
            <v>0</v>
          </cell>
          <cell r="P8683">
            <v>0</v>
          </cell>
        </row>
        <row r="8684">
          <cell r="K8684">
            <v>0</v>
          </cell>
          <cell r="M8684">
            <v>0</v>
          </cell>
          <cell r="P8684">
            <v>0</v>
          </cell>
        </row>
        <row r="8685">
          <cell r="K8685">
            <v>0</v>
          </cell>
          <cell r="M8685">
            <v>0</v>
          </cell>
          <cell r="P8685">
            <v>0</v>
          </cell>
        </row>
        <row r="8686">
          <cell r="K8686">
            <v>0</v>
          </cell>
          <cell r="M8686">
            <v>0</v>
          </cell>
          <cell r="P8686">
            <v>0</v>
          </cell>
        </row>
        <row r="8687">
          <cell r="K8687">
            <v>0</v>
          </cell>
          <cell r="M8687">
            <v>0</v>
          </cell>
          <cell r="P8687">
            <v>0</v>
          </cell>
        </row>
        <row r="8688">
          <cell r="K8688">
            <v>0</v>
          </cell>
          <cell r="M8688">
            <v>0</v>
          </cell>
          <cell r="P8688">
            <v>0</v>
          </cell>
        </row>
        <row r="8689">
          <cell r="K8689">
            <v>0</v>
          </cell>
          <cell r="M8689">
            <v>0</v>
          </cell>
          <cell r="P8689">
            <v>0</v>
          </cell>
        </row>
        <row r="8690">
          <cell r="K8690">
            <v>0</v>
          </cell>
          <cell r="M8690">
            <v>0</v>
          </cell>
          <cell r="P8690">
            <v>0</v>
          </cell>
        </row>
        <row r="8691">
          <cell r="K8691">
            <v>0</v>
          </cell>
          <cell r="M8691">
            <v>0</v>
          </cell>
          <cell r="P8691">
            <v>0</v>
          </cell>
        </row>
        <row r="8692">
          <cell r="K8692">
            <v>0</v>
          </cell>
          <cell r="M8692">
            <v>0</v>
          </cell>
          <cell r="P8692">
            <v>0</v>
          </cell>
        </row>
        <row r="8693">
          <cell r="K8693">
            <v>0</v>
          </cell>
          <cell r="M8693">
            <v>0</v>
          </cell>
          <cell r="P8693">
            <v>0</v>
          </cell>
        </row>
        <row r="8694">
          <cell r="K8694">
            <v>0</v>
          </cell>
          <cell r="M8694">
            <v>0</v>
          </cell>
          <cell r="P8694">
            <v>0</v>
          </cell>
        </row>
        <row r="8695">
          <cell r="K8695">
            <v>0</v>
          </cell>
          <cell r="M8695">
            <v>0</v>
          </cell>
          <cell r="P8695">
            <v>0</v>
          </cell>
        </row>
        <row r="8696">
          <cell r="K8696">
            <v>0</v>
          </cell>
          <cell r="M8696">
            <v>0</v>
          </cell>
          <cell r="P8696">
            <v>0</v>
          </cell>
        </row>
        <row r="8697">
          <cell r="K8697">
            <v>0</v>
          </cell>
          <cell r="M8697">
            <v>0</v>
          </cell>
          <cell r="P8697">
            <v>0</v>
          </cell>
        </row>
        <row r="8698">
          <cell r="K8698">
            <v>0</v>
          </cell>
          <cell r="M8698">
            <v>0</v>
          </cell>
          <cell r="P8698">
            <v>0</v>
          </cell>
        </row>
        <row r="8699">
          <cell r="K8699">
            <v>0</v>
          </cell>
          <cell r="M8699">
            <v>0</v>
          </cell>
          <cell r="P8699">
            <v>0</v>
          </cell>
        </row>
        <row r="8700">
          <cell r="K8700">
            <v>0</v>
          </cell>
          <cell r="M8700">
            <v>0</v>
          </cell>
          <cell r="P8700">
            <v>0</v>
          </cell>
        </row>
        <row r="8701">
          <cell r="K8701">
            <v>0</v>
          </cell>
          <cell r="M8701">
            <v>0</v>
          </cell>
          <cell r="P8701">
            <v>0</v>
          </cell>
        </row>
        <row r="8702">
          <cell r="K8702">
            <v>0</v>
          </cell>
          <cell r="M8702">
            <v>0</v>
          </cell>
          <cell r="P8702">
            <v>0</v>
          </cell>
        </row>
        <row r="8703">
          <cell r="K8703">
            <v>0</v>
          </cell>
          <cell r="M8703">
            <v>0</v>
          </cell>
          <cell r="P8703">
            <v>0</v>
          </cell>
        </row>
        <row r="8704">
          <cell r="K8704">
            <v>0</v>
          </cell>
          <cell r="M8704">
            <v>0</v>
          </cell>
          <cell r="P8704">
            <v>0</v>
          </cell>
        </row>
        <row r="8705">
          <cell r="K8705">
            <v>0</v>
          </cell>
          <cell r="M8705">
            <v>0</v>
          </cell>
          <cell r="P8705">
            <v>0</v>
          </cell>
        </row>
        <row r="8706">
          <cell r="K8706">
            <v>0</v>
          </cell>
          <cell r="M8706">
            <v>0</v>
          </cell>
          <cell r="P8706">
            <v>0</v>
          </cell>
        </row>
        <row r="8707">
          <cell r="K8707">
            <v>0</v>
          </cell>
          <cell r="M8707">
            <v>0</v>
          </cell>
          <cell r="P8707">
            <v>0</v>
          </cell>
        </row>
        <row r="8708">
          <cell r="K8708">
            <v>0</v>
          </cell>
          <cell r="M8708">
            <v>0</v>
          </cell>
          <cell r="P8708">
            <v>0</v>
          </cell>
        </row>
        <row r="8709">
          <cell r="K8709">
            <v>0</v>
          </cell>
          <cell r="M8709">
            <v>0</v>
          </cell>
          <cell r="P8709">
            <v>0</v>
          </cell>
        </row>
        <row r="8710">
          <cell r="K8710">
            <v>0</v>
          </cell>
          <cell r="M8710">
            <v>0</v>
          </cell>
          <cell r="P8710">
            <v>0</v>
          </cell>
        </row>
        <row r="8711">
          <cell r="K8711">
            <v>0</v>
          </cell>
          <cell r="M8711">
            <v>0</v>
          </cell>
          <cell r="P8711">
            <v>0</v>
          </cell>
        </row>
        <row r="8712">
          <cell r="K8712">
            <v>0</v>
          </cell>
          <cell r="M8712">
            <v>0</v>
          </cell>
          <cell r="P8712">
            <v>0</v>
          </cell>
        </row>
        <row r="8713">
          <cell r="K8713">
            <v>0</v>
          </cell>
          <cell r="M8713">
            <v>0</v>
          </cell>
          <cell r="P8713">
            <v>0</v>
          </cell>
        </row>
        <row r="8714">
          <cell r="K8714">
            <v>0</v>
          </cell>
          <cell r="M8714">
            <v>0</v>
          </cell>
          <cell r="P8714">
            <v>0</v>
          </cell>
        </row>
        <row r="8715">
          <cell r="K8715">
            <v>0</v>
          </cell>
          <cell r="M8715">
            <v>0</v>
          </cell>
          <cell r="P8715">
            <v>0</v>
          </cell>
        </row>
        <row r="8716">
          <cell r="K8716">
            <v>0</v>
          </cell>
          <cell r="M8716">
            <v>0</v>
          </cell>
          <cell r="P8716">
            <v>0</v>
          </cell>
        </row>
        <row r="8717">
          <cell r="K8717">
            <v>0</v>
          </cell>
          <cell r="M8717">
            <v>0</v>
          </cell>
          <cell r="P8717">
            <v>0</v>
          </cell>
        </row>
        <row r="8718">
          <cell r="K8718">
            <v>0</v>
          </cell>
          <cell r="M8718">
            <v>0</v>
          </cell>
          <cell r="P8718">
            <v>0</v>
          </cell>
        </row>
        <row r="8719">
          <cell r="K8719">
            <v>0</v>
          </cell>
          <cell r="M8719">
            <v>0</v>
          </cell>
          <cell r="P8719">
            <v>0</v>
          </cell>
        </row>
        <row r="8720">
          <cell r="K8720">
            <v>0</v>
          </cell>
          <cell r="M8720">
            <v>0</v>
          </cell>
          <cell r="P8720">
            <v>0</v>
          </cell>
        </row>
        <row r="8721">
          <cell r="K8721">
            <v>0</v>
          </cell>
          <cell r="M8721">
            <v>0</v>
          </cell>
          <cell r="P8721">
            <v>0</v>
          </cell>
        </row>
        <row r="8722">
          <cell r="K8722">
            <v>0</v>
          </cell>
          <cell r="M8722">
            <v>0</v>
          </cell>
          <cell r="P8722">
            <v>0</v>
          </cell>
        </row>
        <row r="8723">
          <cell r="K8723">
            <v>0</v>
          </cell>
          <cell r="M8723">
            <v>0</v>
          </cell>
          <cell r="P8723">
            <v>0</v>
          </cell>
        </row>
        <row r="8724">
          <cell r="K8724">
            <v>0</v>
          </cell>
          <cell r="M8724">
            <v>0</v>
          </cell>
          <cell r="P8724">
            <v>0</v>
          </cell>
        </row>
        <row r="8725">
          <cell r="K8725">
            <v>0</v>
          </cell>
          <cell r="M8725">
            <v>0</v>
          </cell>
          <cell r="P8725">
            <v>0</v>
          </cell>
        </row>
        <row r="8726">
          <cell r="K8726">
            <v>0</v>
          </cell>
          <cell r="M8726">
            <v>0</v>
          </cell>
          <cell r="P8726">
            <v>0</v>
          </cell>
        </row>
        <row r="8727">
          <cell r="K8727">
            <v>0</v>
          </cell>
          <cell r="M8727">
            <v>0</v>
          </cell>
          <cell r="P8727">
            <v>0</v>
          </cell>
        </row>
        <row r="8728">
          <cell r="K8728">
            <v>0</v>
          </cell>
          <cell r="M8728">
            <v>0</v>
          </cell>
          <cell r="P8728">
            <v>0</v>
          </cell>
        </row>
        <row r="8729">
          <cell r="K8729">
            <v>0</v>
          </cell>
          <cell r="M8729">
            <v>0</v>
          </cell>
          <cell r="P8729">
            <v>0</v>
          </cell>
        </row>
        <row r="8730">
          <cell r="K8730">
            <v>0</v>
          </cell>
          <cell r="M8730">
            <v>0</v>
          </cell>
          <cell r="P8730">
            <v>0</v>
          </cell>
        </row>
        <row r="8731">
          <cell r="K8731">
            <v>0</v>
          </cell>
          <cell r="M8731">
            <v>0</v>
          </cell>
          <cell r="P8731">
            <v>0</v>
          </cell>
        </row>
        <row r="8732">
          <cell r="K8732">
            <v>0</v>
          </cell>
          <cell r="M8732">
            <v>0</v>
          </cell>
          <cell r="P8732">
            <v>0</v>
          </cell>
        </row>
        <row r="8733">
          <cell r="K8733">
            <v>0</v>
          </cell>
          <cell r="M8733">
            <v>0</v>
          </cell>
          <cell r="P8733">
            <v>0</v>
          </cell>
        </row>
        <row r="8734">
          <cell r="K8734">
            <v>0</v>
          </cell>
          <cell r="M8734">
            <v>0</v>
          </cell>
          <cell r="P8734">
            <v>0</v>
          </cell>
        </row>
        <row r="8735">
          <cell r="K8735">
            <v>0</v>
          </cell>
          <cell r="M8735">
            <v>0</v>
          </cell>
          <cell r="P8735">
            <v>0</v>
          </cell>
        </row>
        <row r="8736">
          <cell r="K8736">
            <v>0</v>
          </cell>
          <cell r="M8736">
            <v>0</v>
          </cell>
          <cell r="P8736">
            <v>0</v>
          </cell>
        </row>
        <row r="8737">
          <cell r="K8737">
            <v>0</v>
          </cell>
          <cell r="M8737">
            <v>0</v>
          </cell>
          <cell r="P8737">
            <v>0</v>
          </cell>
        </row>
        <row r="8738">
          <cell r="K8738">
            <v>0</v>
          </cell>
          <cell r="M8738">
            <v>0</v>
          </cell>
          <cell r="P8738">
            <v>0</v>
          </cell>
        </row>
        <row r="8739">
          <cell r="K8739">
            <v>0</v>
          </cell>
          <cell r="M8739">
            <v>0</v>
          </cell>
          <cell r="P8739">
            <v>0</v>
          </cell>
        </row>
        <row r="8740">
          <cell r="K8740">
            <v>0</v>
          </cell>
          <cell r="M8740">
            <v>0</v>
          </cell>
          <cell r="P8740">
            <v>0</v>
          </cell>
        </row>
        <row r="8741">
          <cell r="K8741">
            <v>0</v>
          </cell>
          <cell r="M8741">
            <v>0</v>
          </cell>
          <cell r="P8741">
            <v>0</v>
          </cell>
        </row>
        <row r="8742">
          <cell r="K8742">
            <v>0</v>
          </cell>
          <cell r="M8742">
            <v>0</v>
          </cell>
          <cell r="P8742">
            <v>0</v>
          </cell>
        </row>
        <row r="8743">
          <cell r="K8743">
            <v>0</v>
          </cell>
          <cell r="M8743">
            <v>0</v>
          </cell>
          <cell r="P8743">
            <v>0</v>
          </cell>
        </row>
        <row r="8744">
          <cell r="K8744">
            <v>0</v>
          </cell>
          <cell r="M8744">
            <v>0</v>
          </cell>
          <cell r="P8744">
            <v>0</v>
          </cell>
        </row>
        <row r="8745">
          <cell r="K8745">
            <v>0</v>
          </cell>
          <cell r="M8745">
            <v>0</v>
          </cell>
          <cell r="P8745">
            <v>0</v>
          </cell>
        </row>
        <row r="8746">
          <cell r="K8746">
            <v>0</v>
          </cell>
          <cell r="M8746">
            <v>0</v>
          </cell>
          <cell r="P8746">
            <v>0</v>
          </cell>
        </row>
        <row r="8747">
          <cell r="K8747">
            <v>0</v>
          </cell>
          <cell r="M8747">
            <v>0</v>
          </cell>
          <cell r="P8747">
            <v>0</v>
          </cell>
        </row>
        <row r="8748">
          <cell r="K8748">
            <v>0</v>
          </cell>
          <cell r="M8748">
            <v>0</v>
          </cell>
          <cell r="P8748">
            <v>0</v>
          </cell>
        </row>
        <row r="8749">
          <cell r="K8749">
            <v>0</v>
          </cell>
          <cell r="M8749">
            <v>0</v>
          </cell>
          <cell r="P8749">
            <v>0</v>
          </cell>
        </row>
        <row r="8750">
          <cell r="K8750">
            <v>0</v>
          </cell>
          <cell r="M8750">
            <v>0</v>
          </cell>
          <cell r="P8750">
            <v>0</v>
          </cell>
        </row>
        <row r="8751">
          <cell r="K8751">
            <v>0</v>
          </cell>
          <cell r="M8751">
            <v>0</v>
          </cell>
          <cell r="P8751">
            <v>0</v>
          </cell>
        </row>
        <row r="8752">
          <cell r="K8752">
            <v>0</v>
          </cell>
          <cell r="M8752">
            <v>0</v>
          </cell>
          <cell r="P8752">
            <v>0</v>
          </cell>
        </row>
        <row r="8753">
          <cell r="K8753">
            <v>0</v>
          </cell>
          <cell r="M8753">
            <v>0</v>
          </cell>
          <cell r="P8753">
            <v>0</v>
          </cell>
        </row>
        <row r="8754">
          <cell r="K8754">
            <v>0</v>
          </cell>
          <cell r="M8754">
            <v>0</v>
          </cell>
          <cell r="P8754">
            <v>0</v>
          </cell>
        </row>
        <row r="8755">
          <cell r="K8755">
            <v>0</v>
          </cell>
          <cell r="M8755">
            <v>0</v>
          </cell>
          <cell r="P8755">
            <v>0</v>
          </cell>
        </row>
        <row r="8756">
          <cell r="K8756">
            <v>0</v>
          </cell>
          <cell r="M8756">
            <v>0</v>
          </cell>
          <cell r="P8756">
            <v>0</v>
          </cell>
        </row>
        <row r="8757">
          <cell r="K8757">
            <v>0</v>
          </cell>
          <cell r="M8757">
            <v>0</v>
          </cell>
          <cell r="P8757">
            <v>0</v>
          </cell>
        </row>
        <row r="8758">
          <cell r="K8758">
            <v>0</v>
          </cell>
          <cell r="M8758">
            <v>0</v>
          </cell>
          <cell r="P8758">
            <v>0</v>
          </cell>
        </row>
        <row r="8759">
          <cell r="K8759">
            <v>0</v>
          </cell>
          <cell r="M8759">
            <v>0</v>
          </cell>
          <cell r="P8759">
            <v>0</v>
          </cell>
        </row>
        <row r="8760">
          <cell r="K8760">
            <v>0</v>
          </cell>
          <cell r="M8760">
            <v>0</v>
          </cell>
          <cell r="P8760">
            <v>0</v>
          </cell>
        </row>
        <row r="8761">
          <cell r="K8761">
            <v>0</v>
          </cell>
          <cell r="M8761">
            <v>0</v>
          </cell>
          <cell r="P8761">
            <v>0</v>
          </cell>
        </row>
        <row r="8762">
          <cell r="K8762">
            <v>0</v>
          </cell>
          <cell r="M8762">
            <v>0</v>
          </cell>
          <cell r="P8762">
            <v>0</v>
          </cell>
        </row>
        <row r="8763">
          <cell r="K8763">
            <v>0</v>
          </cell>
          <cell r="M8763">
            <v>0</v>
          </cell>
          <cell r="P8763">
            <v>0</v>
          </cell>
        </row>
        <row r="8764">
          <cell r="K8764">
            <v>0</v>
          </cell>
          <cell r="M8764">
            <v>0</v>
          </cell>
          <cell r="P8764">
            <v>0</v>
          </cell>
        </row>
        <row r="8765">
          <cell r="K8765">
            <v>0</v>
          </cell>
          <cell r="M8765">
            <v>0</v>
          </cell>
          <cell r="P8765">
            <v>0</v>
          </cell>
        </row>
        <row r="8766">
          <cell r="K8766">
            <v>0</v>
          </cell>
          <cell r="M8766">
            <v>0</v>
          </cell>
          <cell r="P8766">
            <v>0</v>
          </cell>
        </row>
        <row r="8767">
          <cell r="K8767">
            <v>0</v>
          </cell>
          <cell r="M8767">
            <v>0</v>
          </cell>
          <cell r="P8767">
            <v>0</v>
          </cell>
        </row>
        <row r="8768">
          <cell r="K8768">
            <v>0</v>
          </cell>
          <cell r="M8768">
            <v>0</v>
          </cell>
          <cell r="P8768">
            <v>0</v>
          </cell>
        </row>
        <row r="8769">
          <cell r="K8769">
            <v>0</v>
          </cell>
          <cell r="M8769">
            <v>0</v>
          </cell>
          <cell r="P8769">
            <v>0</v>
          </cell>
        </row>
        <row r="8770">
          <cell r="K8770">
            <v>0</v>
          </cell>
          <cell r="M8770">
            <v>0</v>
          </cell>
          <cell r="P8770">
            <v>0</v>
          </cell>
        </row>
        <row r="8771">
          <cell r="K8771">
            <v>0</v>
          </cell>
          <cell r="M8771">
            <v>0</v>
          </cell>
          <cell r="P8771">
            <v>0</v>
          </cell>
        </row>
        <row r="8772">
          <cell r="K8772">
            <v>0</v>
          </cell>
          <cell r="M8772">
            <v>0</v>
          </cell>
          <cell r="P8772">
            <v>0</v>
          </cell>
        </row>
        <row r="8773">
          <cell r="K8773">
            <v>0</v>
          </cell>
          <cell r="M8773">
            <v>0</v>
          </cell>
          <cell r="P8773">
            <v>0</v>
          </cell>
        </row>
        <row r="8774">
          <cell r="K8774">
            <v>0</v>
          </cell>
          <cell r="M8774">
            <v>0</v>
          </cell>
          <cell r="P8774">
            <v>0</v>
          </cell>
        </row>
        <row r="8775">
          <cell r="K8775">
            <v>0</v>
          </cell>
          <cell r="M8775">
            <v>0</v>
          </cell>
          <cell r="P8775">
            <v>0</v>
          </cell>
        </row>
        <row r="8776">
          <cell r="K8776">
            <v>0</v>
          </cell>
          <cell r="M8776">
            <v>0</v>
          </cell>
          <cell r="P8776">
            <v>0</v>
          </cell>
        </row>
        <row r="8777">
          <cell r="K8777">
            <v>0</v>
          </cell>
          <cell r="M8777">
            <v>0</v>
          </cell>
          <cell r="P8777">
            <v>0</v>
          </cell>
        </row>
        <row r="8778">
          <cell r="K8778">
            <v>0</v>
          </cell>
          <cell r="M8778">
            <v>0</v>
          </cell>
          <cell r="P8778">
            <v>0</v>
          </cell>
        </row>
        <row r="8779">
          <cell r="K8779">
            <v>0</v>
          </cell>
          <cell r="M8779">
            <v>0</v>
          </cell>
          <cell r="P8779">
            <v>0</v>
          </cell>
        </row>
        <row r="8780">
          <cell r="K8780">
            <v>0</v>
          </cell>
          <cell r="M8780">
            <v>0</v>
          </cell>
          <cell r="P8780">
            <v>0</v>
          </cell>
        </row>
        <row r="8781">
          <cell r="K8781">
            <v>0</v>
          </cell>
          <cell r="M8781">
            <v>0</v>
          </cell>
          <cell r="P8781">
            <v>0</v>
          </cell>
        </row>
        <row r="8782">
          <cell r="K8782">
            <v>0</v>
          </cell>
          <cell r="M8782">
            <v>0</v>
          </cell>
          <cell r="P8782">
            <v>0</v>
          </cell>
        </row>
        <row r="8783">
          <cell r="K8783">
            <v>0</v>
          </cell>
          <cell r="M8783">
            <v>0</v>
          </cell>
          <cell r="P8783">
            <v>0</v>
          </cell>
        </row>
        <row r="8784">
          <cell r="K8784">
            <v>0</v>
          </cell>
          <cell r="M8784">
            <v>0</v>
          </cell>
          <cell r="P8784">
            <v>0</v>
          </cell>
        </row>
        <row r="8785">
          <cell r="K8785">
            <v>0</v>
          </cell>
          <cell r="M8785">
            <v>0</v>
          </cell>
          <cell r="P8785">
            <v>0</v>
          </cell>
        </row>
        <row r="8786">
          <cell r="K8786">
            <v>0</v>
          </cell>
          <cell r="M8786">
            <v>0</v>
          </cell>
          <cell r="P8786">
            <v>0</v>
          </cell>
        </row>
        <row r="8787">
          <cell r="K8787">
            <v>0</v>
          </cell>
          <cell r="M8787">
            <v>0</v>
          </cell>
          <cell r="P8787">
            <v>0</v>
          </cell>
        </row>
        <row r="8788">
          <cell r="K8788">
            <v>0</v>
          </cell>
          <cell r="M8788">
            <v>0</v>
          </cell>
          <cell r="P8788">
            <v>0</v>
          </cell>
        </row>
        <row r="8789">
          <cell r="K8789">
            <v>0</v>
          </cell>
          <cell r="M8789">
            <v>0</v>
          </cell>
          <cell r="P8789">
            <v>0</v>
          </cell>
        </row>
        <row r="8790">
          <cell r="K8790">
            <v>0</v>
          </cell>
          <cell r="M8790">
            <v>0</v>
          </cell>
          <cell r="P8790">
            <v>0</v>
          </cell>
        </row>
        <row r="8791">
          <cell r="K8791">
            <v>0</v>
          </cell>
          <cell r="M8791">
            <v>0</v>
          </cell>
          <cell r="P8791">
            <v>0</v>
          </cell>
        </row>
        <row r="8792">
          <cell r="K8792">
            <v>0</v>
          </cell>
          <cell r="M8792">
            <v>0</v>
          </cell>
          <cell r="P8792">
            <v>0</v>
          </cell>
        </row>
        <row r="8793">
          <cell r="K8793">
            <v>0</v>
          </cell>
          <cell r="M8793">
            <v>0</v>
          </cell>
          <cell r="P8793">
            <v>0</v>
          </cell>
        </row>
        <row r="8794">
          <cell r="K8794">
            <v>0</v>
          </cell>
          <cell r="M8794">
            <v>0</v>
          </cell>
          <cell r="P8794">
            <v>0</v>
          </cell>
        </row>
        <row r="8795">
          <cell r="K8795">
            <v>0</v>
          </cell>
          <cell r="M8795">
            <v>0</v>
          </cell>
          <cell r="P8795">
            <v>0</v>
          </cell>
        </row>
        <row r="8796">
          <cell r="K8796">
            <v>0</v>
          </cell>
          <cell r="M8796">
            <v>0</v>
          </cell>
          <cell r="P8796">
            <v>0</v>
          </cell>
        </row>
        <row r="8797">
          <cell r="K8797">
            <v>0</v>
          </cell>
          <cell r="M8797">
            <v>0</v>
          </cell>
          <cell r="P8797">
            <v>0</v>
          </cell>
        </row>
        <row r="8798">
          <cell r="K8798">
            <v>0</v>
          </cell>
          <cell r="M8798">
            <v>0</v>
          </cell>
          <cell r="P8798">
            <v>0</v>
          </cell>
        </row>
        <row r="8799">
          <cell r="K8799">
            <v>0</v>
          </cell>
          <cell r="M8799">
            <v>0</v>
          </cell>
          <cell r="P8799">
            <v>0</v>
          </cell>
        </row>
        <row r="8800">
          <cell r="K8800">
            <v>0</v>
          </cell>
          <cell r="M8800">
            <v>0</v>
          </cell>
          <cell r="P8800">
            <v>0</v>
          </cell>
        </row>
        <row r="8801">
          <cell r="K8801">
            <v>0</v>
          </cell>
          <cell r="M8801">
            <v>0</v>
          </cell>
          <cell r="P8801">
            <v>0</v>
          </cell>
        </row>
        <row r="8802">
          <cell r="K8802">
            <v>0</v>
          </cell>
          <cell r="M8802">
            <v>0</v>
          </cell>
          <cell r="P8802">
            <v>0</v>
          </cell>
        </row>
        <row r="8803">
          <cell r="K8803">
            <v>0</v>
          </cell>
          <cell r="M8803">
            <v>0</v>
          </cell>
          <cell r="P8803">
            <v>0</v>
          </cell>
        </row>
        <row r="8804">
          <cell r="K8804">
            <v>0</v>
          </cell>
          <cell r="M8804">
            <v>0</v>
          </cell>
          <cell r="P8804">
            <v>0</v>
          </cell>
        </row>
        <row r="8805">
          <cell r="K8805">
            <v>0</v>
          </cell>
          <cell r="M8805">
            <v>0</v>
          </cell>
          <cell r="P8805">
            <v>0</v>
          </cell>
        </row>
        <row r="8806">
          <cell r="K8806">
            <v>0</v>
          </cell>
          <cell r="M8806">
            <v>0</v>
          </cell>
          <cell r="P8806">
            <v>0</v>
          </cell>
        </row>
        <row r="8807">
          <cell r="K8807">
            <v>0</v>
          </cell>
          <cell r="M8807">
            <v>0</v>
          </cell>
          <cell r="P8807">
            <v>0</v>
          </cell>
        </row>
        <row r="8808">
          <cell r="K8808">
            <v>0</v>
          </cell>
          <cell r="M8808">
            <v>0</v>
          </cell>
          <cell r="P8808">
            <v>0</v>
          </cell>
        </row>
        <row r="8809">
          <cell r="K8809">
            <v>0</v>
          </cell>
          <cell r="M8809">
            <v>0</v>
          </cell>
          <cell r="P8809">
            <v>0</v>
          </cell>
        </row>
        <row r="8810">
          <cell r="K8810">
            <v>0</v>
          </cell>
          <cell r="M8810">
            <v>0</v>
          </cell>
          <cell r="P8810">
            <v>0</v>
          </cell>
        </row>
        <row r="8811">
          <cell r="K8811">
            <v>0</v>
          </cell>
          <cell r="M8811">
            <v>0</v>
          </cell>
          <cell r="P8811">
            <v>0</v>
          </cell>
        </row>
        <row r="8812">
          <cell r="K8812">
            <v>0</v>
          </cell>
          <cell r="M8812">
            <v>0</v>
          </cell>
          <cell r="P8812">
            <v>0</v>
          </cell>
        </row>
        <row r="8813">
          <cell r="K8813">
            <v>0</v>
          </cell>
          <cell r="M8813">
            <v>0</v>
          </cell>
          <cell r="P8813">
            <v>0</v>
          </cell>
        </row>
        <row r="8814">
          <cell r="K8814">
            <v>0</v>
          </cell>
          <cell r="M8814">
            <v>0</v>
          </cell>
          <cell r="P8814">
            <v>0</v>
          </cell>
        </row>
        <row r="8815">
          <cell r="K8815">
            <v>0</v>
          </cell>
          <cell r="M8815">
            <v>0</v>
          </cell>
          <cell r="P8815">
            <v>0</v>
          </cell>
        </row>
        <row r="8816">
          <cell r="K8816">
            <v>0</v>
          </cell>
          <cell r="M8816">
            <v>0</v>
          </cell>
          <cell r="P8816">
            <v>0</v>
          </cell>
        </row>
        <row r="8817">
          <cell r="K8817">
            <v>0</v>
          </cell>
          <cell r="M8817">
            <v>0</v>
          </cell>
          <cell r="P8817">
            <v>0</v>
          </cell>
        </row>
        <row r="8818">
          <cell r="K8818">
            <v>0</v>
          </cell>
          <cell r="M8818">
            <v>0</v>
          </cell>
          <cell r="P8818">
            <v>0</v>
          </cell>
        </row>
        <row r="8819">
          <cell r="K8819">
            <v>0</v>
          </cell>
          <cell r="M8819">
            <v>0</v>
          </cell>
          <cell r="P8819">
            <v>0</v>
          </cell>
        </row>
        <row r="8820">
          <cell r="K8820">
            <v>0</v>
          </cell>
          <cell r="M8820">
            <v>0</v>
          </cell>
          <cell r="P8820">
            <v>0</v>
          </cell>
        </row>
        <row r="8821">
          <cell r="K8821">
            <v>0</v>
          </cell>
          <cell r="M8821">
            <v>0</v>
          </cell>
          <cell r="P8821">
            <v>0</v>
          </cell>
        </row>
        <row r="8822">
          <cell r="K8822">
            <v>0</v>
          </cell>
          <cell r="M8822">
            <v>0</v>
          </cell>
          <cell r="P8822">
            <v>0</v>
          </cell>
        </row>
        <row r="8823">
          <cell r="K8823">
            <v>0</v>
          </cell>
          <cell r="M8823">
            <v>0</v>
          </cell>
          <cell r="P8823">
            <v>0</v>
          </cell>
        </row>
        <row r="8824">
          <cell r="K8824">
            <v>0</v>
          </cell>
          <cell r="M8824">
            <v>0</v>
          </cell>
          <cell r="P8824">
            <v>0</v>
          </cell>
        </row>
        <row r="8825">
          <cell r="K8825">
            <v>0</v>
          </cell>
          <cell r="M8825">
            <v>0</v>
          </cell>
          <cell r="P8825">
            <v>0</v>
          </cell>
        </row>
        <row r="8826">
          <cell r="K8826">
            <v>0</v>
          </cell>
          <cell r="M8826">
            <v>0</v>
          </cell>
          <cell r="P8826">
            <v>0</v>
          </cell>
        </row>
        <row r="8827">
          <cell r="K8827">
            <v>0</v>
          </cell>
          <cell r="M8827">
            <v>0</v>
          </cell>
          <cell r="P8827">
            <v>0</v>
          </cell>
        </row>
        <row r="8828">
          <cell r="K8828">
            <v>0</v>
          </cell>
          <cell r="M8828">
            <v>0</v>
          </cell>
          <cell r="P8828">
            <v>0</v>
          </cell>
        </row>
        <row r="8829">
          <cell r="K8829">
            <v>0</v>
          </cell>
          <cell r="M8829">
            <v>0</v>
          </cell>
          <cell r="P8829">
            <v>0</v>
          </cell>
        </row>
        <row r="8830">
          <cell r="K8830">
            <v>0</v>
          </cell>
          <cell r="M8830">
            <v>0</v>
          </cell>
          <cell r="P8830">
            <v>0</v>
          </cell>
        </row>
        <row r="8831">
          <cell r="K8831">
            <v>0</v>
          </cell>
          <cell r="M8831">
            <v>0</v>
          </cell>
          <cell r="P8831">
            <v>0</v>
          </cell>
        </row>
        <row r="8832">
          <cell r="K8832">
            <v>0</v>
          </cell>
          <cell r="M8832">
            <v>0</v>
          </cell>
          <cell r="P8832">
            <v>0</v>
          </cell>
        </row>
        <row r="8833">
          <cell r="K8833">
            <v>0</v>
          </cell>
          <cell r="M8833">
            <v>0</v>
          </cell>
          <cell r="P8833">
            <v>0</v>
          </cell>
        </row>
        <row r="8834">
          <cell r="K8834">
            <v>0</v>
          </cell>
          <cell r="M8834">
            <v>0</v>
          </cell>
          <cell r="P8834">
            <v>0</v>
          </cell>
        </row>
        <row r="8835">
          <cell r="K8835">
            <v>0</v>
          </cell>
          <cell r="M8835">
            <v>0</v>
          </cell>
          <cell r="P8835">
            <v>0</v>
          </cell>
        </row>
        <row r="8836">
          <cell r="K8836">
            <v>0</v>
          </cell>
          <cell r="M8836">
            <v>0</v>
          </cell>
          <cell r="P8836">
            <v>0</v>
          </cell>
        </row>
        <row r="8837">
          <cell r="K8837">
            <v>0</v>
          </cell>
          <cell r="M8837">
            <v>0</v>
          </cell>
          <cell r="P8837">
            <v>0</v>
          </cell>
        </row>
        <row r="8838">
          <cell r="K8838">
            <v>0</v>
          </cell>
          <cell r="M8838">
            <v>0</v>
          </cell>
          <cell r="P8838">
            <v>0</v>
          </cell>
        </row>
        <row r="8839">
          <cell r="K8839">
            <v>0</v>
          </cell>
          <cell r="M8839">
            <v>0</v>
          </cell>
          <cell r="P8839">
            <v>0</v>
          </cell>
        </row>
        <row r="8840">
          <cell r="K8840">
            <v>0</v>
          </cell>
          <cell r="M8840">
            <v>0</v>
          </cell>
          <cell r="P8840">
            <v>0</v>
          </cell>
        </row>
        <row r="8841">
          <cell r="K8841">
            <v>0</v>
          </cell>
          <cell r="M8841">
            <v>0</v>
          </cell>
          <cell r="P8841">
            <v>0</v>
          </cell>
        </row>
        <row r="8842">
          <cell r="K8842">
            <v>0</v>
          </cell>
          <cell r="M8842">
            <v>0</v>
          </cell>
          <cell r="P8842">
            <v>0</v>
          </cell>
        </row>
        <row r="8843">
          <cell r="K8843">
            <v>0</v>
          </cell>
          <cell r="M8843">
            <v>0</v>
          </cell>
          <cell r="P8843">
            <v>0</v>
          </cell>
        </row>
        <row r="8844">
          <cell r="K8844">
            <v>0</v>
          </cell>
          <cell r="M8844">
            <v>0</v>
          </cell>
          <cell r="P8844">
            <v>0</v>
          </cell>
        </row>
        <row r="8845">
          <cell r="K8845">
            <v>0</v>
          </cell>
          <cell r="M8845">
            <v>0</v>
          </cell>
          <cell r="P8845">
            <v>0</v>
          </cell>
        </row>
        <row r="8846">
          <cell r="K8846">
            <v>0</v>
          </cell>
          <cell r="M8846">
            <v>0</v>
          </cell>
          <cell r="P8846">
            <v>0</v>
          </cell>
        </row>
        <row r="8847">
          <cell r="K8847">
            <v>0</v>
          </cell>
          <cell r="M8847">
            <v>0</v>
          </cell>
          <cell r="P8847">
            <v>0</v>
          </cell>
        </row>
        <row r="8848">
          <cell r="K8848">
            <v>0</v>
          </cell>
          <cell r="M8848">
            <v>0</v>
          </cell>
          <cell r="P8848">
            <v>0</v>
          </cell>
        </row>
        <row r="8849">
          <cell r="K8849">
            <v>0</v>
          </cell>
          <cell r="M8849">
            <v>0</v>
          </cell>
          <cell r="P8849">
            <v>0</v>
          </cell>
        </row>
        <row r="8850">
          <cell r="K8850">
            <v>0</v>
          </cell>
          <cell r="M8850">
            <v>0</v>
          </cell>
          <cell r="P8850">
            <v>0</v>
          </cell>
        </row>
        <row r="8851">
          <cell r="K8851">
            <v>0</v>
          </cell>
          <cell r="M8851">
            <v>0</v>
          </cell>
          <cell r="P8851">
            <v>0</v>
          </cell>
        </row>
        <row r="8852">
          <cell r="K8852">
            <v>0</v>
          </cell>
          <cell r="M8852">
            <v>0</v>
          </cell>
          <cell r="P8852">
            <v>0</v>
          </cell>
        </row>
        <row r="8853">
          <cell r="K8853">
            <v>0</v>
          </cell>
          <cell r="M8853">
            <v>0</v>
          </cell>
          <cell r="P8853">
            <v>0</v>
          </cell>
        </row>
        <row r="8854">
          <cell r="K8854">
            <v>0</v>
          </cell>
          <cell r="M8854">
            <v>0</v>
          </cell>
          <cell r="P8854">
            <v>0</v>
          </cell>
        </row>
        <row r="8855">
          <cell r="K8855">
            <v>0</v>
          </cell>
          <cell r="M8855">
            <v>0</v>
          </cell>
          <cell r="P8855">
            <v>0</v>
          </cell>
        </row>
        <row r="8856">
          <cell r="K8856">
            <v>0</v>
          </cell>
          <cell r="M8856">
            <v>0</v>
          </cell>
          <cell r="P8856">
            <v>0</v>
          </cell>
        </row>
        <row r="8857">
          <cell r="K8857">
            <v>0</v>
          </cell>
          <cell r="M8857">
            <v>0</v>
          </cell>
          <cell r="P8857">
            <v>0</v>
          </cell>
        </row>
        <row r="8858">
          <cell r="K8858">
            <v>0</v>
          </cell>
          <cell r="M8858">
            <v>0</v>
          </cell>
          <cell r="P8858">
            <v>0</v>
          </cell>
        </row>
        <row r="8859">
          <cell r="K8859">
            <v>0</v>
          </cell>
          <cell r="M8859">
            <v>0</v>
          </cell>
          <cell r="P8859">
            <v>0</v>
          </cell>
        </row>
        <row r="8860">
          <cell r="K8860">
            <v>0</v>
          </cell>
          <cell r="M8860">
            <v>0</v>
          </cell>
          <cell r="P8860">
            <v>0</v>
          </cell>
        </row>
        <row r="8861">
          <cell r="K8861">
            <v>0</v>
          </cell>
          <cell r="M8861">
            <v>0</v>
          </cell>
          <cell r="P8861">
            <v>0</v>
          </cell>
        </row>
        <row r="8862">
          <cell r="K8862">
            <v>0</v>
          </cell>
          <cell r="M8862">
            <v>0</v>
          </cell>
          <cell r="P8862">
            <v>0</v>
          </cell>
        </row>
        <row r="8863">
          <cell r="K8863">
            <v>0</v>
          </cell>
          <cell r="M8863">
            <v>0</v>
          </cell>
          <cell r="P8863">
            <v>0</v>
          </cell>
        </row>
        <row r="8864">
          <cell r="K8864">
            <v>0</v>
          </cell>
          <cell r="M8864">
            <v>0</v>
          </cell>
          <cell r="P8864">
            <v>0</v>
          </cell>
        </row>
        <row r="8865">
          <cell r="K8865">
            <v>0</v>
          </cell>
          <cell r="M8865">
            <v>0</v>
          </cell>
          <cell r="P8865">
            <v>0</v>
          </cell>
        </row>
        <row r="8866">
          <cell r="K8866">
            <v>0</v>
          </cell>
          <cell r="M8866">
            <v>0</v>
          </cell>
          <cell r="P8866">
            <v>0</v>
          </cell>
        </row>
        <row r="8867">
          <cell r="K8867">
            <v>0</v>
          </cell>
          <cell r="M8867">
            <v>0</v>
          </cell>
          <cell r="P8867">
            <v>0</v>
          </cell>
        </row>
        <row r="8868">
          <cell r="K8868">
            <v>0</v>
          </cell>
          <cell r="M8868">
            <v>0</v>
          </cell>
          <cell r="P8868">
            <v>0</v>
          </cell>
        </row>
        <row r="8869">
          <cell r="K8869">
            <v>0</v>
          </cell>
          <cell r="M8869">
            <v>0</v>
          </cell>
          <cell r="P8869">
            <v>0</v>
          </cell>
        </row>
        <row r="8870">
          <cell r="K8870">
            <v>0</v>
          </cell>
          <cell r="M8870">
            <v>0</v>
          </cell>
          <cell r="P8870">
            <v>0</v>
          </cell>
        </row>
        <row r="8871">
          <cell r="K8871">
            <v>0</v>
          </cell>
          <cell r="M8871">
            <v>0</v>
          </cell>
          <cell r="P8871">
            <v>0</v>
          </cell>
        </row>
        <row r="8872">
          <cell r="K8872">
            <v>0</v>
          </cell>
          <cell r="M8872">
            <v>0</v>
          </cell>
          <cell r="P8872">
            <v>0</v>
          </cell>
        </row>
        <row r="8873">
          <cell r="K8873">
            <v>0</v>
          </cell>
          <cell r="M8873">
            <v>0</v>
          </cell>
          <cell r="P8873">
            <v>0</v>
          </cell>
        </row>
        <row r="8874">
          <cell r="K8874">
            <v>0</v>
          </cell>
          <cell r="M8874">
            <v>0</v>
          </cell>
          <cell r="P8874">
            <v>0</v>
          </cell>
        </row>
        <row r="8875">
          <cell r="K8875">
            <v>0</v>
          </cell>
          <cell r="M8875">
            <v>0</v>
          </cell>
          <cell r="P8875">
            <v>0</v>
          </cell>
        </row>
        <row r="8876">
          <cell r="K8876">
            <v>0</v>
          </cell>
          <cell r="M8876">
            <v>0</v>
          </cell>
          <cell r="P8876">
            <v>0</v>
          </cell>
        </row>
        <row r="8877">
          <cell r="K8877">
            <v>0</v>
          </cell>
          <cell r="M8877">
            <v>0</v>
          </cell>
          <cell r="P8877">
            <v>0</v>
          </cell>
        </row>
        <row r="8878">
          <cell r="K8878">
            <v>0</v>
          </cell>
          <cell r="M8878">
            <v>0</v>
          </cell>
          <cell r="P8878">
            <v>0</v>
          </cell>
        </row>
        <row r="8879">
          <cell r="K8879">
            <v>0</v>
          </cell>
          <cell r="M8879">
            <v>0</v>
          </cell>
          <cell r="P8879">
            <v>0</v>
          </cell>
        </row>
        <row r="8880">
          <cell r="K8880">
            <v>0</v>
          </cell>
          <cell r="M8880">
            <v>0</v>
          </cell>
          <cell r="P8880">
            <v>0</v>
          </cell>
        </row>
        <row r="8881">
          <cell r="K8881">
            <v>0</v>
          </cell>
          <cell r="M8881">
            <v>0</v>
          </cell>
          <cell r="P8881">
            <v>0</v>
          </cell>
        </row>
        <row r="8882">
          <cell r="K8882">
            <v>0</v>
          </cell>
          <cell r="M8882">
            <v>0</v>
          </cell>
          <cell r="P8882">
            <v>0</v>
          </cell>
        </row>
        <row r="8883">
          <cell r="K8883">
            <v>0</v>
          </cell>
          <cell r="M8883">
            <v>0</v>
          </cell>
          <cell r="P8883">
            <v>0</v>
          </cell>
        </row>
        <row r="8884">
          <cell r="K8884">
            <v>0</v>
          </cell>
          <cell r="M8884">
            <v>0</v>
          </cell>
          <cell r="P8884">
            <v>0</v>
          </cell>
        </row>
        <row r="8885">
          <cell r="K8885">
            <v>0</v>
          </cell>
          <cell r="M8885">
            <v>0</v>
          </cell>
          <cell r="P8885">
            <v>0</v>
          </cell>
        </row>
        <row r="8886">
          <cell r="K8886">
            <v>0</v>
          </cell>
          <cell r="M8886">
            <v>0</v>
          </cell>
          <cell r="P8886">
            <v>0</v>
          </cell>
        </row>
        <row r="8887">
          <cell r="K8887">
            <v>0</v>
          </cell>
          <cell r="M8887">
            <v>0</v>
          </cell>
          <cell r="P8887">
            <v>0</v>
          </cell>
        </row>
        <row r="8888">
          <cell r="K8888">
            <v>0</v>
          </cell>
          <cell r="M8888">
            <v>0</v>
          </cell>
          <cell r="P8888">
            <v>0</v>
          </cell>
        </row>
        <row r="8889">
          <cell r="K8889">
            <v>0</v>
          </cell>
          <cell r="M8889">
            <v>0</v>
          </cell>
          <cell r="P8889">
            <v>0</v>
          </cell>
        </row>
        <row r="8890">
          <cell r="K8890">
            <v>0</v>
          </cell>
          <cell r="M8890">
            <v>0</v>
          </cell>
          <cell r="P8890">
            <v>0</v>
          </cell>
        </row>
        <row r="8891">
          <cell r="K8891">
            <v>0</v>
          </cell>
          <cell r="M8891">
            <v>0</v>
          </cell>
          <cell r="P8891">
            <v>0</v>
          </cell>
        </row>
        <row r="8892">
          <cell r="K8892">
            <v>0</v>
          </cell>
          <cell r="M8892">
            <v>0</v>
          </cell>
          <cell r="P8892">
            <v>0</v>
          </cell>
        </row>
        <row r="8893">
          <cell r="K8893">
            <v>0</v>
          </cell>
          <cell r="M8893">
            <v>0</v>
          </cell>
          <cell r="P8893">
            <v>0</v>
          </cell>
        </row>
        <row r="8894">
          <cell r="K8894">
            <v>0</v>
          </cell>
          <cell r="M8894">
            <v>0</v>
          </cell>
          <cell r="P8894">
            <v>0</v>
          </cell>
        </row>
        <row r="8895">
          <cell r="K8895">
            <v>0</v>
          </cell>
          <cell r="M8895">
            <v>0</v>
          </cell>
          <cell r="P8895">
            <v>0</v>
          </cell>
        </row>
        <row r="8896">
          <cell r="K8896">
            <v>0</v>
          </cell>
          <cell r="M8896">
            <v>0</v>
          </cell>
          <cell r="P8896">
            <v>0</v>
          </cell>
        </row>
        <row r="8897">
          <cell r="K8897">
            <v>0</v>
          </cell>
          <cell r="M8897">
            <v>0</v>
          </cell>
          <cell r="P8897">
            <v>0</v>
          </cell>
        </row>
        <row r="8898">
          <cell r="K8898">
            <v>0</v>
          </cell>
          <cell r="M8898">
            <v>0</v>
          </cell>
          <cell r="P8898">
            <v>0</v>
          </cell>
        </row>
        <row r="8899">
          <cell r="K8899">
            <v>0</v>
          </cell>
          <cell r="M8899">
            <v>0</v>
          </cell>
          <cell r="P8899">
            <v>0</v>
          </cell>
        </row>
        <row r="8900">
          <cell r="K8900">
            <v>0</v>
          </cell>
          <cell r="M8900">
            <v>0</v>
          </cell>
          <cell r="P8900">
            <v>0</v>
          </cell>
        </row>
        <row r="8901">
          <cell r="K8901">
            <v>0</v>
          </cell>
          <cell r="M8901">
            <v>0</v>
          </cell>
          <cell r="P8901">
            <v>0</v>
          </cell>
        </row>
        <row r="8902">
          <cell r="K8902">
            <v>0</v>
          </cell>
          <cell r="M8902">
            <v>0</v>
          </cell>
          <cell r="P8902">
            <v>0</v>
          </cell>
        </row>
        <row r="8903">
          <cell r="K8903">
            <v>0</v>
          </cell>
          <cell r="M8903">
            <v>0</v>
          </cell>
          <cell r="P8903">
            <v>0</v>
          </cell>
        </row>
        <row r="8904">
          <cell r="K8904">
            <v>0</v>
          </cell>
          <cell r="M8904">
            <v>0</v>
          </cell>
          <cell r="P8904">
            <v>0</v>
          </cell>
        </row>
        <row r="8905">
          <cell r="K8905">
            <v>0</v>
          </cell>
          <cell r="M8905">
            <v>0</v>
          </cell>
          <cell r="P8905">
            <v>0</v>
          </cell>
        </row>
        <row r="8906">
          <cell r="K8906">
            <v>0</v>
          </cell>
          <cell r="M8906">
            <v>0</v>
          </cell>
          <cell r="P8906">
            <v>0</v>
          </cell>
        </row>
        <row r="8907">
          <cell r="K8907">
            <v>0</v>
          </cell>
          <cell r="M8907">
            <v>0</v>
          </cell>
          <cell r="P8907">
            <v>0</v>
          </cell>
        </row>
        <row r="8908">
          <cell r="K8908">
            <v>0</v>
          </cell>
          <cell r="M8908">
            <v>0</v>
          </cell>
          <cell r="P8908">
            <v>0</v>
          </cell>
        </row>
        <row r="8909">
          <cell r="K8909">
            <v>0</v>
          </cell>
          <cell r="M8909">
            <v>0</v>
          </cell>
          <cell r="P8909">
            <v>0</v>
          </cell>
        </row>
        <row r="8910">
          <cell r="K8910">
            <v>0</v>
          </cell>
          <cell r="M8910">
            <v>0</v>
          </cell>
          <cell r="P8910">
            <v>0</v>
          </cell>
        </row>
        <row r="8911">
          <cell r="K8911">
            <v>0</v>
          </cell>
          <cell r="M8911">
            <v>0</v>
          </cell>
          <cell r="P8911">
            <v>0</v>
          </cell>
        </row>
        <row r="8912">
          <cell r="K8912">
            <v>0</v>
          </cell>
          <cell r="M8912">
            <v>0</v>
          </cell>
          <cell r="P8912">
            <v>0</v>
          </cell>
        </row>
        <row r="8913">
          <cell r="K8913">
            <v>0</v>
          </cell>
          <cell r="M8913">
            <v>0</v>
          </cell>
          <cell r="P8913">
            <v>0</v>
          </cell>
        </row>
        <row r="8914">
          <cell r="K8914">
            <v>0</v>
          </cell>
          <cell r="M8914">
            <v>0</v>
          </cell>
          <cell r="P8914">
            <v>0</v>
          </cell>
        </row>
        <row r="8915">
          <cell r="K8915">
            <v>0</v>
          </cell>
          <cell r="M8915">
            <v>0</v>
          </cell>
          <cell r="P8915">
            <v>0</v>
          </cell>
        </row>
        <row r="8916">
          <cell r="K8916">
            <v>0</v>
          </cell>
          <cell r="M8916">
            <v>0</v>
          </cell>
          <cell r="P8916">
            <v>0</v>
          </cell>
        </row>
        <row r="8917">
          <cell r="K8917">
            <v>0</v>
          </cell>
          <cell r="M8917">
            <v>0</v>
          </cell>
          <cell r="P8917">
            <v>0</v>
          </cell>
        </row>
        <row r="8918">
          <cell r="K8918">
            <v>0</v>
          </cell>
          <cell r="M8918">
            <v>0</v>
          </cell>
          <cell r="P8918">
            <v>0</v>
          </cell>
        </row>
        <row r="8919">
          <cell r="K8919">
            <v>0</v>
          </cell>
          <cell r="M8919">
            <v>0</v>
          </cell>
          <cell r="P8919">
            <v>0</v>
          </cell>
        </row>
        <row r="8920">
          <cell r="K8920">
            <v>0</v>
          </cell>
          <cell r="M8920">
            <v>0</v>
          </cell>
          <cell r="P8920">
            <v>0</v>
          </cell>
        </row>
        <row r="8921">
          <cell r="K8921">
            <v>0</v>
          </cell>
          <cell r="M8921">
            <v>0</v>
          </cell>
          <cell r="P8921">
            <v>0</v>
          </cell>
        </row>
        <row r="8922">
          <cell r="K8922">
            <v>0</v>
          </cell>
          <cell r="M8922">
            <v>0</v>
          </cell>
          <cell r="P8922">
            <v>0</v>
          </cell>
        </row>
        <row r="8923">
          <cell r="K8923">
            <v>0</v>
          </cell>
          <cell r="M8923">
            <v>0</v>
          </cell>
          <cell r="P8923">
            <v>0</v>
          </cell>
        </row>
        <row r="8924">
          <cell r="K8924">
            <v>0</v>
          </cell>
          <cell r="M8924">
            <v>0</v>
          </cell>
          <cell r="P8924">
            <v>0</v>
          </cell>
        </row>
        <row r="8925">
          <cell r="K8925">
            <v>0</v>
          </cell>
          <cell r="M8925">
            <v>0</v>
          </cell>
          <cell r="P8925">
            <v>0</v>
          </cell>
        </row>
        <row r="8926">
          <cell r="K8926">
            <v>0</v>
          </cell>
          <cell r="M8926">
            <v>0</v>
          </cell>
          <cell r="P8926">
            <v>0</v>
          </cell>
        </row>
        <row r="8927">
          <cell r="K8927">
            <v>0</v>
          </cell>
          <cell r="M8927">
            <v>0</v>
          </cell>
          <cell r="P8927">
            <v>0</v>
          </cell>
        </row>
        <row r="8928">
          <cell r="K8928">
            <v>0</v>
          </cell>
          <cell r="M8928">
            <v>0</v>
          </cell>
          <cell r="P8928">
            <v>0</v>
          </cell>
        </row>
        <row r="8929">
          <cell r="K8929">
            <v>0</v>
          </cell>
          <cell r="M8929">
            <v>0</v>
          </cell>
          <cell r="P8929">
            <v>0</v>
          </cell>
        </row>
        <row r="8930">
          <cell r="K8930">
            <v>0</v>
          </cell>
          <cell r="M8930">
            <v>0</v>
          </cell>
          <cell r="P8930">
            <v>0</v>
          </cell>
        </row>
        <row r="8931">
          <cell r="K8931">
            <v>0</v>
          </cell>
          <cell r="M8931">
            <v>0</v>
          </cell>
          <cell r="P8931">
            <v>0</v>
          </cell>
        </row>
        <row r="8932">
          <cell r="K8932">
            <v>0</v>
          </cell>
          <cell r="M8932">
            <v>0</v>
          </cell>
          <cell r="P8932">
            <v>0</v>
          </cell>
        </row>
        <row r="8933">
          <cell r="K8933">
            <v>0</v>
          </cell>
          <cell r="M8933">
            <v>0</v>
          </cell>
          <cell r="P8933">
            <v>0</v>
          </cell>
        </row>
        <row r="8934">
          <cell r="K8934">
            <v>0</v>
          </cell>
          <cell r="M8934">
            <v>0</v>
          </cell>
          <cell r="P8934">
            <v>0</v>
          </cell>
        </row>
        <row r="8935">
          <cell r="K8935">
            <v>0</v>
          </cell>
          <cell r="M8935">
            <v>0</v>
          </cell>
          <cell r="P8935">
            <v>0</v>
          </cell>
        </row>
        <row r="8936">
          <cell r="K8936">
            <v>0</v>
          </cell>
          <cell r="M8936">
            <v>0</v>
          </cell>
          <cell r="P8936">
            <v>0</v>
          </cell>
        </row>
        <row r="8937">
          <cell r="K8937">
            <v>0</v>
          </cell>
          <cell r="M8937">
            <v>0</v>
          </cell>
          <cell r="P8937">
            <v>0</v>
          </cell>
        </row>
        <row r="8938">
          <cell r="K8938">
            <v>0</v>
          </cell>
          <cell r="M8938">
            <v>0</v>
          </cell>
          <cell r="P8938">
            <v>0</v>
          </cell>
        </row>
        <row r="8939">
          <cell r="K8939">
            <v>0</v>
          </cell>
          <cell r="M8939">
            <v>0</v>
          </cell>
          <cell r="P8939">
            <v>0</v>
          </cell>
        </row>
        <row r="8940">
          <cell r="K8940">
            <v>0</v>
          </cell>
          <cell r="M8940">
            <v>0</v>
          </cell>
          <cell r="P8940">
            <v>0</v>
          </cell>
        </row>
        <row r="8941">
          <cell r="K8941">
            <v>0</v>
          </cell>
          <cell r="M8941">
            <v>0</v>
          </cell>
          <cell r="P8941">
            <v>0</v>
          </cell>
        </row>
        <row r="8942">
          <cell r="K8942">
            <v>0</v>
          </cell>
          <cell r="M8942">
            <v>0</v>
          </cell>
          <cell r="P8942">
            <v>0</v>
          </cell>
        </row>
        <row r="8943">
          <cell r="K8943">
            <v>0</v>
          </cell>
          <cell r="M8943">
            <v>0</v>
          </cell>
          <cell r="P8943">
            <v>0</v>
          </cell>
        </row>
        <row r="8944">
          <cell r="K8944">
            <v>0</v>
          </cell>
          <cell r="M8944">
            <v>0</v>
          </cell>
          <cell r="P8944">
            <v>0</v>
          </cell>
        </row>
        <row r="8945">
          <cell r="K8945">
            <v>0</v>
          </cell>
          <cell r="M8945">
            <v>0</v>
          </cell>
          <cell r="P8945">
            <v>0</v>
          </cell>
        </row>
        <row r="8946">
          <cell r="K8946">
            <v>0</v>
          </cell>
          <cell r="M8946">
            <v>0</v>
          </cell>
          <cell r="P8946">
            <v>0</v>
          </cell>
        </row>
        <row r="8947">
          <cell r="K8947">
            <v>0</v>
          </cell>
          <cell r="M8947">
            <v>0</v>
          </cell>
          <cell r="P8947">
            <v>0</v>
          </cell>
        </row>
        <row r="8948">
          <cell r="K8948">
            <v>0</v>
          </cell>
          <cell r="M8948">
            <v>0</v>
          </cell>
          <cell r="P8948">
            <v>0</v>
          </cell>
        </row>
        <row r="8949">
          <cell r="K8949">
            <v>0</v>
          </cell>
          <cell r="M8949">
            <v>0</v>
          </cell>
          <cell r="P8949">
            <v>0</v>
          </cell>
        </row>
        <row r="8950">
          <cell r="K8950">
            <v>0</v>
          </cell>
          <cell r="M8950">
            <v>0</v>
          </cell>
          <cell r="P8950">
            <v>0</v>
          </cell>
        </row>
        <row r="8951">
          <cell r="K8951">
            <v>0</v>
          </cell>
          <cell r="M8951">
            <v>0</v>
          </cell>
          <cell r="P8951">
            <v>0</v>
          </cell>
        </row>
        <row r="8952">
          <cell r="K8952">
            <v>0</v>
          </cell>
          <cell r="M8952">
            <v>0</v>
          </cell>
          <cell r="P8952">
            <v>0</v>
          </cell>
        </row>
        <row r="8953">
          <cell r="K8953">
            <v>0</v>
          </cell>
          <cell r="M8953">
            <v>0</v>
          </cell>
          <cell r="P8953">
            <v>0</v>
          </cell>
        </row>
        <row r="8954">
          <cell r="K8954">
            <v>0</v>
          </cell>
          <cell r="M8954">
            <v>0</v>
          </cell>
          <cell r="P8954">
            <v>0</v>
          </cell>
        </row>
        <row r="8955">
          <cell r="K8955">
            <v>0</v>
          </cell>
          <cell r="M8955">
            <v>0</v>
          </cell>
          <cell r="P8955">
            <v>0</v>
          </cell>
        </row>
        <row r="8956">
          <cell r="K8956">
            <v>0</v>
          </cell>
          <cell r="M8956">
            <v>0</v>
          </cell>
          <cell r="P8956">
            <v>0</v>
          </cell>
        </row>
        <row r="8957">
          <cell r="K8957">
            <v>0</v>
          </cell>
          <cell r="M8957">
            <v>0</v>
          </cell>
          <cell r="P8957">
            <v>0</v>
          </cell>
        </row>
        <row r="8958">
          <cell r="K8958">
            <v>0</v>
          </cell>
          <cell r="M8958">
            <v>0</v>
          </cell>
          <cell r="P8958">
            <v>0</v>
          </cell>
        </row>
        <row r="8959">
          <cell r="K8959">
            <v>0</v>
          </cell>
          <cell r="M8959">
            <v>0</v>
          </cell>
          <cell r="P8959">
            <v>0</v>
          </cell>
        </row>
        <row r="8960">
          <cell r="K8960">
            <v>0</v>
          </cell>
          <cell r="M8960">
            <v>0</v>
          </cell>
          <cell r="P8960">
            <v>0</v>
          </cell>
        </row>
        <row r="8961">
          <cell r="K8961">
            <v>0</v>
          </cell>
          <cell r="M8961">
            <v>0</v>
          </cell>
          <cell r="P8961">
            <v>0</v>
          </cell>
        </row>
        <row r="8962">
          <cell r="K8962">
            <v>0</v>
          </cell>
          <cell r="M8962">
            <v>0</v>
          </cell>
          <cell r="P8962">
            <v>0</v>
          </cell>
        </row>
        <row r="8963">
          <cell r="K8963">
            <v>0</v>
          </cell>
          <cell r="M8963">
            <v>0</v>
          </cell>
          <cell r="P8963">
            <v>0</v>
          </cell>
        </row>
        <row r="8964">
          <cell r="K8964">
            <v>0</v>
          </cell>
          <cell r="M8964">
            <v>0</v>
          </cell>
          <cell r="P8964">
            <v>0</v>
          </cell>
        </row>
        <row r="8965">
          <cell r="K8965">
            <v>0</v>
          </cell>
          <cell r="M8965">
            <v>0</v>
          </cell>
          <cell r="P8965">
            <v>0</v>
          </cell>
        </row>
        <row r="8966">
          <cell r="K8966">
            <v>0</v>
          </cell>
          <cell r="M8966">
            <v>0</v>
          </cell>
          <cell r="P8966">
            <v>0</v>
          </cell>
        </row>
        <row r="8967">
          <cell r="K8967">
            <v>0</v>
          </cell>
          <cell r="M8967">
            <v>0</v>
          </cell>
          <cell r="P8967">
            <v>0</v>
          </cell>
        </row>
        <row r="8968">
          <cell r="K8968">
            <v>0</v>
          </cell>
          <cell r="M8968">
            <v>0</v>
          </cell>
          <cell r="P8968">
            <v>0</v>
          </cell>
        </row>
        <row r="8969">
          <cell r="K8969">
            <v>0</v>
          </cell>
          <cell r="M8969">
            <v>0</v>
          </cell>
          <cell r="P8969">
            <v>0</v>
          </cell>
        </row>
        <row r="8970">
          <cell r="K8970">
            <v>0</v>
          </cell>
          <cell r="M8970">
            <v>0</v>
          </cell>
          <cell r="P8970">
            <v>0</v>
          </cell>
        </row>
        <row r="8971">
          <cell r="K8971">
            <v>0</v>
          </cell>
          <cell r="M8971">
            <v>0</v>
          </cell>
          <cell r="P8971">
            <v>0</v>
          </cell>
        </row>
        <row r="8972">
          <cell r="K8972">
            <v>0</v>
          </cell>
          <cell r="M8972">
            <v>0</v>
          </cell>
          <cell r="P8972">
            <v>0</v>
          </cell>
        </row>
        <row r="8973">
          <cell r="K8973">
            <v>0</v>
          </cell>
          <cell r="M8973">
            <v>0</v>
          </cell>
          <cell r="P8973">
            <v>0</v>
          </cell>
        </row>
        <row r="8974">
          <cell r="K8974">
            <v>0</v>
          </cell>
          <cell r="M8974">
            <v>0</v>
          </cell>
          <cell r="P8974">
            <v>0</v>
          </cell>
        </row>
        <row r="8975">
          <cell r="K8975">
            <v>0</v>
          </cell>
          <cell r="M8975">
            <v>0</v>
          </cell>
          <cell r="P8975">
            <v>0</v>
          </cell>
        </row>
        <row r="8976">
          <cell r="K8976">
            <v>0</v>
          </cell>
          <cell r="M8976">
            <v>0</v>
          </cell>
          <cell r="P8976">
            <v>0</v>
          </cell>
        </row>
        <row r="8977">
          <cell r="K8977">
            <v>0</v>
          </cell>
          <cell r="M8977">
            <v>0</v>
          </cell>
          <cell r="P8977">
            <v>0</v>
          </cell>
        </row>
        <row r="8978">
          <cell r="K8978">
            <v>0</v>
          </cell>
          <cell r="M8978">
            <v>0</v>
          </cell>
          <cell r="P8978">
            <v>0</v>
          </cell>
        </row>
        <row r="8979">
          <cell r="K8979">
            <v>0</v>
          </cell>
          <cell r="M8979">
            <v>0</v>
          </cell>
          <cell r="P8979">
            <v>0</v>
          </cell>
        </row>
        <row r="8980">
          <cell r="K8980">
            <v>0</v>
          </cell>
          <cell r="M8980">
            <v>0</v>
          </cell>
          <cell r="P8980">
            <v>0</v>
          </cell>
        </row>
        <row r="8981">
          <cell r="K8981">
            <v>0</v>
          </cell>
          <cell r="M8981">
            <v>0</v>
          </cell>
          <cell r="P8981">
            <v>0</v>
          </cell>
        </row>
        <row r="8982">
          <cell r="K8982">
            <v>0</v>
          </cell>
          <cell r="M8982">
            <v>0</v>
          </cell>
          <cell r="P8982">
            <v>0</v>
          </cell>
        </row>
        <row r="8983">
          <cell r="K8983">
            <v>0</v>
          </cell>
          <cell r="M8983">
            <v>0</v>
          </cell>
          <cell r="P8983">
            <v>0</v>
          </cell>
        </row>
        <row r="8984">
          <cell r="K8984">
            <v>0</v>
          </cell>
          <cell r="M8984">
            <v>0</v>
          </cell>
          <cell r="P8984">
            <v>0</v>
          </cell>
        </row>
        <row r="8985">
          <cell r="K8985">
            <v>0</v>
          </cell>
          <cell r="M8985">
            <v>0</v>
          </cell>
          <cell r="P8985">
            <v>0</v>
          </cell>
        </row>
        <row r="8986">
          <cell r="K8986">
            <v>0</v>
          </cell>
          <cell r="M8986">
            <v>0</v>
          </cell>
          <cell r="P8986">
            <v>0</v>
          </cell>
        </row>
        <row r="8987">
          <cell r="K8987">
            <v>0</v>
          </cell>
          <cell r="M8987">
            <v>0</v>
          </cell>
          <cell r="P8987">
            <v>0</v>
          </cell>
        </row>
        <row r="8988">
          <cell r="K8988">
            <v>0</v>
          </cell>
          <cell r="M8988">
            <v>0</v>
          </cell>
          <cell r="P8988">
            <v>0</v>
          </cell>
        </row>
        <row r="8989">
          <cell r="K8989">
            <v>0</v>
          </cell>
          <cell r="M8989">
            <v>0</v>
          </cell>
          <cell r="P8989">
            <v>0</v>
          </cell>
        </row>
        <row r="8990">
          <cell r="K8990">
            <v>0</v>
          </cell>
          <cell r="M8990">
            <v>0</v>
          </cell>
          <cell r="P8990">
            <v>0</v>
          </cell>
        </row>
        <row r="8991">
          <cell r="K8991">
            <v>0</v>
          </cell>
          <cell r="M8991">
            <v>0</v>
          </cell>
          <cell r="P8991">
            <v>0</v>
          </cell>
        </row>
        <row r="8992">
          <cell r="K8992">
            <v>0</v>
          </cell>
          <cell r="M8992">
            <v>0</v>
          </cell>
          <cell r="P8992">
            <v>0</v>
          </cell>
        </row>
        <row r="8993">
          <cell r="K8993">
            <v>0</v>
          </cell>
          <cell r="M8993">
            <v>0</v>
          </cell>
          <cell r="P8993">
            <v>0</v>
          </cell>
        </row>
        <row r="8994">
          <cell r="K8994">
            <v>0</v>
          </cell>
          <cell r="M8994">
            <v>0</v>
          </cell>
          <cell r="P8994">
            <v>0</v>
          </cell>
        </row>
        <row r="8995">
          <cell r="K8995">
            <v>0</v>
          </cell>
          <cell r="M8995">
            <v>0</v>
          </cell>
          <cell r="P8995">
            <v>0</v>
          </cell>
        </row>
        <row r="8996">
          <cell r="K8996">
            <v>0</v>
          </cell>
          <cell r="M8996">
            <v>0</v>
          </cell>
          <cell r="P8996">
            <v>0</v>
          </cell>
        </row>
        <row r="8997">
          <cell r="K8997">
            <v>0</v>
          </cell>
          <cell r="M8997">
            <v>0</v>
          </cell>
          <cell r="P8997">
            <v>0</v>
          </cell>
        </row>
        <row r="8998">
          <cell r="K8998">
            <v>0</v>
          </cell>
          <cell r="M8998">
            <v>0</v>
          </cell>
          <cell r="P8998">
            <v>0</v>
          </cell>
        </row>
        <row r="8999">
          <cell r="K8999">
            <v>0</v>
          </cell>
          <cell r="M8999">
            <v>0</v>
          </cell>
          <cell r="P8999">
            <v>0</v>
          </cell>
        </row>
        <row r="9000">
          <cell r="K9000">
            <v>0</v>
          </cell>
          <cell r="M9000">
            <v>0</v>
          </cell>
          <cell r="P9000">
            <v>0</v>
          </cell>
        </row>
        <row r="9001">
          <cell r="K9001">
            <v>0</v>
          </cell>
          <cell r="M9001">
            <v>0</v>
          </cell>
          <cell r="P9001">
            <v>0</v>
          </cell>
        </row>
        <row r="9002">
          <cell r="K9002">
            <v>0</v>
          </cell>
          <cell r="M9002">
            <v>0</v>
          </cell>
          <cell r="P9002">
            <v>0</v>
          </cell>
        </row>
        <row r="9003">
          <cell r="K9003">
            <v>0</v>
          </cell>
          <cell r="M9003">
            <v>0</v>
          </cell>
          <cell r="P9003">
            <v>0</v>
          </cell>
        </row>
        <row r="9004">
          <cell r="K9004">
            <v>0</v>
          </cell>
          <cell r="M9004">
            <v>0</v>
          </cell>
          <cell r="P9004">
            <v>0</v>
          </cell>
        </row>
        <row r="9005">
          <cell r="K9005">
            <v>0</v>
          </cell>
          <cell r="M9005">
            <v>0</v>
          </cell>
          <cell r="P9005">
            <v>0</v>
          </cell>
        </row>
        <row r="9006">
          <cell r="K9006">
            <v>0</v>
          </cell>
          <cell r="M9006">
            <v>0</v>
          </cell>
          <cell r="P9006">
            <v>0</v>
          </cell>
        </row>
        <row r="9007">
          <cell r="K9007">
            <v>0</v>
          </cell>
          <cell r="M9007">
            <v>0</v>
          </cell>
          <cell r="P9007">
            <v>0</v>
          </cell>
        </row>
        <row r="9008">
          <cell r="K9008">
            <v>0</v>
          </cell>
          <cell r="M9008">
            <v>0</v>
          </cell>
          <cell r="P9008">
            <v>0</v>
          </cell>
        </row>
        <row r="9009">
          <cell r="K9009">
            <v>0</v>
          </cell>
          <cell r="M9009">
            <v>0</v>
          </cell>
          <cell r="P9009">
            <v>0</v>
          </cell>
        </row>
        <row r="9010">
          <cell r="K9010">
            <v>0</v>
          </cell>
          <cell r="M9010">
            <v>0</v>
          </cell>
          <cell r="P9010">
            <v>0</v>
          </cell>
        </row>
        <row r="9011">
          <cell r="K9011">
            <v>0</v>
          </cell>
          <cell r="M9011">
            <v>0</v>
          </cell>
          <cell r="P9011">
            <v>0</v>
          </cell>
        </row>
        <row r="9012">
          <cell r="K9012">
            <v>0</v>
          </cell>
          <cell r="M9012">
            <v>0</v>
          </cell>
          <cell r="P9012">
            <v>0</v>
          </cell>
        </row>
        <row r="9013">
          <cell r="K9013">
            <v>0</v>
          </cell>
          <cell r="M9013">
            <v>0</v>
          </cell>
          <cell r="P9013">
            <v>0</v>
          </cell>
        </row>
        <row r="9014">
          <cell r="K9014">
            <v>0</v>
          </cell>
          <cell r="M9014">
            <v>0</v>
          </cell>
          <cell r="P9014">
            <v>0</v>
          </cell>
        </row>
        <row r="9015">
          <cell r="K9015">
            <v>0</v>
          </cell>
          <cell r="M9015">
            <v>0</v>
          </cell>
          <cell r="P9015">
            <v>0</v>
          </cell>
        </row>
        <row r="9016">
          <cell r="K9016">
            <v>0</v>
          </cell>
          <cell r="M9016">
            <v>0</v>
          </cell>
          <cell r="P9016">
            <v>0</v>
          </cell>
        </row>
        <row r="9017">
          <cell r="K9017">
            <v>0</v>
          </cell>
          <cell r="M9017">
            <v>0</v>
          </cell>
          <cell r="P9017">
            <v>0</v>
          </cell>
        </row>
        <row r="9018">
          <cell r="K9018">
            <v>0</v>
          </cell>
          <cell r="M9018">
            <v>0</v>
          </cell>
          <cell r="P9018">
            <v>0</v>
          </cell>
        </row>
        <row r="9019">
          <cell r="K9019">
            <v>0</v>
          </cell>
          <cell r="M9019">
            <v>0</v>
          </cell>
          <cell r="P9019">
            <v>0</v>
          </cell>
        </row>
        <row r="9020">
          <cell r="K9020">
            <v>0</v>
          </cell>
          <cell r="M9020">
            <v>0</v>
          </cell>
          <cell r="P9020">
            <v>0</v>
          </cell>
        </row>
        <row r="9021">
          <cell r="K9021">
            <v>0</v>
          </cell>
          <cell r="M9021">
            <v>0</v>
          </cell>
          <cell r="P9021">
            <v>0</v>
          </cell>
        </row>
        <row r="9022">
          <cell r="K9022">
            <v>0</v>
          </cell>
          <cell r="M9022">
            <v>0</v>
          </cell>
          <cell r="P9022">
            <v>0</v>
          </cell>
        </row>
        <row r="9023">
          <cell r="K9023">
            <v>0</v>
          </cell>
          <cell r="M9023">
            <v>0</v>
          </cell>
          <cell r="P9023">
            <v>0</v>
          </cell>
        </row>
        <row r="9024">
          <cell r="K9024">
            <v>0</v>
          </cell>
          <cell r="M9024">
            <v>0</v>
          </cell>
          <cell r="P9024">
            <v>0</v>
          </cell>
        </row>
        <row r="9025">
          <cell r="K9025">
            <v>0</v>
          </cell>
          <cell r="M9025">
            <v>0</v>
          </cell>
          <cell r="P9025">
            <v>0</v>
          </cell>
        </row>
        <row r="9026">
          <cell r="K9026">
            <v>0</v>
          </cell>
          <cell r="M9026">
            <v>0</v>
          </cell>
          <cell r="P9026">
            <v>0</v>
          </cell>
        </row>
        <row r="9027">
          <cell r="K9027">
            <v>0</v>
          </cell>
          <cell r="M9027">
            <v>0</v>
          </cell>
          <cell r="P9027">
            <v>0</v>
          </cell>
        </row>
        <row r="9028">
          <cell r="K9028">
            <v>0</v>
          </cell>
          <cell r="M9028">
            <v>0</v>
          </cell>
          <cell r="P9028">
            <v>0</v>
          </cell>
        </row>
        <row r="9029">
          <cell r="K9029">
            <v>0</v>
          </cell>
          <cell r="M9029">
            <v>0</v>
          </cell>
          <cell r="P9029">
            <v>0</v>
          </cell>
        </row>
        <row r="9030">
          <cell r="K9030">
            <v>0</v>
          </cell>
          <cell r="M9030">
            <v>0</v>
          </cell>
          <cell r="P9030">
            <v>0</v>
          </cell>
        </row>
        <row r="9031">
          <cell r="K9031">
            <v>0</v>
          </cell>
          <cell r="M9031">
            <v>0</v>
          </cell>
          <cell r="P9031">
            <v>0</v>
          </cell>
        </row>
        <row r="9032">
          <cell r="K9032">
            <v>0</v>
          </cell>
          <cell r="M9032">
            <v>0</v>
          </cell>
          <cell r="P9032">
            <v>0</v>
          </cell>
        </row>
        <row r="9033">
          <cell r="K9033">
            <v>0</v>
          </cell>
          <cell r="M9033">
            <v>0</v>
          </cell>
          <cell r="P9033">
            <v>0</v>
          </cell>
        </row>
        <row r="9034">
          <cell r="K9034">
            <v>0</v>
          </cell>
          <cell r="M9034">
            <v>0</v>
          </cell>
          <cell r="P9034">
            <v>0</v>
          </cell>
        </row>
        <row r="9035">
          <cell r="K9035">
            <v>0</v>
          </cell>
          <cell r="M9035">
            <v>0</v>
          </cell>
          <cell r="P9035">
            <v>0</v>
          </cell>
        </row>
        <row r="9036">
          <cell r="K9036">
            <v>0</v>
          </cell>
          <cell r="M9036">
            <v>0</v>
          </cell>
          <cell r="P9036">
            <v>0</v>
          </cell>
        </row>
        <row r="9037">
          <cell r="K9037">
            <v>0</v>
          </cell>
          <cell r="M9037">
            <v>0</v>
          </cell>
          <cell r="P9037">
            <v>0</v>
          </cell>
        </row>
        <row r="9038">
          <cell r="K9038">
            <v>0</v>
          </cell>
          <cell r="M9038">
            <v>0</v>
          </cell>
          <cell r="P9038">
            <v>0</v>
          </cell>
        </row>
        <row r="9039">
          <cell r="K9039">
            <v>0</v>
          </cell>
          <cell r="M9039">
            <v>0</v>
          </cell>
          <cell r="P9039">
            <v>0</v>
          </cell>
        </row>
        <row r="9040">
          <cell r="K9040">
            <v>0</v>
          </cell>
          <cell r="M9040">
            <v>0</v>
          </cell>
          <cell r="P9040">
            <v>0</v>
          </cell>
        </row>
        <row r="9041">
          <cell r="K9041">
            <v>0</v>
          </cell>
          <cell r="M9041">
            <v>0</v>
          </cell>
          <cell r="P9041">
            <v>0</v>
          </cell>
        </row>
        <row r="9042">
          <cell r="K9042">
            <v>0</v>
          </cell>
          <cell r="M9042">
            <v>0</v>
          </cell>
          <cell r="P9042">
            <v>0</v>
          </cell>
        </row>
        <row r="9043">
          <cell r="K9043">
            <v>0</v>
          </cell>
          <cell r="M9043">
            <v>0</v>
          </cell>
          <cell r="P9043">
            <v>0</v>
          </cell>
        </row>
        <row r="9044">
          <cell r="K9044">
            <v>0</v>
          </cell>
          <cell r="M9044">
            <v>0</v>
          </cell>
          <cell r="P9044">
            <v>0</v>
          </cell>
        </row>
        <row r="9045">
          <cell r="K9045">
            <v>0</v>
          </cell>
          <cell r="M9045">
            <v>0</v>
          </cell>
          <cell r="P9045">
            <v>0</v>
          </cell>
        </row>
        <row r="9046">
          <cell r="K9046">
            <v>0</v>
          </cell>
          <cell r="M9046">
            <v>0</v>
          </cell>
          <cell r="P9046">
            <v>0</v>
          </cell>
        </row>
        <row r="9047">
          <cell r="K9047">
            <v>0</v>
          </cell>
          <cell r="M9047">
            <v>0</v>
          </cell>
          <cell r="P9047">
            <v>0</v>
          </cell>
        </row>
        <row r="9048">
          <cell r="K9048">
            <v>0</v>
          </cell>
          <cell r="M9048">
            <v>0</v>
          </cell>
          <cell r="P9048">
            <v>0</v>
          </cell>
        </row>
        <row r="9049">
          <cell r="K9049">
            <v>0</v>
          </cell>
          <cell r="M9049">
            <v>0</v>
          </cell>
          <cell r="P9049">
            <v>0</v>
          </cell>
        </row>
        <row r="9050">
          <cell r="K9050">
            <v>0</v>
          </cell>
          <cell r="M9050">
            <v>0</v>
          </cell>
          <cell r="P9050">
            <v>0</v>
          </cell>
        </row>
        <row r="9051">
          <cell r="K9051">
            <v>0</v>
          </cell>
          <cell r="M9051">
            <v>0</v>
          </cell>
          <cell r="P9051">
            <v>0</v>
          </cell>
        </row>
        <row r="9052">
          <cell r="K9052">
            <v>0</v>
          </cell>
          <cell r="M9052">
            <v>0</v>
          </cell>
          <cell r="P9052">
            <v>0</v>
          </cell>
        </row>
        <row r="9053">
          <cell r="K9053">
            <v>0</v>
          </cell>
          <cell r="M9053">
            <v>0</v>
          </cell>
          <cell r="P9053">
            <v>0</v>
          </cell>
        </row>
        <row r="9054">
          <cell r="K9054">
            <v>0</v>
          </cell>
          <cell r="M9054">
            <v>0</v>
          </cell>
          <cell r="P9054">
            <v>0</v>
          </cell>
        </row>
        <row r="9055">
          <cell r="K9055">
            <v>0</v>
          </cell>
          <cell r="M9055">
            <v>0</v>
          </cell>
          <cell r="P9055">
            <v>0</v>
          </cell>
        </row>
        <row r="9056">
          <cell r="K9056">
            <v>0</v>
          </cell>
          <cell r="M9056">
            <v>0</v>
          </cell>
          <cell r="P9056">
            <v>0</v>
          </cell>
        </row>
        <row r="9057">
          <cell r="K9057">
            <v>0</v>
          </cell>
          <cell r="M9057">
            <v>0</v>
          </cell>
          <cell r="P9057">
            <v>0</v>
          </cell>
        </row>
        <row r="9058">
          <cell r="K9058">
            <v>0</v>
          </cell>
          <cell r="M9058">
            <v>0</v>
          </cell>
          <cell r="P9058">
            <v>0</v>
          </cell>
        </row>
        <row r="9059">
          <cell r="K9059">
            <v>0</v>
          </cell>
          <cell r="M9059">
            <v>0</v>
          </cell>
          <cell r="P9059">
            <v>0</v>
          </cell>
        </row>
        <row r="9060">
          <cell r="K9060">
            <v>0</v>
          </cell>
          <cell r="M9060">
            <v>0</v>
          </cell>
          <cell r="P9060">
            <v>0</v>
          </cell>
        </row>
        <row r="9061">
          <cell r="K9061">
            <v>0</v>
          </cell>
          <cell r="M9061">
            <v>0</v>
          </cell>
          <cell r="P9061">
            <v>0</v>
          </cell>
        </row>
        <row r="9062">
          <cell r="K9062">
            <v>0</v>
          </cell>
          <cell r="M9062">
            <v>0</v>
          </cell>
          <cell r="P9062">
            <v>0</v>
          </cell>
        </row>
        <row r="9063">
          <cell r="K9063">
            <v>0</v>
          </cell>
          <cell r="M9063">
            <v>0</v>
          </cell>
          <cell r="P9063">
            <v>0</v>
          </cell>
        </row>
        <row r="9064">
          <cell r="K9064">
            <v>0</v>
          </cell>
          <cell r="M9064">
            <v>0</v>
          </cell>
          <cell r="P9064">
            <v>0</v>
          </cell>
        </row>
        <row r="9065">
          <cell r="K9065">
            <v>0</v>
          </cell>
          <cell r="M9065">
            <v>0</v>
          </cell>
          <cell r="P9065">
            <v>0</v>
          </cell>
        </row>
        <row r="9066">
          <cell r="K9066">
            <v>0</v>
          </cell>
          <cell r="M9066">
            <v>0</v>
          </cell>
          <cell r="P9066">
            <v>0</v>
          </cell>
        </row>
        <row r="9067">
          <cell r="K9067">
            <v>0</v>
          </cell>
          <cell r="M9067">
            <v>0</v>
          </cell>
          <cell r="P9067">
            <v>0</v>
          </cell>
        </row>
        <row r="9068">
          <cell r="K9068">
            <v>0</v>
          </cell>
          <cell r="M9068">
            <v>0</v>
          </cell>
          <cell r="P9068">
            <v>0</v>
          </cell>
        </row>
        <row r="9069">
          <cell r="K9069">
            <v>0</v>
          </cell>
          <cell r="M9069">
            <v>0</v>
          </cell>
          <cell r="P9069">
            <v>0</v>
          </cell>
        </row>
        <row r="9070">
          <cell r="K9070">
            <v>0</v>
          </cell>
          <cell r="M9070">
            <v>0</v>
          </cell>
          <cell r="P9070">
            <v>0</v>
          </cell>
        </row>
        <row r="9071">
          <cell r="K9071">
            <v>0</v>
          </cell>
          <cell r="M9071">
            <v>0</v>
          </cell>
          <cell r="P9071">
            <v>0</v>
          </cell>
        </row>
        <row r="9072">
          <cell r="K9072">
            <v>0</v>
          </cell>
          <cell r="M9072">
            <v>0</v>
          </cell>
          <cell r="P9072">
            <v>0</v>
          </cell>
        </row>
        <row r="9073">
          <cell r="K9073">
            <v>0</v>
          </cell>
          <cell r="M9073">
            <v>0</v>
          </cell>
          <cell r="P9073">
            <v>0</v>
          </cell>
        </row>
        <row r="9074">
          <cell r="K9074">
            <v>0</v>
          </cell>
          <cell r="M9074">
            <v>0</v>
          </cell>
          <cell r="P9074">
            <v>0</v>
          </cell>
        </row>
        <row r="9075">
          <cell r="K9075">
            <v>0</v>
          </cell>
          <cell r="M9075">
            <v>0</v>
          </cell>
          <cell r="P9075">
            <v>0</v>
          </cell>
        </row>
        <row r="9076">
          <cell r="K9076">
            <v>0</v>
          </cell>
          <cell r="M9076">
            <v>0</v>
          </cell>
          <cell r="P9076">
            <v>0</v>
          </cell>
        </row>
        <row r="9077">
          <cell r="K9077">
            <v>0</v>
          </cell>
          <cell r="M9077">
            <v>0</v>
          </cell>
          <cell r="P9077">
            <v>0</v>
          </cell>
        </row>
        <row r="9078">
          <cell r="K9078">
            <v>0</v>
          </cell>
          <cell r="M9078">
            <v>0</v>
          </cell>
          <cell r="P9078">
            <v>0</v>
          </cell>
        </row>
        <row r="9079">
          <cell r="K9079">
            <v>0</v>
          </cell>
          <cell r="M9079">
            <v>0</v>
          </cell>
          <cell r="P9079">
            <v>0</v>
          </cell>
        </row>
        <row r="9080">
          <cell r="K9080">
            <v>0</v>
          </cell>
          <cell r="M9080">
            <v>0</v>
          </cell>
          <cell r="P9080">
            <v>0</v>
          </cell>
        </row>
        <row r="9081">
          <cell r="K9081">
            <v>0</v>
          </cell>
          <cell r="M9081">
            <v>0</v>
          </cell>
          <cell r="P9081">
            <v>0</v>
          </cell>
        </row>
        <row r="9082">
          <cell r="K9082">
            <v>0</v>
          </cell>
          <cell r="M9082">
            <v>0</v>
          </cell>
          <cell r="P9082">
            <v>0</v>
          </cell>
        </row>
        <row r="9083">
          <cell r="K9083">
            <v>0</v>
          </cell>
          <cell r="M9083">
            <v>0</v>
          </cell>
          <cell r="P9083">
            <v>0</v>
          </cell>
        </row>
        <row r="9084">
          <cell r="K9084">
            <v>0</v>
          </cell>
          <cell r="M9084">
            <v>0</v>
          </cell>
          <cell r="P9084">
            <v>0</v>
          </cell>
        </row>
        <row r="9085">
          <cell r="K9085">
            <v>0</v>
          </cell>
          <cell r="M9085">
            <v>0</v>
          </cell>
          <cell r="P9085">
            <v>0</v>
          </cell>
        </row>
        <row r="9086">
          <cell r="K9086">
            <v>0</v>
          </cell>
          <cell r="M9086">
            <v>0</v>
          </cell>
          <cell r="P9086">
            <v>0</v>
          </cell>
        </row>
        <row r="9087">
          <cell r="K9087">
            <v>0</v>
          </cell>
          <cell r="M9087">
            <v>0</v>
          </cell>
          <cell r="P9087">
            <v>0</v>
          </cell>
        </row>
        <row r="9088">
          <cell r="K9088">
            <v>0</v>
          </cell>
          <cell r="M9088">
            <v>0</v>
          </cell>
          <cell r="P9088">
            <v>0</v>
          </cell>
        </row>
        <row r="9089">
          <cell r="K9089">
            <v>0</v>
          </cell>
          <cell r="M9089">
            <v>0</v>
          </cell>
          <cell r="P9089">
            <v>0</v>
          </cell>
        </row>
        <row r="9090">
          <cell r="K9090">
            <v>0</v>
          </cell>
          <cell r="M9090">
            <v>0</v>
          </cell>
          <cell r="P9090">
            <v>0</v>
          </cell>
        </row>
        <row r="9091">
          <cell r="K9091">
            <v>0</v>
          </cell>
          <cell r="M9091">
            <v>0</v>
          </cell>
          <cell r="P9091">
            <v>0</v>
          </cell>
        </row>
        <row r="9092">
          <cell r="K9092">
            <v>0</v>
          </cell>
          <cell r="M9092">
            <v>0</v>
          </cell>
          <cell r="P9092">
            <v>0</v>
          </cell>
        </row>
        <row r="9093">
          <cell r="K9093">
            <v>0</v>
          </cell>
          <cell r="M9093">
            <v>0</v>
          </cell>
          <cell r="P9093">
            <v>0</v>
          </cell>
        </row>
        <row r="9094">
          <cell r="K9094">
            <v>0</v>
          </cell>
          <cell r="M9094">
            <v>0</v>
          </cell>
          <cell r="P9094">
            <v>0</v>
          </cell>
        </row>
        <row r="9095">
          <cell r="K9095">
            <v>0</v>
          </cell>
          <cell r="M9095">
            <v>0</v>
          </cell>
          <cell r="P9095">
            <v>0</v>
          </cell>
        </row>
        <row r="9096">
          <cell r="K9096">
            <v>0</v>
          </cell>
          <cell r="M9096">
            <v>0</v>
          </cell>
          <cell r="P9096">
            <v>0</v>
          </cell>
        </row>
        <row r="9097">
          <cell r="K9097">
            <v>0</v>
          </cell>
          <cell r="M9097">
            <v>0</v>
          </cell>
          <cell r="P9097">
            <v>0</v>
          </cell>
        </row>
        <row r="9098">
          <cell r="K9098">
            <v>0</v>
          </cell>
          <cell r="M9098">
            <v>0</v>
          </cell>
          <cell r="P9098">
            <v>0</v>
          </cell>
        </row>
        <row r="9099">
          <cell r="K9099">
            <v>0</v>
          </cell>
          <cell r="M9099">
            <v>0</v>
          </cell>
          <cell r="P9099">
            <v>0</v>
          </cell>
        </row>
        <row r="9100">
          <cell r="K9100">
            <v>0</v>
          </cell>
          <cell r="M9100">
            <v>0</v>
          </cell>
          <cell r="P9100">
            <v>0</v>
          </cell>
        </row>
        <row r="9101">
          <cell r="K9101">
            <v>0</v>
          </cell>
          <cell r="M9101">
            <v>0</v>
          </cell>
          <cell r="P9101">
            <v>0</v>
          </cell>
        </row>
        <row r="9102">
          <cell r="K9102">
            <v>0</v>
          </cell>
          <cell r="M9102">
            <v>0</v>
          </cell>
          <cell r="P9102">
            <v>0</v>
          </cell>
        </row>
        <row r="9103">
          <cell r="K9103">
            <v>0</v>
          </cell>
          <cell r="M9103">
            <v>0</v>
          </cell>
          <cell r="P9103">
            <v>0</v>
          </cell>
        </row>
        <row r="9104">
          <cell r="K9104">
            <v>0</v>
          </cell>
          <cell r="M9104">
            <v>0</v>
          </cell>
          <cell r="P9104">
            <v>0</v>
          </cell>
        </row>
        <row r="9105">
          <cell r="K9105">
            <v>0</v>
          </cell>
          <cell r="M9105">
            <v>0</v>
          </cell>
          <cell r="P9105">
            <v>0</v>
          </cell>
        </row>
        <row r="9106">
          <cell r="K9106">
            <v>0</v>
          </cell>
          <cell r="M9106">
            <v>0</v>
          </cell>
          <cell r="P9106">
            <v>0</v>
          </cell>
        </row>
        <row r="9107">
          <cell r="K9107">
            <v>0</v>
          </cell>
          <cell r="M9107">
            <v>0</v>
          </cell>
          <cell r="P9107">
            <v>0</v>
          </cell>
        </row>
        <row r="9108">
          <cell r="K9108">
            <v>0</v>
          </cell>
          <cell r="M9108">
            <v>0</v>
          </cell>
          <cell r="P9108">
            <v>0</v>
          </cell>
        </row>
        <row r="9109">
          <cell r="K9109">
            <v>0</v>
          </cell>
          <cell r="M9109">
            <v>0</v>
          </cell>
          <cell r="P9109">
            <v>0</v>
          </cell>
        </row>
        <row r="9110">
          <cell r="K9110">
            <v>0</v>
          </cell>
          <cell r="M9110">
            <v>0</v>
          </cell>
          <cell r="P9110">
            <v>0</v>
          </cell>
        </row>
        <row r="9111">
          <cell r="K9111">
            <v>0</v>
          </cell>
          <cell r="M9111">
            <v>0</v>
          </cell>
          <cell r="P9111">
            <v>0</v>
          </cell>
        </row>
        <row r="9112">
          <cell r="K9112">
            <v>0</v>
          </cell>
          <cell r="M9112">
            <v>0</v>
          </cell>
          <cell r="P9112">
            <v>0</v>
          </cell>
        </row>
        <row r="9113">
          <cell r="K9113">
            <v>0</v>
          </cell>
          <cell r="M9113">
            <v>0</v>
          </cell>
          <cell r="P9113">
            <v>0</v>
          </cell>
        </row>
        <row r="9114">
          <cell r="K9114">
            <v>0</v>
          </cell>
          <cell r="M9114">
            <v>0</v>
          </cell>
          <cell r="P9114">
            <v>0</v>
          </cell>
        </row>
        <row r="9115">
          <cell r="K9115">
            <v>0</v>
          </cell>
          <cell r="M9115">
            <v>0</v>
          </cell>
          <cell r="P9115">
            <v>0</v>
          </cell>
        </row>
        <row r="9116">
          <cell r="K9116">
            <v>0</v>
          </cell>
          <cell r="M9116">
            <v>0</v>
          </cell>
          <cell r="P9116">
            <v>0</v>
          </cell>
        </row>
        <row r="9117">
          <cell r="K9117">
            <v>0</v>
          </cell>
          <cell r="M9117">
            <v>0</v>
          </cell>
          <cell r="P9117">
            <v>0</v>
          </cell>
        </row>
        <row r="9118">
          <cell r="K9118">
            <v>0</v>
          </cell>
          <cell r="M9118">
            <v>0</v>
          </cell>
          <cell r="P9118">
            <v>0</v>
          </cell>
        </row>
        <row r="9119">
          <cell r="K9119">
            <v>0</v>
          </cell>
          <cell r="M9119">
            <v>0</v>
          </cell>
          <cell r="P9119">
            <v>0</v>
          </cell>
        </row>
        <row r="9120">
          <cell r="K9120">
            <v>0</v>
          </cell>
          <cell r="M9120">
            <v>0</v>
          </cell>
          <cell r="P9120">
            <v>0</v>
          </cell>
        </row>
        <row r="9121">
          <cell r="K9121">
            <v>0</v>
          </cell>
          <cell r="M9121">
            <v>0</v>
          </cell>
          <cell r="P9121">
            <v>0</v>
          </cell>
        </row>
        <row r="9122">
          <cell r="K9122">
            <v>0</v>
          </cell>
          <cell r="M9122">
            <v>0</v>
          </cell>
          <cell r="P9122">
            <v>0</v>
          </cell>
        </row>
        <row r="9123">
          <cell r="K9123">
            <v>0</v>
          </cell>
          <cell r="M9123">
            <v>0</v>
          </cell>
          <cell r="P9123">
            <v>0</v>
          </cell>
        </row>
        <row r="9124">
          <cell r="K9124">
            <v>0</v>
          </cell>
          <cell r="M9124">
            <v>0</v>
          </cell>
          <cell r="P9124">
            <v>0</v>
          </cell>
        </row>
        <row r="9125">
          <cell r="K9125">
            <v>0</v>
          </cell>
          <cell r="M9125">
            <v>0</v>
          </cell>
          <cell r="P9125">
            <v>0</v>
          </cell>
        </row>
        <row r="9126">
          <cell r="K9126">
            <v>0</v>
          </cell>
          <cell r="M9126">
            <v>0</v>
          </cell>
          <cell r="P9126">
            <v>0</v>
          </cell>
        </row>
        <row r="9127">
          <cell r="K9127">
            <v>0</v>
          </cell>
          <cell r="M9127">
            <v>0</v>
          </cell>
          <cell r="P9127">
            <v>0</v>
          </cell>
        </row>
        <row r="9128">
          <cell r="K9128">
            <v>0</v>
          </cell>
          <cell r="M9128">
            <v>0</v>
          </cell>
          <cell r="P9128">
            <v>0</v>
          </cell>
        </row>
        <row r="9129">
          <cell r="K9129">
            <v>0</v>
          </cell>
          <cell r="M9129">
            <v>0</v>
          </cell>
          <cell r="P9129">
            <v>0</v>
          </cell>
        </row>
        <row r="9130">
          <cell r="K9130">
            <v>0</v>
          </cell>
          <cell r="M9130">
            <v>0</v>
          </cell>
          <cell r="P9130">
            <v>0</v>
          </cell>
        </row>
        <row r="9131">
          <cell r="K9131">
            <v>0</v>
          </cell>
          <cell r="M9131">
            <v>0</v>
          </cell>
          <cell r="P9131">
            <v>0</v>
          </cell>
        </row>
        <row r="9132">
          <cell r="K9132">
            <v>0</v>
          </cell>
          <cell r="M9132">
            <v>0</v>
          </cell>
          <cell r="P9132">
            <v>0</v>
          </cell>
        </row>
        <row r="9133">
          <cell r="K9133">
            <v>0</v>
          </cell>
          <cell r="M9133">
            <v>0</v>
          </cell>
          <cell r="P9133">
            <v>0</v>
          </cell>
        </row>
        <row r="9134">
          <cell r="K9134">
            <v>0</v>
          </cell>
          <cell r="M9134">
            <v>0</v>
          </cell>
          <cell r="P9134">
            <v>0</v>
          </cell>
        </row>
        <row r="9135">
          <cell r="K9135">
            <v>0</v>
          </cell>
          <cell r="M9135">
            <v>0</v>
          </cell>
          <cell r="P9135">
            <v>0</v>
          </cell>
        </row>
        <row r="9136">
          <cell r="K9136">
            <v>0</v>
          </cell>
          <cell r="M9136">
            <v>0</v>
          </cell>
          <cell r="P9136">
            <v>0</v>
          </cell>
        </row>
        <row r="9137">
          <cell r="K9137">
            <v>0</v>
          </cell>
          <cell r="M9137">
            <v>0</v>
          </cell>
          <cell r="P9137">
            <v>0</v>
          </cell>
        </row>
        <row r="9138">
          <cell r="K9138">
            <v>0</v>
          </cell>
          <cell r="M9138">
            <v>0</v>
          </cell>
          <cell r="P9138">
            <v>0</v>
          </cell>
        </row>
        <row r="9139">
          <cell r="K9139">
            <v>0</v>
          </cell>
          <cell r="M9139">
            <v>0</v>
          </cell>
          <cell r="P9139">
            <v>0</v>
          </cell>
        </row>
        <row r="9140">
          <cell r="K9140">
            <v>0</v>
          </cell>
          <cell r="M9140">
            <v>0</v>
          </cell>
          <cell r="P9140">
            <v>0</v>
          </cell>
        </row>
        <row r="9141">
          <cell r="K9141">
            <v>0</v>
          </cell>
          <cell r="M9141">
            <v>0</v>
          </cell>
          <cell r="P9141">
            <v>0</v>
          </cell>
        </row>
        <row r="9142">
          <cell r="K9142">
            <v>0</v>
          </cell>
          <cell r="M9142">
            <v>0</v>
          </cell>
          <cell r="P9142">
            <v>0</v>
          </cell>
        </row>
        <row r="9143">
          <cell r="K9143">
            <v>0</v>
          </cell>
          <cell r="M9143">
            <v>0</v>
          </cell>
          <cell r="P9143">
            <v>0</v>
          </cell>
        </row>
        <row r="9144">
          <cell r="K9144">
            <v>0</v>
          </cell>
          <cell r="M9144">
            <v>0</v>
          </cell>
          <cell r="P9144">
            <v>0</v>
          </cell>
        </row>
        <row r="9145">
          <cell r="K9145">
            <v>0</v>
          </cell>
          <cell r="M9145">
            <v>0</v>
          </cell>
          <cell r="P9145">
            <v>0</v>
          </cell>
        </row>
        <row r="9146">
          <cell r="K9146">
            <v>0</v>
          </cell>
          <cell r="M9146">
            <v>0</v>
          </cell>
          <cell r="P9146">
            <v>0</v>
          </cell>
        </row>
        <row r="9147">
          <cell r="K9147">
            <v>0</v>
          </cell>
          <cell r="M9147">
            <v>0</v>
          </cell>
          <cell r="P9147">
            <v>0</v>
          </cell>
        </row>
        <row r="9148">
          <cell r="K9148">
            <v>0</v>
          </cell>
          <cell r="M9148">
            <v>0</v>
          </cell>
          <cell r="P9148">
            <v>0</v>
          </cell>
        </row>
        <row r="9149">
          <cell r="K9149">
            <v>0</v>
          </cell>
          <cell r="M9149">
            <v>0</v>
          </cell>
          <cell r="P9149">
            <v>0</v>
          </cell>
        </row>
        <row r="9150">
          <cell r="K9150">
            <v>0</v>
          </cell>
          <cell r="M9150">
            <v>0</v>
          </cell>
          <cell r="P9150">
            <v>0</v>
          </cell>
        </row>
        <row r="9151">
          <cell r="K9151">
            <v>0</v>
          </cell>
          <cell r="M9151">
            <v>0</v>
          </cell>
          <cell r="P9151">
            <v>0</v>
          </cell>
        </row>
        <row r="9152">
          <cell r="K9152">
            <v>0</v>
          </cell>
          <cell r="M9152">
            <v>0</v>
          </cell>
          <cell r="P9152">
            <v>0</v>
          </cell>
        </row>
        <row r="9153">
          <cell r="K9153">
            <v>0</v>
          </cell>
          <cell r="M9153">
            <v>0</v>
          </cell>
          <cell r="P9153">
            <v>0</v>
          </cell>
        </row>
        <row r="9154">
          <cell r="K9154">
            <v>0</v>
          </cell>
          <cell r="M9154">
            <v>0</v>
          </cell>
          <cell r="P9154">
            <v>0</v>
          </cell>
        </row>
        <row r="9155">
          <cell r="K9155">
            <v>0</v>
          </cell>
          <cell r="M9155">
            <v>0</v>
          </cell>
          <cell r="P9155">
            <v>0</v>
          </cell>
        </row>
        <row r="9156">
          <cell r="K9156">
            <v>0</v>
          </cell>
          <cell r="M9156">
            <v>0</v>
          </cell>
          <cell r="P9156">
            <v>0</v>
          </cell>
        </row>
        <row r="9157">
          <cell r="K9157">
            <v>0</v>
          </cell>
          <cell r="M9157">
            <v>0</v>
          </cell>
          <cell r="P9157">
            <v>0</v>
          </cell>
        </row>
        <row r="9158">
          <cell r="K9158">
            <v>0</v>
          </cell>
          <cell r="M9158">
            <v>0</v>
          </cell>
          <cell r="P9158">
            <v>0</v>
          </cell>
        </row>
        <row r="9159">
          <cell r="K9159">
            <v>0</v>
          </cell>
          <cell r="M9159">
            <v>0</v>
          </cell>
          <cell r="P9159">
            <v>0</v>
          </cell>
        </row>
        <row r="9160">
          <cell r="K9160">
            <v>0</v>
          </cell>
          <cell r="M9160">
            <v>0</v>
          </cell>
          <cell r="P9160">
            <v>0</v>
          </cell>
        </row>
        <row r="9161">
          <cell r="K9161">
            <v>0</v>
          </cell>
          <cell r="M9161">
            <v>0</v>
          </cell>
          <cell r="P9161">
            <v>0</v>
          </cell>
        </row>
        <row r="9162">
          <cell r="K9162">
            <v>0</v>
          </cell>
          <cell r="M9162">
            <v>0</v>
          </cell>
          <cell r="P9162">
            <v>0</v>
          </cell>
        </row>
        <row r="9163">
          <cell r="K9163">
            <v>0</v>
          </cell>
          <cell r="M9163">
            <v>0</v>
          </cell>
          <cell r="P9163">
            <v>0</v>
          </cell>
        </row>
        <row r="9164">
          <cell r="K9164">
            <v>0</v>
          </cell>
          <cell r="M9164">
            <v>0</v>
          </cell>
          <cell r="P9164">
            <v>0</v>
          </cell>
        </row>
        <row r="9165">
          <cell r="K9165">
            <v>0</v>
          </cell>
          <cell r="M9165">
            <v>0</v>
          </cell>
          <cell r="P9165">
            <v>0</v>
          </cell>
        </row>
        <row r="9166">
          <cell r="K9166">
            <v>0</v>
          </cell>
          <cell r="M9166">
            <v>0</v>
          </cell>
          <cell r="P9166">
            <v>0</v>
          </cell>
        </row>
        <row r="9167">
          <cell r="K9167">
            <v>0</v>
          </cell>
          <cell r="M9167">
            <v>0</v>
          </cell>
          <cell r="P9167">
            <v>0</v>
          </cell>
        </row>
        <row r="9168">
          <cell r="K9168">
            <v>0</v>
          </cell>
          <cell r="M9168">
            <v>0</v>
          </cell>
          <cell r="P9168">
            <v>0</v>
          </cell>
        </row>
        <row r="9169">
          <cell r="K9169">
            <v>0</v>
          </cell>
          <cell r="M9169">
            <v>0</v>
          </cell>
          <cell r="P9169">
            <v>0</v>
          </cell>
        </row>
        <row r="9170">
          <cell r="K9170">
            <v>0</v>
          </cell>
          <cell r="M9170">
            <v>0</v>
          </cell>
          <cell r="P9170">
            <v>0</v>
          </cell>
        </row>
        <row r="9171">
          <cell r="K9171">
            <v>0</v>
          </cell>
          <cell r="M9171">
            <v>0</v>
          </cell>
          <cell r="P9171">
            <v>0</v>
          </cell>
        </row>
        <row r="9172">
          <cell r="K9172">
            <v>0</v>
          </cell>
          <cell r="M9172">
            <v>0</v>
          </cell>
          <cell r="P9172">
            <v>0</v>
          </cell>
        </row>
        <row r="9173">
          <cell r="K9173">
            <v>0</v>
          </cell>
          <cell r="M9173">
            <v>0</v>
          </cell>
          <cell r="P9173">
            <v>0</v>
          </cell>
        </row>
        <row r="9174">
          <cell r="K9174">
            <v>0</v>
          </cell>
          <cell r="M9174">
            <v>0</v>
          </cell>
          <cell r="P9174">
            <v>0</v>
          </cell>
        </row>
        <row r="9175">
          <cell r="K9175">
            <v>0</v>
          </cell>
          <cell r="M9175">
            <v>0</v>
          </cell>
          <cell r="P9175">
            <v>0</v>
          </cell>
        </row>
        <row r="9176">
          <cell r="K9176">
            <v>0</v>
          </cell>
          <cell r="M9176">
            <v>0</v>
          </cell>
          <cell r="P9176">
            <v>0</v>
          </cell>
        </row>
        <row r="9177">
          <cell r="K9177">
            <v>0</v>
          </cell>
          <cell r="M9177">
            <v>0</v>
          </cell>
          <cell r="P9177">
            <v>0</v>
          </cell>
        </row>
        <row r="9178">
          <cell r="K9178">
            <v>0</v>
          </cell>
          <cell r="M9178">
            <v>0</v>
          </cell>
          <cell r="P9178">
            <v>0</v>
          </cell>
        </row>
        <row r="9179">
          <cell r="K9179">
            <v>0</v>
          </cell>
          <cell r="M9179">
            <v>0</v>
          </cell>
          <cell r="P9179">
            <v>0</v>
          </cell>
        </row>
        <row r="9180">
          <cell r="K9180">
            <v>0</v>
          </cell>
          <cell r="M9180">
            <v>0</v>
          </cell>
          <cell r="P9180">
            <v>0</v>
          </cell>
        </row>
        <row r="9181">
          <cell r="K9181">
            <v>0</v>
          </cell>
          <cell r="M9181">
            <v>0</v>
          </cell>
          <cell r="P9181">
            <v>0</v>
          </cell>
        </row>
        <row r="9182">
          <cell r="K9182">
            <v>0</v>
          </cell>
          <cell r="M9182">
            <v>0</v>
          </cell>
          <cell r="P9182">
            <v>0</v>
          </cell>
        </row>
        <row r="9183">
          <cell r="K9183">
            <v>0</v>
          </cell>
          <cell r="M9183">
            <v>0</v>
          </cell>
          <cell r="P9183">
            <v>0</v>
          </cell>
        </row>
        <row r="9184">
          <cell r="K9184">
            <v>0</v>
          </cell>
          <cell r="M9184">
            <v>0</v>
          </cell>
          <cell r="P9184">
            <v>0</v>
          </cell>
        </row>
        <row r="9185">
          <cell r="K9185">
            <v>0</v>
          </cell>
          <cell r="M9185">
            <v>0</v>
          </cell>
          <cell r="P9185">
            <v>0</v>
          </cell>
        </row>
        <row r="9186">
          <cell r="K9186">
            <v>0</v>
          </cell>
          <cell r="M9186">
            <v>0</v>
          </cell>
          <cell r="P9186">
            <v>0</v>
          </cell>
        </row>
        <row r="9187">
          <cell r="K9187">
            <v>0</v>
          </cell>
          <cell r="M9187">
            <v>0</v>
          </cell>
          <cell r="P9187">
            <v>0</v>
          </cell>
        </row>
        <row r="9188">
          <cell r="K9188">
            <v>0</v>
          </cell>
          <cell r="M9188">
            <v>0</v>
          </cell>
          <cell r="P9188">
            <v>0</v>
          </cell>
        </row>
        <row r="9189">
          <cell r="K9189">
            <v>0</v>
          </cell>
          <cell r="M9189">
            <v>0</v>
          </cell>
          <cell r="P9189">
            <v>0</v>
          </cell>
        </row>
        <row r="9190">
          <cell r="K9190">
            <v>0</v>
          </cell>
          <cell r="M9190">
            <v>0</v>
          </cell>
          <cell r="P9190">
            <v>0</v>
          </cell>
        </row>
        <row r="9191">
          <cell r="K9191">
            <v>0</v>
          </cell>
          <cell r="M9191">
            <v>0</v>
          </cell>
          <cell r="P9191">
            <v>0</v>
          </cell>
        </row>
        <row r="9192">
          <cell r="K9192">
            <v>0</v>
          </cell>
          <cell r="M9192">
            <v>0</v>
          </cell>
          <cell r="P9192">
            <v>0</v>
          </cell>
        </row>
        <row r="9193">
          <cell r="K9193">
            <v>0</v>
          </cell>
          <cell r="M9193">
            <v>0</v>
          </cell>
          <cell r="P9193">
            <v>0</v>
          </cell>
        </row>
        <row r="9194">
          <cell r="K9194">
            <v>0</v>
          </cell>
          <cell r="M9194">
            <v>0</v>
          </cell>
          <cell r="P9194">
            <v>0</v>
          </cell>
        </row>
        <row r="9195">
          <cell r="K9195">
            <v>0</v>
          </cell>
          <cell r="M9195">
            <v>0</v>
          </cell>
          <cell r="P9195">
            <v>0</v>
          </cell>
        </row>
        <row r="9196">
          <cell r="K9196">
            <v>0</v>
          </cell>
          <cell r="M9196">
            <v>0</v>
          </cell>
          <cell r="P9196">
            <v>0</v>
          </cell>
        </row>
        <row r="9197">
          <cell r="K9197">
            <v>0</v>
          </cell>
          <cell r="M9197">
            <v>0</v>
          </cell>
          <cell r="P9197">
            <v>0</v>
          </cell>
        </row>
        <row r="9198">
          <cell r="K9198">
            <v>0</v>
          </cell>
          <cell r="M9198">
            <v>0</v>
          </cell>
          <cell r="P9198">
            <v>0</v>
          </cell>
        </row>
        <row r="9199">
          <cell r="K9199">
            <v>0</v>
          </cell>
          <cell r="M9199">
            <v>0</v>
          </cell>
          <cell r="P9199">
            <v>0</v>
          </cell>
        </row>
        <row r="9200">
          <cell r="K9200">
            <v>0</v>
          </cell>
          <cell r="M9200">
            <v>0</v>
          </cell>
          <cell r="P9200">
            <v>0</v>
          </cell>
        </row>
        <row r="9201">
          <cell r="K9201">
            <v>0</v>
          </cell>
          <cell r="M9201">
            <v>0</v>
          </cell>
          <cell r="P9201">
            <v>0</v>
          </cell>
        </row>
        <row r="9202">
          <cell r="K9202">
            <v>0</v>
          </cell>
          <cell r="M9202">
            <v>0</v>
          </cell>
          <cell r="P9202">
            <v>0</v>
          </cell>
        </row>
        <row r="9203">
          <cell r="K9203">
            <v>0</v>
          </cell>
          <cell r="M9203">
            <v>0</v>
          </cell>
          <cell r="P9203">
            <v>0</v>
          </cell>
        </row>
        <row r="9204">
          <cell r="K9204">
            <v>0</v>
          </cell>
          <cell r="M9204">
            <v>0</v>
          </cell>
          <cell r="P9204">
            <v>0</v>
          </cell>
        </row>
        <row r="9205">
          <cell r="K9205">
            <v>0</v>
          </cell>
          <cell r="M9205">
            <v>0</v>
          </cell>
          <cell r="P9205">
            <v>0</v>
          </cell>
        </row>
        <row r="9206">
          <cell r="K9206">
            <v>0</v>
          </cell>
          <cell r="M9206">
            <v>0</v>
          </cell>
          <cell r="P9206">
            <v>0</v>
          </cell>
        </row>
        <row r="9207">
          <cell r="K9207">
            <v>0</v>
          </cell>
          <cell r="M9207">
            <v>0</v>
          </cell>
          <cell r="P9207">
            <v>0</v>
          </cell>
        </row>
        <row r="9208">
          <cell r="K9208">
            <v>0</v>
          </cell>
          <cell r="M9208">
            <v>0</v>
          </cell>
          <cell r="P9208">
            <v>0</v>
          </cell>
        </row>
        <row r="9209">
          <cell r="K9209">
            <v>0</v>
          </cell>
          <cell r="M9209">
            <v>0</v>
          </cell>
          <cell r="P9209">
            <v>0</v>
          </cell>
        </row>
        <row r="9210">
          <cell r="K9210">
            <v>0</v>
          </cell>
          <cell r="M9210">
            <v>0</v>
          </cell>
          <cell r="P9210">
            <v>0</v>
          </cell>
        </row>
        <row r="9211">
          <cell r="K9211">
            <v>0</v>
          </cell>
          <cell r="M9211">
            <v>0</v>
          </cell>
          <cell r="P9211">
            <v>0</v>
          </cell>
        </row>
        <row r="9212">
          <cell r="K9212">
            <v>0</v>
          </cell>
          <cell r="M9212">
            <v>0</v>
          </cell>
          <cell r="P9212">
            <v>0</v>
          </cell>
        </row>
        <row r="9213">
          <cell r="K9213">
            <v>0</v>
          </cell>
          <cell r="M9213">
            <v>0</v>
          </cell>
          <cell r="P9213">
            <v>0</v>
          </cell>
        </row>
        <row r="9214">
          <cell r="K9214">
            <v>0</v>
          </cell>
          <cell r="M9214">
            <v>0</v>
          </cell>
          <cell r="P9214">
            <v>0</v>
          </cell>
        </row>
        <row r="9215">
          <cell r="K9215">
            <v>0</v>
          </cell>
          <cell r="M9215">
            <v>0</v>
          </cell>
          <cell r="P9215">
            <v>0</v>
          </cell>
        </row>
        <row r="9216">
          <cell r="K9216">
            <v>0</v>
          </cell>
          <cell r="M9216">
            <v>0</v>
          </cell>
          <cell r="P9216">
            <v>0</v>
          </cell>
        </row>
        <row r="9217">
          <cell r="K9217">
            <v>0</v>
          </cell>
          <cell r="M9217">
            <v>0</v>
          </cell>
          <cell r="P9217">
            <v>0</v>
          </cell>
        </row>
        <row r="9218">
          <cell r="K9218">
            <v>0</v>
          </cell>
          <cell r="M9218">
            <v>0</v>
          </cell>
          <cell r="P9218">
            <v>0</v>
          </cell>
        </row>
        <row r="9219">
          <cell r="K9219">
            <v>0</v>
          </cell>
          <cell r="M9219">
            <v>0</v>
          </cell>
          <cell r="P9219">
            <v>0</v>
          </cell>
        </row>
        <row r="9220">
          <cell r="K9220">
            <v>0</v>
          </cell>
          <cell r="M9220">
            <v>0</v>
          </cell>
          <cell r="P9220">
            <v>0</v>
          </cell>
        </row>
        <row r="9221">
          <cell r="K9221">
            <v>0</v>
          </cell>
          <cell r="M9221">
            <v>0</v>
          </cell>
          <cell r="P9221">
            <v>0</v>
          </cell>
        </row>
        <row r="9222">
          <cell r="K9222">
            <v>0</v>
          </cell>
          <cell r="M9222">
            <v>0</v>
          </cell>
          <cell r="P9222">
            <v>0</v>
          </cell>
        </row>
        <row r="9223">
          <cell r="K9223">
            <v>0</v>
          </cell>
          <cell r="M9223">
            <v>0</v>
          </cell>
          <cell r="P9223">
            <v>0</v>
          </cell>
        </row>
        <row r="9224">
          <cell r="K9224">
            <v>0</v>
          </cell>
          <cell r="M9224">
            <v>0</v>
          </cell>
          <cell r="P9224">
            <v>0</v>
          </cell>
        </row>
        <row r="9225">
          <cell r="K9225">
            <v>0</v>
          </cell>
          <cell r="M9225">
            <v>0</v>
          </cell>
          <cell r="P9225">
            <v>0</v>
          </cell>
        </row>
        <row r="9226">
          <cell r="K9226">
            <v>0</v>
          </cell>
          <cell r="M9226">
            <v>0</v>
          </cell>
          <cell r="P9226">
            <v>0</v>
          </cell>
        </row>
        <row r="9227">
          <cell r="K9227">
            <v>0</v>
          </cell>
          <cell r="M9227">
            <v>0</v>
          </cell>
          <cell r="P9227">
            <v>0</v>
          </cell>
        </row>
        <row r="9228">
          <cell r="K9228">
            <v>0</v>
          </cell>
          <cell r="M9228">
            <v>0</v>
          </cell>
          <cell r="P9228">
            <v>0</v>
          </cell>
        </row>
        <row r="9229">
          <cell r="K9229">
            <v>0</v>
          </cell>
          <cell r="M9229">
            <v>0</v>
          </cell>
          <cell r="P9229">
            <v>0</v>
          </cell>
        </row>
        <row r="9230">
          <cell r="K9230">
            <v>0</v>
          </cell>
          <cell r="M9230">
            <v>0</v>
          </cell>
          <cell r="P9230">
            <v>0</v>
          </cell>
        </row>
        <row r="9231">
          <cell r="K9231">
            <v>0</v>
          </cell>
          <cell r="M9231">
            <v>0</v>
          </cell>
          <cell r="P9231">
            <v>0</v>
          </cell>
        </row>
        <row r="9232">
          <cell r="K9232">
            <v>0</v>
          </cell>
          <cell r="M9232">
            <v>0</v>
          </cell>
          <cell r="P9232">
            <v>0</v>
          </cell>
        </row>
        <row r="9233">
          <cell r="K9233">
            <v>0</v>
          </cell>
          <cell r="M9233">
            <v>0</v>
          </cell>
          <cell r="P9233">
            <v>0</v>
          </cell>
        </row>
        <row r="9234">
          <cell r="K9234">
            <v>0</v>
          </cell>
          <cell r="M9234">
            <v>0</v>
          </cell>
          <cell r="P9234">
            <v>0</v>
          </cell>
        </row>
        <row r="9235">
          <cell r="K9235">
            <v>0</v>
          </cell>
          <cell r="M9235">
            <v>0</v>
          </cell>
          <cell r="P9235">
            <v>0</v>
          </cell>
        </row>
        <row r="9236">
          <cell r="K9236">
            <v>0</v>
          </cell>
          <cell r="M9236">
            <v>0</v>
          </cell>
          <cell r="P9236">
            <v>0</v>
          </cell>
        </row>
        <row r="9237">
          <cell r="K9237">
            <v>0</v>
          </cell>
          <cell r="M9237">
            <v>0</v>
          </cell>
          <cell r="P9237">
            <v>0</v>
          </cell>
        </row>
        <row r="9238">
          <cell r="K9238">
            <v>0</v>
          </cell>
          <cell r="M9238">
            <v>0</v>
          </cell>
          <cell r="P9238">
            <v>0</v>
          </cell>
        </row>
        <row r="9239">
          <cell r="K9239">
            <v>0</v>
          </cell>
          <cell r="M9239">
            <v>0</v>
          </cell>
          <cell r="P9239">
            <v>0</v>
          </cell>
        </row>
        <row r="9240">
          <cell r="K9240">
            <v>0</v>
          </cell>
          <cell r="M9240">
            <v>0</v>
          </cell>
          <cell r="P9240">
            <v>0</v>
          </cell>
        </row>
        <row r="9241">
          <cell r="K9241">
            <v>0</v>
          </cell>
          <cell r="M9241">
            <v>0</v>
          </cell>
          <cell r="P9241">
            <v>0</v>
          </cell>
        </row>
        <row r="9242">
          <cell r="K9242">
            <v>0</v>
          </cell>
          <cell r="M9242">
            <v>0</v>
          </cell>
          <cell r="P9242">
            <v>0</v>
          </cell>
        </row>
        <row r="9243">
          <cell r="K9243">
            <v>0</v>
          </cell>
          <cell r="M9243">
            <v>0</v>
          </cell>
          <cell r="P9243">
            <v>0</v>
          </cell>
        </row>
        <row r="9244">
          <cell r="K9244">
            <v>0</v>
          </cell>
          <cell r="M9244">
            <v>0</v>
          </cell>
          <cell r="P9244">
            <v>0</v>
          </cell>
        </row>
        <row r="9245">
          <cell r="K9245">
            <v>0</v>
          </cell>
          <cell r="M9245">
            <v>0</v>
          </cell>
          <cell r="P9245">
            <v>0</v>
          </cell>
        </row>
        <row r="9246">
          <cell r="K9246">
            <v>0</v>
          </cell>
          <cell r="M9246">
            <v>0</v>
          </cell>
          <cell r="P9246">
            <v>0</v>
          </cell>
        </row>
        <row r="9247">
          <cell r="K9247">
            <v>0</v>
          </cell>
          <cell r="M9247">
            <v>0</v>
          </cell>
          <cell r="P9247">
            <v>0</v>
          </cell>
        </row>
        <row r="9248">
          <cell r="K9248">
            <v>0</v>
          </cell>
          <cell r="M9248">
            <v>0</v>
          </cell>
          <cell r="P9248">
            <v>0</v>
          </cell>
        </row>
        <row r="9249">
          <cell r="K9249">
            <v>0</v>
          </cell>
          <cell r="M9249">
            <v>0</v>
          </cell>
          <cell r="P9249">
            <v>0</v>
          </cell>
        </row>
        <row r="9250">
          <cell r="K9250">
            <v>0</v>
          </cell>
          <cell r="M9250">
            <v>0</v>
          </cell>
          <cell r="P9250">
            <v>0</v>
          </cell>
        </row>
        <row r="9251">
          <cell r="K9251">
            <v>0</v>
          </cell>
          <cell r="M9251">
            <v>0</v>
          </cell>
          <cell r="P9251">
            <v>0</v>
          </cell>
        </row>
        <row r="9252">
          <cell r="K9252">
            <v>0</v>
          </cell>
          <cell r="M9252">
            <v>0</v>
          </cell>
          <cell r="P9252">
            <v>0</v>
          </cell>
        </row>
        <row r="9253">
          <cell r="K9253">
            <v>0</v>
          </cell>
          <cell r="M9253">
            <v>0</v>
          </cell>
          <cell r="P9253">
            <v>0</v>
          </cell>
        </row>
        <row r="9254">
          <cell r="K9254">
            <v>0</v>
          </cell>
          <cell r="M9254">
            <v>0</v>
          </cell>
          <cell r="P9254">
            <v>0</v>
          </cell>
        </row>
        <row r="9255">
          <cell r="K9255">
            <v>0</v>
          </cell>
          <cell r="M9255">
            <v>0</v>
          </cell>
          <cell r="P9255">
            <v>0</v>
          </cell>
        </row>
        <row r="9256">
          <cell r="K9256">
            <v>0</v>
          </cell>
          <cell r="M9256">
            <v>0</v>
          </cell>
          <cell r="P9256">
            <v>0</v>
          </cell>
        </row>
        <row r="9257">
          <cell r="K9257">
            <v>0</v>
          </cell>
          <cell r="M9257">
            <v>0</v>
          </cell>
          <cell r="P9257">
            <v>0</v>
          </cell>
        </row>
        <row r="9258">
          <cell r="K9258">
            <v>0</v>
          </cell>
          <cell r="M9258">
            <v>0</v>
          </cell>
          <cell r="P9258">
            <v>0</v>
          </cell>
        </row>
        <row r="9259">
          <cell r="K9259">
            <v>0</v>
          </cell>
          <cell r="M9259">
            <v>0</v>
          </cell>
          <cell r="P9259">
            <v>0</v>
          </cell>
        </row>
        <row r="9260">
          <cell r="K9260">
            <v>0</v>
          </cell>
          <cell r="M9260">
            <v>0</v>
          </cell>
          <cell r="P9260">
            <v>0</v>
          </cell>
        </row>
        <row r="9261">
          <cell r="K9261">
            <v>0</v>
          </cell>
          <cell r="M9261">
            <v>0</v>
          </cell>
          <cell r="P9261">
            <v>0</v>
          </cell>
        </row>
        <row r="9262">
          <cell r="K9262">
            <v>0</v>
          </cell>
          <cell r="M9262">
            <v>0</v>
          </cell>
          <cell r="P9262">
            <v>0</v>
          </cell>
        </row>
        <row r="9263">
          <cell r="K9263">
            <v>0</v>
          </cell>
          <cell r="M9263">
            <v>0</v>
          </cell>
          <cell r="P9263">
            <v>0</v>
          </cell>
        </row>
        <row r="9264">
          <cell r="K9264">
            <v>0</v>
          </cell>
          <cell r="M9264">
            <v>0</v>
          </cell>
          <cell r="P9264">
            <v>0</v>
          </cell>
        </row>
        <row r="9265">
          <cell r="K9265">
            <v>0</v>
          </cell>
          <cell r="M9265">
            <v>0</v>
          </cell>
          <cell r="P9265">
            <v>0</v>
          </cell>
        </row>
        <row r="9266">
          <cell r="K9266">
            <v>0</v>
          </cell>
          <cell r="M9266">
            <v>0</v>
          </cell>
          <cell r="P9266">
            <v>0</v>
          </cell>
        </row>
        <row r="9267">
          <cell r="K9267">
            <v>0</v>
          </cell>
          <cell r="M9267">
            <v>0</v>
          </cell>
          <cell r="P9267">
            <v>0</v>
          </cell>
        </row>
        <row r="9268">
          <cell r="K9268">
            <v>0</v>
          </cell>
          <cell r="M9268">
            <v>0</v>
          </cell>
          <cell r="P9268">
            <v>0</v>
          </cell>
        </row>
        <row r="9269">
          <cell r="K9269">
            <v>0</v>
          </cell>
          <cell r="M9269">
            <v>0</v>
          </cell>
          <cell r="P9269">
            <v>0</v>
          </cell>
        </row>
        <row r="9270">
          <cell r="K9270">
            <v>0</v>
          </cell>
          <cell r="M9270">
            <v>0</v>
          </cell>
          <cell r="P9270">
            <v>0</v>
          </cell>
        </row>
        <row r="9271">
          <cell r="K9271">
            <v>0</v>
          </cell>
          <cell r="M9271">
            <v>0</v>
          </cell>
          <cell r="P9271">
            <v>0</v>
          </cell>
        </row>
        <row r="9272">
          <cell r="K9272">
            <v>0</v>
          </cell>
          <cell r="M9272">
            <v>0</v>
          </cell>
          <cell r="P9272">
            <v>0</v>
          </cell>
        </row>
        <row r="9273">
          <cell r="K9273">
            <v>0</v>
          </cell>
          <cell r="M9273">
            <v>0</v>
          </cell>
          <cell r="P9273">
            <v>0</v>
          </cell>
        </row>
        <row r="9274">
          <cell r="K9274">
            <v>0</v>
          </cell>
          <cell r="M9274">
            <v>0</v>
          </cell>
          <cell r="P9274">
            <v>0</v>
          </cell>
        </row>
        <row r="9275">
          <cell r="K9275">
            <v>0</v>
          </cell>
          <cell r="M9275">
            <v>0</v>
          </cell>
          <cell r="P9275">
            <v>0</v>
          </cell>
        </row>
        <row r="9276">
          <cell r="K9276">
            <v>0</v>
          </cell>
          <cell r="M9276">
            <v>0</v>
          </cell>
          <cell r="P9276">
            <v>0</v>
          </cell>
        </row>
        <row r="9277">
          <cell r="K9277">
            <v>0</v>
          </cell>
          <cell r="M9277">
            <v>0</v>
          </cell>
          <cell r="P9277">
            <v>0</v>
          </cell>
        </row>
        <row r="9278">
          <cell r="K9278">
            <v>0</v>
          </cell>
          <cell r="M9278">
            <v>0</v>
          </cell>
          <cell r="P9278">
            <v>0</v>
          </cell>
        </row>
        <row r="9279">
          <cell r="K9279">
            <v>0</v>
          </cell>
          <cell r="M9279">
            <v>0</v>
          </cell>
          <cell r="P9279">
            <v>0</v>
          </cell>
        </row>
        <row r="9280">
          <cell r="K9280">
            <v>0</v>
          </cell>
          <cell r="M9280">
            <v>0</v>
          </cell>
          <cell r="P9280">
            <v>0</v>
          </cell>
        </row>
        <row r="9281">
          <cell r="K9281">
            <v>0</v>
          </cell>
          <cell r="M9281">
            <v>0</v>
          </cell>
          <cell r="P9281">
            <v>0</v>
          </cell>
        </row>
        <row r="9282">
          <cell r="K9282">
            <v>0</v>
          </cell>
          <cell r="M9282">
            <v>0</v>
          </cell>
          <cell r="P9282">
            <v>0</v>
          </cell>
        </row>
        <row r="9283">
          <cell r="K9283">
            <v>0</v>
          </cell>
          <cell r="M9283">
            <v>0</v>
          </cell>
          <cell r="P9283">
            <v>0</v>
          </cell>
        </row>
        <row r="9284">
          <cell r="K9284">
            <v>0</v>
          </cell>
          <cell r="M9284">
            <v>0</v>
          </cell>
          <cell r="P9284">
            <v>0</v>
          </cell>
        </row>
        <row r="9285">
          <cell r="K9285">
            <v>0</v>
          </cell>
          <cell r="M9285">
            <v>0</v>
          </cell>
          <cell r="P9285">
            <v>0</v>
          </cell>
        </row>
        <row r="9286">
          <cell r="K9286">
            <v>0</v>
          </cell>
          <cell r="M9286">
            <v>0</v>
          </cell>
          <cell r="P9286">
            <v>0</v>
          </cell>
        </row>
        <row r="9287">
          <cell r="K9287">
            <v>0</v>
          </cell>
          <cell r="M9287">
            <v>0</v>
          </cell>
          <cell r="P9287">
            <v>0</v>
          </cell>
        </row>
        <row r="9288">
          <cell r="K9288">
            <v>0</v>
          </cell>
          <cell r="M9288">
            <v>0</v>
          </cell>
          <cell r="P9288">
            <v>0</v>
          </cell>
        </row>
        <row r="9289">
          <cell r="K9289">
            <v>0</v>
          </cell>
          <cell r="M9289">
            <v>0</v>
          </cell>
          <cell r="P9289">
            <v>0</v>
          </cell>
        </row>
        <row r="9290">
          <cell r="K9290">
            <v>0</v>
          </cell>
          <cell r="M9290">
            <v>0</v>
          </cell>
          <cell r="P9290">
            <v>0</v>
          </cell>
        </row>
        <row r="9291">
          <cell r="K9291">
            <v>0</v>
          </cell>
          <cell r="M9291">
            <v>0</v>
          </cell>
          <cell r="P9291">
            <v>0</v>
          </cell>
        </row>
        <row r="9292">
          <cell r="K9292">
            <v>0</v>
          </cell>
          <cell r="M9292">
            <v>0</v>
          </cell>
          <cell r="P9292">
            <v>0</v>
          </cell>
        </row>
        <row r="9293">
          <cell r="K9293">
            <v>0</v>
          </cell>
          <cell r="M9293">
            <v>0</v>
          </cell>
          <cell r="P9293">
            <v>0</v>
          </cell>
        </row>
        <row r="9294">
          <cell r="K9294">
            <v>0</v>
          </cell>
          <cell r="M9294">
            <v>0</v>
          </cell>
          <cell r="P9294">
            <v>0</v>
          </cell>
        </row>
        <row r="9295">
          <cell r="K9295">
            <v>0</v>
          </cell>
          <cell r="M9295">
            <v>0</v>
          </cell>
          <cell r="P9295">
            <v>0</v>
          </cell>
        </row>
        <row r="9296">
          <cell r="K9296">
            <v>0</v>
          </cell>
          <cell r="M9296">
            <v>0</v>
          </cell>
          <cell r="P9296">
            <v>0</v>
          </cell>
        </row>
        <row r="9297">
          <cell r="K9297">
            <v>0</v>
          </cell>
          <cell r="M9297">
            <v>0</v>
          </cell>
          <cell r="P9297">
            <v>0</v>
          </cell>
        </row>
        <row r="9298">
          <cell r="K9298">
            <v>0</v>
          </cell>
          <cell r="M9298">
            <v>0</v>
          </cell>
          <cell r="P9298">
            <v>0</v>
          </cell>
        </row>
        <row r="9299">
          <cell r="K9299">
            <v>0</v>
          </cell>
          <cell r="M9299">
            <v>0</v>
          </cell>
          <cell r="P9299">
            <v>0</v>
          </cell>
        </row>
        <row r="9300">
          <cell r="K9300">
            <v>0</v>
          </cell>
          <cell r="M9300">
            <v>0</v>
          </cell>
          <cell r="P9300">
            <v>0</v>
          </cell>
        </row>
        <row r="9301">
          <cell r="K9301">
            <v>0</v>
          </cell>
          <cell r="M9301">
            <v>0</v>
          </cell>
          <cell r="P9301">
            <v>0</v>
          </cell>
        </row>
        <row r="9302">
          <cell r="K9302">
            <v>0</v>
          </cell>
          <cell r="M9302">
            <v>0</v>
          </cell>
          <cell r="P9302">
            <v>0</v>
          </cell>
        </row>
        <row r="9303">
          <cell r="K9303">
            <v>0</v>
          </cell>
          <cell r="M9303">
            <v>0</v>
          </cell>
          <cell r="P9303">
            <v>0</v>
          </cell>
        </row>
        <row r="9304">
          <cell r="K9304">
            <v>0</v>
          </cell>
          <cell r="M9304">
            <v>0</v>
          </cell>
          <cell r="P9304">
            <v>0</v>
          </cell>
        </row>
        <row r="9305">
          <cell r="K9305">
            <v>0</v>
          </cell>
          <cell r="M9305">
            <v>0</v>
          </cell>
          <cell r="P9305">
            <v>0</v>
          </cell>
        </row>
        <row r="9306">
          <cell r="K9306">
            <v>0</v>
          </cell>
          <cell r="M9306">
            <v>0</v>
          </cell>
          <cell r="P9306">
            <v>0</v>
          </cell>
        </row>
        <row r="9307">
          <cell r="K9307">
            <v>0</v>
          </cell>
          <cell r="M9307">
            <v>0</v>
          </cell>
          <cell r="P9307">
            <v>0</v>
          </cell>
        </row>
        <row r="9308">
          <cell r="K9308">
            <v>0</v>
          </cell>
          <cell r="M9308">
            <v>0</v>
          </cell>
          <cell r="P9308">
            <v>0</v>
          </cell>
        </row>
        <row r="9309">
          <cell r="K9309">
            <v>0</v>
          </cell>
          <cell r="M9309">
            <v>0</v>
          </cell>
          <cell r="P9309">
            <v>0</v>
          </cell>
        </row>
        <row r="9310">
          <cell r="K9310">
            <v>0</v>
          </cell>
          <cell r="M9310">
            <v>0</v>
          </cell>
          <cell r="P9310">
            <v>0</v>
          </cell>
        </row>
        <row r="9311">
          <cell r="K9311">
            <v>0</v>
          </cell>
          <cell r="M9311">
            <v>0</v>
          </cell>
          <cell r="P9311">
            <v>0</v>
          </cell>
        </row>
        <row r="9312">
          <cell r="K9312">
            <v>0</v>
          </cell>
          <cell r="M9312">
            <v>0</v>
          </cell>
          <cell r="P9312">
            <v>0</v>
          </cell>
        </row>
        <row r="9313">
          <cell r="K9313">
            <v>0</v>
          </cell>
          <cell r="M9313">
            <v>0</v>
          </cell>
          <cell r="P9313">
            <v>0</v>
          </cell>
        </row>
        <row r="9314">
          <cell r="K9314">
            <v>0</v>
          </cell>
          <cell r="M9314">
            <v>0</v>
          </cell>
          <cell r="P9314">
            <v>0</v>
          </cell>
        </row>
        <row r="9315">
          <cell r="K9315">
            <v>0</v>
          </cell>
          <cell r="M9315">
            <v>0</v>
          </cell>
          <cell r="P9315">
            <v>0</v>
          </cell>
        </row>
        <row r="9316">
          <cell r="K9316">
            <v>0</v>
          </cell>
          <cell r="M9316">
            <v>0</v>
          </cell>
          <cell r="P9316">
            <v>0</v>
          </cell>
        </row>
        <row r="9317">
          <cell r="K9317">
            <v>0</v>
          </cell>
          <cell r="M9317">
            <v>0</v>
          </cell>
          <cell r="P9317">
            <v>0</v>
          </cell>
        </row>
        <row r="9318">
          <cell r="K9318">
            <v>0</v>
          </cell>
          <cell r="M9318">
            <v>0</v>
          </cell>
          <cell r="P9318">
            <v>0</v>
          </cell>
        </row>
        <row r="9319">
          <cell r="K9319">
            <v>0</v>
          </cell>
          <cell r="M9319">
            <v>0</v>
          </cell>
          <cell r="P9319">
            <v>0</v>
          </cell>
        </row>
        <row r="9320">
          <cell r="K9320">
            <v>0</v>
          </cell>
          <cell r="M9320">
            <v>0</v>
          </cell>
          <cell r="P9320">
            <v>0</v>
          </cell>
        </row>
        <row r="9321">
          <cell r="K9321">
            <v>0</v>
          </cell>
          <cell r="M9321">
            <v>0</v>
          </cell>
          <cell r="P9321">
            <v>0</v>
          </cell>
        </row>
        <row r="9322">
          <cell r="K9322">
            <v>0</v>
          </cell>
          <cell r="M9322">
            <v>0</v>
          </cell>
          <cell r="P9322">
            <v>0</v>
          </cell>
        </row>
        <row r="9323">
          <cell r="K9323">
            <v>0</v>
          </cell>
          <cell r="M9323">
            <v>0</v>
          </cell>
          <cell r="P9323">
            <v>0</v>
          </cell>
        </row>
        <row r="9324">
          <cell r="K9324">
            <v>0</v>
          </cell>
          <cell r="M9324">
            <v>0</v>
          </cell>
          <cell r="P9324">
            <v>0</v>
          </cell>
        </row>
        <row r="9325">
          <cell r="K9325">
            <v>0</v>
          </cell>
          <cell r="M9325">
            <v>0</v>
          </cell>
          <cell r="P9325">
            <v>0</v>
          </cell>
        </row>
        <row r="9326">
          <cell r="K9326">
            <v>0</v>
          </cell>
          <cell r="M9326">
            <v>0</v>
          </cell>
          <cell r="P9326">
            <v>0</v>
          </cell>
        </row>
        <row r="9327">
          <cell r="K9327">
            <v>0</v>
          </cell>
          <cell r="M9327">
            <v>0</v>
          </cell>
          <cell r="P9327">
            <v>0</v>
          </cell>
        </row>
        <row r="9328">
          <cell r="K9328">
            <v>0</v>
          </cell>
          <cell r="M9328">
            <v>0</v>
          </cell>
          <cell r="P9328">
            <v>0</v>
          </cell>
        </row>
        <row r="9329">
          <cell r="K9329">
            <v>0</v>
          </cell>
          <cell r="M9329">
            <v>0</v>
          </cell>
          <cell r="P9329">
            <v>0</v>
          </cell>
        </row>
        <row r="9330">
          <cell r="K9330">
            <v>0</v>
          </cell>
          <cell r="M9330">
            <v>0</v>
          </cell>
          <cell r="P9330">
            <v>0</v>
          </cell>
        </row>
        <row r="9331">
          <cell r="K9331">
            <v>0</v>
          </cell>
          <cell r="M9331">
            <v>0</v>
          </cell>
          <cell r="P9331">
            <v>0</v>
          </cell>
        </row>
        <row r="9332">
          <cell r="K9332">
            <v>0</v>
          </cell>
          <cell r="M9332">
            <v>0</v>
          </cell>
          <cell r="P9332">
            <v>0</v>
          </cell>
        </row>
        <row r="9333">
          <cell r="K9333">
            <v>0</v>
          </cell>
          <cell r="M9333">
            <v>0</v>
          </cell>
          <cell r="P9333">
            <v>0</v>
          </cell>
        </row>
        <row r="9334">
          <cell r="K9334">
            <v>0</v>
          </cell>
          <cell r="M9334">
            <v>0</v>
          </cell>
          <cell r="P9334">
            <v>0</v>
          </cell>
        </row>
        <row r="9335">
          <cell r="K9335">
            <v>0</v>
          </cell>
          <cell r="M9335">
            <v>0</v>
          </cell>
          <cell r="P9335">
            <v>0</v>
          </cell>
        </row>
        <row r="9336">
          <cell r="K9336">
            <v>0</v>
          </cell>
          <cell r="M9336">
            <v>0</v>
          </cell>
          <cell r="P9336">
            <v>0</v>
          </cell>
        </row>
        <row r="9337">
          <cell r="K9337">
            <v>0</v>
          </cell>
          <cell r="M9337">
            <v>0</v>
          </cell>
          <cell r="P9337">
            <v>0</v>
          </cell>
        </row>
        <row r="9338">
          <cell r="K9338">
            <v>0</v>
          </cell>
          <cell r="M9338">
            <v>0</v>
          </cell>
          <cell r="P9338">
            <v>0</v>
          </cell>
        </row>
        <row r="9339">
          <cell r="K9339">
            <v>0</v>
          </cell>
          <cell r="M9339">
            <v>0</v>
          </cell>
          <cell r="P9339">
            <v>0</v>
          </cell>
        </row>
        <row r="9340">
          <cell r="K9340">
            <v>0</v>
          </cell>
          <cell r="M9340">
            <v>0</v>
          </cell>
          <cell r="P9340">
            <v>0</v>
          </cell>
        </row>
        <row r="9341">
          <cell r="K9341">
            <v>0</v>
          </cell>
          <cell r="M9341">
            <v>0</v>
          </cell>
          <cell r="P9341">
            <v>0</v>
          </cell>
        </row>
        <row r="9342">
          <cell r="K9342">
            <v>0</v>
          </cell>
          <cell r="M9342">
            <v>0</v>
          </cell>
          <cell r="P9342">
            <v>0</v>
          </cell>
        </row>
        <row r="9343">
          <cell r="K9343">
            <v>0</v>
          </cell>
          <cell r="M9343">
            <v>0</v>
          </cell>
          <cell r="P9343">
            <v>0</v>
          </cell>
        </row>
        <row r="9344">
          <cell r="K9344">
            <v>0</v>
          </cell>
          <cell r="M9344">
            <v>0</v>
          </cell>
          <cell r="P9344">
            <v>0</v>
          </cell>
        </row>
        <row r="9345">
          <cell r="K9345">
            <v>0</v>
          </cell>
          <cell r="M9345">
            <v>0</v>
          </cell>
          <cell r="P9345">
            <v>0</v>
          </cell>
        </row>
        <row r="9346">
          <cell r="K9346">
            <v>0</v>
          </cell>
          <cell r="M9346">
            <v>0</v>
          </cell>
          <cell r="P9346">
            <v>0</v>
          </cell>
        </row>
        <row r="9347">
          <cell r="K9347">
            <v>0</v>
          </cell>
          <cell r="M9347">
            <v>0</v>
          </cell>
          <cell r="P9347">
            <v>0</v>
          </cell>
        </row>
        <row r="9348">
          <cell r="K9348">
            <v>0</v>
          </cell>
          <cell r="M9348">
            <v>0</v>
          </cell>
          <cell r="P9348">
            <v>0</v>
          </cell>
        </row>
        <row r="9349">
          <cell r="K9349">
            <v>0</v>
          </cell>
          <cell r="M9349">
            <v>0</v>
          </cell>
          <cell r="P9349">
            <v>0</v>
          </cell>
        </row>
        <row r="9350">
          <cell r="K9350">
            <v>0</v>
          </cell>
          <cell r="M9350">
            <v>0</v>
          </cell>
          <cell r="P9350">
            <v>0</v>
          </cell>
        </row>
        <row r="9351">
          <cell r="K9351">
            <v>0</v>
          </cell>
          <cell r="M9351">
            <v>0</v>
          </cell>
          <cell r="P9351">
            <v>0</v>
          </cell>
        </row>
        <row r="9352">
          <cell r="K9352">
            <v>0</v>
          </cell>
          <cell r="M9352">
            <v>0</v>
          </cell>
          <cell r="P9352">
            <v>0</v>
          </cell>
        </row>
        <row r="9353">
          <cell r="K9353">
            <v>0</v>
          </cell>
          <cell r="M9353">
            <v>0</v>
          </cell>
          <cell r="P9353">
            <v>0</v>
          </cell>
        </row>
        <row r="9354">
          <cell r="K9354">
            <v>0</v>
          </cell>
          <cell r="M9354">
            <v>0</v>
          </cell>
          <cell r="P9354">
            <v>0</v>
          </cell>
        </row>
        <row r="9355">
          <cell r="K9355">
            <v>0</v>
          </cell>
          <cell r="M9355">
            <v>0</v>
          </cell>
          <cell r="P9355">
            <v>0</v>
          </cell>
        </row>
        <row r="9356">
          <cell r="K9356">
            <v>0</v>
          </cell>
          <cell r="M9356">
            <v>0</v>
          </cell>
          <cell r="P9356">
            <v>0</v>
          </cell>
        </row>
        <row r="9357">
          <cell r="K9357">
            <v>0</v>
          </cell>
          <cell r="M9357">
            <v>0</v>
          </cell>
          <cell r="P9357">
            <v>0</v>
          </cell>
        </row>
        <row r="9358">
          <cell r="K9358">
            <v>0</v>
          </cell>
          <cell r="M9358">
            <v>0</v>
          </cell>
          <cell r="P9358">
            <v>0</v>
          </cell>
        </row>
        <row r="9359">
          <cell r="K9359">
            <v>0</v>
          </cell>
          <cell r="M9359">
            <v>0</v>
          </cell>
          <cell r="P9359">
            <v>0</v>
          </cell>
        </row>
        <row r="9360">
          <cell r="K9360">
            <v>0</v>
          </cell>
          <cell r="M9360">
            <v>0</v>
          </cell>
          <cell r="P9360">
            <v>0</v>
          </cell>
        </row>
        <row r="9361">
          <cell r="K9361">
            <v>0</v>
          </cell>
          <cell r="M9361">
            <v>0</v>
          </cell>
          <cell r="P9361">
            <v>0</v>
          </cell>
        </row>
        <row r="9362">
          <cell r="K9362">
            <v>0</v>
          </cell>
          <cell r="M9362">
            <v>0</v>
          </cell>
          <cell r="P9362">
            <v>0</v>
          </cell>
        </row>
        <row r="9363">
          <cell r="K9363">
            <v>0</v>
          </cell>
          <cell r="M9363">
            <v>0</v>
          </cell>
          <cell r="P9363">
            <v>0</v>
          </cell>
        </row>
        <row r="9364">
          <cell r="K9364">
            <v>0</v>
          </cell>
          <cell r="M9364">
            <v>0</v>
          </cell>
          <cell r="P9364">
            <v>0</v>
          </cell>
        </row>
        <row r="9365">
          <cell r="K9365">
            <v>0</v>
          </cell>
          <cell r="M9365">
            <v>0</v>
          </cell>
          <cell r="P9365">
            <v>0</v>
          </cell>
        </row>
        <row r="9366">
          <cell r="K9366">
            <v>0</v>
          </cell>
          <cell r="M9366">
            <v>0</v>
          </cell>
          <cell r="P9366">
            <v>0</v>
          </cell>
        </row>
        <row r="9367">
          <cell r="K9367">
            <v>0</v>
          </cell>
          <cell r="M9367">
            <v>0</v>
          </cell>
          <cell r="P9367">
            <v>0</v>
          </cell>
        </row>
        <row r="9368">
          <cell r="K9368">
            <v>0</v>
          </cell>
          <cell r="M9368">
            <v>0</v>
          </cell>
          <cell r="P9368">
            <v>0</v>
          </cell>
        </row>
        <row r="9369">
          <cell r="K9369">
            <v>0</v>
          </cell>
          <cell r="M9369">
            <v>0</v>
          </cell>
          <cell r="P9369">
            <v>0</v>
          </cell>
        </row>
        <row r="9370">
          <cell r="K9370">
            <v>0</v>
          </cell>
          <cell r="M9370">
            <v>0</v>
          </cell>
          <cell r="P9370">
            <v>0</v>
          </cell>
        </row>
        <row r="9371">
          <cell r="K9371">
            <v>0</v>
          </cell>
          <cell r="M9371">
            <v>0</v>
          </cell>
          <cell r="P9371">
            <v>0</v>
          </cell>
        </row>
        <row r="9372">
          <cell r="K9372">
            <v>0</v>
          </cell>
          <cell r="M9372">
            <v>0</v>
          </cell>
          <cell r="P9372">
            <v>0</v>
          </cell>
        </row>
        <row r="9373">
          <cell r="K9373">
            <v>0</v>
          </cell>
          <cell r="M9373">
            <v>0</v>
          </cell>
          <cell r="P9373">
            <v>0</v>
          </cell>
        </row>
        <row r="9374">
          <cell r="K9374">
            <v>0</v>
          </cell>
          <cell r="M9374">
            <v>0</v>
          </cell>
          <cell r="P9374">
            <v>0</v>
          </cell>
        </row>
        <row r="9375">
          <cell r="K9375">
            <v>0</v>
          </cell>
          <cell r="M9375">
            <v>0</v>
          </cell>
          <cell r="P9375">
            <v>0</v>
          </cell>
        </row>
        <row r="9376">
          <cell r="K9376">
            <v>0</v>
          </cell>
          <cell r="M9376">
            <v>0</v>
          </cell>
          <cell r="P9376">
            <v>0</v>
          </cell>
        </row>
        <row r="9377">
          <cell r="K9377">
            <v>0</v>
          </cell>
          <cell r="M9377">
            <v>0</v>
          </cell>
          <cell r="P9377">
            <v>0</v>
          </cell>
        </row>
        <row r="9378">
          <cell r="K9378">
            <v>0</v>
          </cell>
          <cell r="M9378">
            <v>0</v>
          </cell>
          <cell r="P9378">
            <v>0</v>
          </cell>
        </row>
        <row r="9379">
          <cell r="K9379">
            <v>0</v>
          </cell>
          <cell r="M9379">
            <v>0</v>
          </cell>
          <cell r="P9379">
            <v>0</v>
          </cell>
        </row>
        <row r="9380">
          <cell r="K9380">
            <v>0</v>
          </cell>
          <cell r="M9380">
            <v>0</v>
          </cell>
          <cell r="P9380">
            <v>0</v>
          </cell>
        </row>
        <row r="9381">
          <cell r="K9381">
            <v>0</v>
          </cell>
          <cell r="M9381">
            <v>0</v>
          </cell>
          <cell r="P9381">
            <v>0</v>
          </cell>
        </row>
        <row r="9382">
          <cell r="K9382">
            <v>0</v>
          </cell>
          <cell r="M9382">
            <v>0</v>
          </cell>
          <cell r="P9382">
            <v>0</v>
          </cell>
        </row>
        <row r="9383">
          <cell r="K9383">
            <v>0</v>
          </cell>
          <cell r="M9383">
            <v>0</v>
          </cell>
          <cell r="P9383">
            <v>0</v>
          </cell>
        </row>
        <row r="9384">
          <cell r="K9384">
            <v>0</v>
          </cell>
          <cell r="M9384">
            <v>0</v>
          </cell>
          <cell r="P9384">
            <v>0</v>
          </cell>
        </row>
        <row r="9385">
          <cell r="K9385">
            <v>0</v>
          </cell>
          <cell r="M9385">
            <v>0</v>
          </cell>
          <cell r="P9385">
            <v>0</v>
          </cell>
        </row>
        <row r="9386">
          <cell r="K9386">
            <v>0</v>
          </cell>
          <cell r="M9386">
            <v>0</v>
          </cell>
          <cell r="P9386">
            <v>0</v>
          </cell>
        </row>
        <row r="9387">
          <cell r="K9387">
            <v>0</v>
          </cell>
          <cell r="M9387">
            <v>0</v>
          </cell>
          <cell r="P9387">
            <v>0</v>
          </cell>
        </row>
        <row r="9388">
          <cell r="K9388">
            <v>0</v>
          </cell>
          <cell r="M9388">
            <v>0</v>
          </cell>
          <cell r="P9388">
            <v>0</v>
          </cell>
        </row>
        <row r="9389">
          <cell r="K9389">
            <v>0</v>
          </cell>
          <cell r="M9389">
            <v>0</v>
          </cell>
          <cell r="P9389">
            <v>0</v>
          </cell>
        </row>
        <row r="9390">
          <cell r="K9390">
            <v>0</v>
          </cell>
          <cell r="M9390">
            <v>0</v>
          </cell>
          <cell r="P9390">
            <v>0</v>
          </cell>
        </row>
        <row r="9391">
          <cell r="K9391">
            <v>0</v>
          </cell>
          <cell r="M9391">
            <v>0</v>
          </cell>
          <cell r="P9391">
            <v>0</v>
          </cell>
        </row>
        <row r="9392">
          <cell r="K9392">
            <v>0</v>
          </cell>
          <cell r="M9392">
            <v>0</v>
          </cell>
          <cell r="P9392">
            <v>0</v>
          </cell>
        </row>
        <row r="9393">
          <cell r="K9393">
            <v>0</v>
          </cell>
          <cell r="M9393">
            <v>0</v>
          </cell>
          <cell r="P9393">
            <v>0</v>
          </cell>
        </row>
        <row r="9394">
          <cell r="K9394">
            <v>0</v>
          </cell>
          <cell r="M9394">
            <v>0</v>
          </cell>
          <cell r="P9394">
            <v>0</v>
          </cell>
        </row>
        <row r="9395">
          <cell r="K9395">
            <v>0</v>
          </cell>
          <cell r="M9395">
            <v>0</v>
          </cell>
          <cell r="P9395">
            <v>0</v>
          </cell>
        </row>
        <row r="9396">
          <cell r="K9396">
            <v>0</v>
          </cell>
          <cell r="M9396">
            <v>0</v>
          </cell>
          <cell r="P9396">
            <v>0</v>
          </cell>
        </row>
        <row r="9397">
          <cell r="K9397">
            <v>0</v>
          </cell>
          <cell r="M9397">
            <v>0</v>
          </cell>
          <cell r="P9397">
            <v>0</v>
          </cell>
        </row>
        <row r="9398">
          <cell r="K9398">
            <v>0</v>
          </cell>
          <cell r="M9398">
            <v>0</v>
          </cell>
          <cell r="P9398">
            <v>0</v>
          </cell>
        </row>
        <row r="9399">
          <cell r="K9399">
            <v>0</v>
          </cell>
          <cell r="M9399">
            <v>0</v>
          </cell>
          <cell r="P9399">
            <v>0</v>
          </cell>
        </row>
        <row r="9400">
          <cell r="K9400">
            <v>0</v>
          </cell>
          <cell r="M9400">
            <v>0</v>
          </cell>
          <cell r="P9400">
            <v>0</v>
          </cell>
        </row>
        <row r="9401">
          <cell r="K9401">
            <v>0</v>
          </cell>
          <cell r="M9401">
            <v>0</v>
          </cell>
          <cell r="P9401">
            <v>0</v>
          </cell>
        </row>
        <row r="9402">
          <cell r="K9402">
            <v>0</v>
          </cell>
          <cell r="M9402">
            <v>0</v>
          </cell>
          <cell r="P9402">
            <v>0</v>
          </cell>
        </row>
        <row r="9403">
          <cell r="K9403">
            <v>0</v>
          </cell>
          <cell r="M9403">
            <v>0</v>
          </cell>
          <cell r="P9403">
            <v>0</v>
          </cell>
        </row>
        <row r="9404">
          <cell r="K9404">
            <v>0</v>
          </cell>
          <cell r="M9404">
            <v>0</v>
          </cell>
          <cell r="P9404">
            <v>0</v>
          </cell>
        </row>
        <row r="9405">
          <cell r="K9405">
            <v>0</v>
          </cell>
          <cell r="M9405">
            <v>0</v>
          </cell>
          <cell r="P9405">
            <v>0</v>
          </cell>
        </row>
        <row r="9406">
          <cell r="K9406">
            <v>0</v>
          </cell>
          <cell r="M9406">
            <v>0</v>
          </cell>
          <cell r="P9406">
            <v>0</v>
          </cell>
        </row>
        <row r="9407">
          <cell r="K9407">
            <v>0</v>
          </cell>
          <cell r="M9407">
            <v>0</v>
          </cell>
          <cell r="P9407">
            <v>0</v>
          </cell>
        </row>
        <row r="9408">
          <cell r="K9408">
            <v>0</v>
          </cell>
          <cell r="M9408">
            <v>0</v>
          </cell>
          <cell r="P9408">
            <v>0</v>
          </cell>
        </row>
        <row r="9409">
          <cell r="K9409">
            <v>0</v>
          </cell>
          <cell r="M9409">
            <v>0</v>
          </cell>
          <cell r="P9409">
            <v>0</v>
          </cell>
        </row>
        <row r="9410">
          <cell r="K9410">
            <v>0</v>
          </cell>
          <cell r="M9410">
            <v>0</v>
          </cell>
          <cell r="P9410">
            <v>0</v>
          </cell>
        </row>
        <row r="9411">
          <cell r="K9411">
            <v>0</v>
          </cell>
          <cell r="M9411">
            <v>0</v>
          </cell>
          <cell r="P9411">
            <v>0</v>
          </cell>
        </row>
        <row r="9412">
          <cell r="K9412">
            <v>0</v>
          </cell>
          <cell r="M9412">
            <v>0</v>
          </cell>
          <cell r="P9412">
            <v>0</v>
          </cell>
        </row>
        <row r="9413">
          <cell r="K9413">
            <v>0</v>
          </cell>
          <cell r="M9413">
            <v>0</v>
          </cell>
          <cell r="P9413">
            <v>0</v>
          </cell>
        </row>
        <row r="9414">
          <cell r="K9414">
            <v>0</v>
          </cell>
          <cell r="M9414">
            <v>0</v>
          </cell>
          <cell r="P9414">
            <v>0</v>
          </cell>
        </row>
        <row r="9415">
          <cell r="K9415">
            <v>0</v>
          </cell>
          <cell r="M9415">
            <v>0</v>
          </cell>
          <cell r="P9415">
            <v>0</v>
          </cell>
        </row>
        <row r="9416">
          <cell r="K9416">
            <v>0</v>
          </cell>
          <cell r="M9416">
            <v>0</v>
          </cell>
          <cell r="P9416">
            <v>0</v>
          </cell>
        </row>
        <row r="9417">
          <cell r="K9417">
            <v>0</v>
          </cell>
          <cell r="M9417">
            <v>0</v>
          </cell>
          <cell r="P9417">
            <v>0</v>
          </cell>
        </row>
        <row r="9418">
          <cell r="K9418">
            <v>0</v>
          </cell>
          <cell r="M9418">
            <v>0</v>
          </cell>
          <cell r="P9418">
            <v>0</v>
          </cell>
        </row>
        <row r="9419">
          <cell r="K9419">
            <v>0</v>
          </cell>
          <cell r="M9419">
            <v>0</v>
          </cell>
          <cell r="P9419">
            <v>0</v>
          </cell>
        </row>
        <row r="9420">
          <cell r="K9420">
            <v>0</v>
          </cell>
          <cell r="M9420">
            <v>0</v>
          </cell>
          <cell r="P9420">
            <v>0</v>
          </cell>
        </row>
        <row r="9421">
          <cell r="K9421">
            <v>0</v>
          </cell>
          <cell r="M9421">
            <v>0</v>
          </cell>
          <cell r="P9421">
            <v>0</v>
          </cell>
        </row>
        <row r="9422">
          <cell r="K9422">
            <v>0</v>
          </cell>
          <cell r="M9422">
            <v>0</v>
          </cell>
          <cell r="P9422">
            <v>0</v>
          </cell>
        </row>
        <row r="9423">
          <cell r="K9423">
            <v>0</v>
          </cell>
          <cell r="M9423">
            <v>0</v>
          </cell>
          <cell r="P9423">
            <v>0</v>
          </cell>
        </row>
        <row r="9424">
          <cell r="K9424">
            <v>0</v>
          </cell>
          <cell r="M9424">
            <v>0</v>
          </cell>
          <cell r="P9424">
            <v>0</v>
          </cell>
        </row>
        <row r="9425">
          <cell r="K9425">
            <v>0</v>
          </cell>
          <cell r="M9425">
            <v>0</v>
          </cell>
          <cell r="P9425">
            <v>0</v>
          </cell>
        </row>
        <row r="9426">
          <cell r="K9426">
            <v>0</v>
          </cell>
          <cell r="M9426">
            <v>0</v>
          </cell>
          <cell r="P9426">
            <v>0</v>
          </cell>
        </row>
        <row r="9427">
          <cell r="K9427">
            <v>0</v>
          </cell>
          <cell r="M9427">
            <v>0</v>
          </cell>
          <cell r="P9427">
            <v>0</v>
          </cell>
        </row>
        <row r="9428">
          <cell r="K9428">
            <v>0</v>
          </cell>
          <cell r="M9428">
            <v>0</v>
          </cell>
          <cell r="P9428">
            <v>0</v>
          </cell>
        </row>
        <row r="9429">
          <cell r="K9429">
            <v>0</v>
          </cell>
          <cell r="M9429">
            <v>0</v>
          </cell>
          <cell r="P9429">
            <v>0</v>
          </cell>
        </row>
        <row r="9430">
          <cell r="K9430">
            <v>0</v>
          </cell>
          <cell r="M9430">
            <v>0</v>
          </cell>
          <cell r="P9430">
            <v>0</v>
          </cell>
        </row>
        <row r="9431">
          <cell r="K9431">
            <v>0</v>
          </cell>
          <cell r="M9431">
            <v>0</v>
          </cell>
          <cell r="P9431">
            <v>0</v>
          </cell>
        </row>
        <row r="9432">
          <cell r="K9432">
            <v>0</v>
          </cell>
          <cell r="M9432">
            <v>0</v>
          </cell>
          <cell r="P9432">
            <v>0</v>
          </cell>
        </row>
        <row r="9433">
          <cell r="K9433">
            <v>0</v>
          </cell>
          <cell r="M9433">
            <v>0</v>
          </cell>
          <cell r="P9433">
            <v>0</v>
          </cell>
        </row>
        <row r="9434">
          <cell r="K9434">
            <v>0</v>
          </cell>
          <cell r="M9434">
            <v>0</v>
          </cell>
          <cell r="P9434">
            <v>0</v>
          </cell>
        </row>
        <row r="9435">
          <cell r="K9435">
            <v>0</v>
          </cell>
          <cell r="M9435">
            <v>0</v>
          </cell>
          <cell r="P9435">
            <v>0</v>
          </cell>
        </row>
        <row r="9436">
          <cell r="K9436">
            <v>0</v>
          </cell>
          <cell r="M9436">
            <v>0</v>
          </cell>
          <cell r="P9436">
            <v>0</v>
          </cell>
        </row>
        <row r="9437">
          <cell r="K9437">
            <v>0</v>
          </cell>
          <cell r="M9437">
            <v>0</v>
          </cell>
          <cell r="P9437">
            <v>0</v>
          </cell>
        </row>
        <row r="9438">
          <cell r="K9438">
            <v>0</v>
          </cell>
          <cell r="M9438">
            <v>0</v>
          </cell>
          <cell r="P9438">
            <v>0</v>
          </cell>
        </row>
        <row r="9439">
          <cell r="K9439">
            <v>0</v>
          </cell>
          <cell r="M9439">
            <v>0</v>
          </cell>
          <cell r="P9439">
            <v>0</v>
          </cell>
        </row>
        <row r="9440">
          <cell r="K9440">
            <v>0</v>
          </cell>
          <cell r="M9440">
            <v>0</v>
          </cell>
          <cell r="P9440">
            <v>0</v>
          </cell>
        </row>
        <row r="9441">
          <cell r="K9441">
            <v>0</v>
          </cell>
          <cell r="M9441">
            <v>0</v>
          </cell>
          <cell r="P9441">
            <v>0</v>
          </cell>
        </row>
        <row r="9442">
          <cell r="K9442">
            <v>0</v>
          </cell>
          <cell r="M9442">
            <v>0</v>
          </cell>
          <cell r="P9442">
            <v>0</v>
          </cell>
        </row>
        <row r="9443">
          <cell r="K9443">
            <v>0</v>
          </cell>
          <cell r="M9443">
            <v>0</v>
          </cell>
          <cell r="P9443">
            <v>0</v>
          </cell>
        </row>
        <row r="9444">
          <cell r="K9444">
            <v>0</v>
          </cell>
          <cell r="M9444">
            <v>0</v>
          </cell>
          <cell r="P9444">
            <v>0</v>
          </cell>
        </row>
        <row r="9445">
          <cell r="K9445">
            <v>0</v>
          </cell>
          <cell r="M9445">
            <v>0</v>
          </cell>
          <cell r="P9445">
            <v>0</v>
          </cell>
        </row>
        <row r="9446">
          <cell r="K9446">
            <v>0</v>
          </cell>
          <cell r="M9446">
            <v>0</v>
          </cell>
          <cell r="P9446">
            <v>0</v>
          </cell>
        </row>
        <row r="9447">
          <cell r="K9447">
            <v>0</v>
          </cell>
          <cell r="M9447">
            <v>0</v>
          </cell>
          <cell r="P9447">
            <v>0</v>
          </cell>
        </row>
        <row r="9448">
          <cell r="K9448">
            <v>0</v>
          </cell>
          <cell r="M9448">
            <v>0</v>
          </cell>
          <cell r="P9448">
            <v>0</v>
          </cell>
        </row>
        <row r="9449">
          <cell r="K9449">
            <v>0</v>
          </cell>
          <cell r="M9449">
            <v>0</v>
          </cell>
          <cell r="P9449">
            <v>0</v>
          </cell>
        </row>
        <row r="9450">
          <cell r="K9450">
            <v>0</v>
          </cell>
          <cell r="M9450">
            <v>0</v>
          </cell>
          <cell r="P9450">
            <v>0</v>
          </cell>
        </row>
        <row r="9451">
          <cell r="K9451">
            <v>0</v>
          </cell>
          <cell r="M9451">
            <v>0</v>
          </cell>
          <cell r="P9451">
            <v>0</v>
          </cell>
        </row>
        <row r="9452">
          <cell r="K9452">
            <v>0</v>
          </cell>
          <cell r="M9452">
            <v>0</v>
          </cell>
          <cell r="P9452">
            <v>0</v>
          </cell>
        </row>
        <row r="9453">
          <cell r="K9453">
            <v>0</v>
          </cell>
          <cell r="M9453">
            <v>0</v>
          </cell>
          <cell r="P9453">
            <v>0</v>
          </cell>
        </row>
        <row r="9454">
          <cell r="K9454">
            <v>0</v>
          </cell>
          <cell r="M9454">
            <v>0</v>
          </cell>
          <cell r="P9454">
            <v>0</v>
          </cell>
        </row>
        <row r="9455">
          <cell r="K9455">
            <v>0</v>
          </cell>
          <cell r="M9455">
            <v>0</v>
          </cell>
          <cell r="P9455">
            <v>0</v>
          </cell>
        </row>
        <row r="9456">
          <cell r="K9456">
            <v>0</v>
          </cell>
          <cell r="M9456">
            <v>0</v>
          </cell>
          <cell r="P9456">
            <v>0</v>
          </cell>
        </row>
        <row r="9457">
          <cell r="K9457">
            <v>0</v>
          </cell>
          <cell r="M9457">
            <v>0</v>
          </cell>
          <cell r="P9457">
            <v>0</v>
          </cell>
        </row>
        <row r="9458">
          <cell r="K9458">
            <v>0</v>
          </cell>
          <cell r="M9458">
            <v>0</v>
          </cell>
          <cell r="P9458">
            <v>0</v>
          </cell>
        </row>
        <row r="9459">
          <cell r="K9459">
            <v>0</v>
          </cell>
          <cell r="M9459">
            <v>0</v>
          </cell>
          <cell r="P9459">
            <v>0</v>
          </cell>
        </row>
        <row r="9460">
          <cell r="K9460">
            <v>0</v>
          </cell>
          <cell r="M9460">
            <v>0</v>
          </cell>
          <cell r="P9460">
            <v>0</v>
          </cell>
        </row>
        <row r="9461">
          <cell r="K9461">
            <v>0</v>
          </cell>
          <cell r="M9461">
            <v>0</v>
          </cell>
          <cell r="P9461">
            <v>0</v>
          </cell>
        </row>
        <row r="9462">
          <cell r="K9462">
            <v>0</v>
          </cell>
          <cell r="M9462">
            <v>0</v>
          </cell>
          <cell r="P9462">
            <v>0</v>
          </cell>
        </row>
        <row r="9463">
          <cell r="K9463">
            <v>0</v>
          </cell>
          <cell r="M9463">
            <v>0</v>
          </cell>
          <cell r="P9463">
            <v>0</v>
          </cell>
        </row>
        <row r="9464">
          <cell r="K9464">
            <v>0</v>
          </cell>
          <cell r="M9464">
            <v>0</v>
          </cell>
          <cell r="P9464">
            <v>0</v>
          </cell>
        </row>
        <row r="9465">
          <cell r="K9465">
            <v>0</v>
          </cell>
          <cell r="M9465">
            <v>0</v>
          </cell>
          <cell r="P9465">
            <v>0</v>
          </cell>
        </row>
        <row r="9466">
          <cell r="K9466">
            <v>0</v>
          </cell>
          <cell r="M9466">
            <v>0</v>
          </cell>
          <cell r="P9466">
            <v>0</v>
          </cell>
        </row>
        <row r="9467">
          <cell r="K9467">
            <v>0</v>
          </cell>
          <cell r="M9467">
            <v>0</v>
          </cell>
          <cell r="P9467">
            <v>0</v>
          </cell>
        </row>
        <row r="9468">
          <cell r="K9468">
            <v>0</v>
          </cell>
          <cell r="M9468">
            <v>0</v>
          </cell>
          <cell r="P9468">
            <v>0</v>
          </cell>
        </row>
        <row r="9469">
          <cell r="K9469">
            <v>0</v>
          </cell>
          <cell r="M9469">
            <v>0</v>
          </cell>
          <cell r="P9469">
            <v>0</v>
          </cell>
        </row>
        <row r="9470">
          <cell r="K9470">
            <v>0</v>
          </cell>
          <cell r="M9470">
            <v>0</v>
          </cell>
          <cell r="P9470">
            <v>0</v>
          </cell>
        </row>
        <row r="9471">
          <cell r="K9471">
            <v>0</v>
          </cell>
          <cell r="M9471">
            <v>0</v>
          </cell>
          <cell r="P9471">
            <v>0</v>
          </cell>
        </row>
        <row r="9472">
          <cell r="K9472">
            <v>0</v>
          </cell>
          <cell r="M9472">
            <v>0</v>
          </cell>
          <cell r="P9472">
            <v>0</v>
          </cell>
        </row>
        <row r="9473">
          <cell r="K9473">
            <v>0</v>
          </cell>
          <cell r="M9473">
            <v>0</v>
          </cell>
          <cell r="P9473">
            <v>0</v>
          </cell>
        </row>
        <row r="9474">
          <cell r="K9474">
            <v>0</v>
          </cell>
          <cell r="M9474">
            <v>0</v>
          </cell>
          <cell r="P9474">
            <v>0</v>
          </cell>
        </row>
        <row r="9475">
          <cell r="K9475">
            <v>0</v>
          </cell>
          <cell r="M9475">
            <v>0</v>
          </cell>
          <cell r="P9475">
            <v>0</v>
          </cell>
        </row>
        <row r="9476">
          <cell r="K9476">
            <v>0</v>
          </cell>
          <cell r="M9476">
            <v>0</v>
          </cell>
          <cell r="P9476">
            <v>0</v>
          </cell>
        </row>
        <row r="9477">
          <cell r="K9477">
            <v>0</v>
          </cell>
          <cell r="M9477">
            <v>0</v>
          </cell>
          <cell r="P9477">
            <v>0</v>
          </cell>
        </row>
        <row r="9478">
          <cell r="K9478">
            <v>0</v>
          </cell>
          <cell r="M9478">
            <v>0</v>
          </cell>
          <cell r="P9478">
            <v>0</v>
          </cell>
        </row>
        <row r="9479">
          <cell r="K9479">
            <v>0</v>
          </cell>
          <cell r="M9479">
            <v>0</v>
          </cell>
          <cell r="P9479">
            <v>0</v>
          </cell>
        </row>
        <row r="9480">
          <cell r="K9480">
            <v>0</v>
          </cell>
          <cell r="M9480">
            <v>0</v>
          </cell>
          <cell r="P9480">
            <v>0</v>
          </cell>
        </row>
        <row r="9481">
          <cell r="K9481">
            <v>0</v>
          </cell>
          <cell r="M9481">
            <v>0</v>
          </cell>
          <cell r="P9481">
            <v>0</v>
          </cell>
        </row>
        <row r="9482">
          <cell r="K9482">
            <v>0</v>
          </cell>
          <cell r="M9482">
            <v>0</v>
          </cell>
          <cell r="P9482">
            <v>0</v>
          </cell>
        </row>
        <row r="9483">
          <cell r="K9483">
            <v>0</v>
          </cell>
          <cell r="M9483">
            <v>0</v>
          </cell>
          <cell r="P9483">
            <v>0</v>
          </cell>
        </row>
        <row r="9484">
          <cell r="K9484">
            <v>0</v>
          </cell>
          <cell r="M9484">
            <v>0</v>
          </cell>
          <cell r="P9484">
            <v>0</v>
          </cell>
        </row>
        <row r="9485">
          <cell r="K9485">
            <v>0</v>
          </cell>
          <cell r="M9485">
            <v>0</v>
          </cell>
          <cell r="P9485">
            <v>0</v>
          </cell>
        </row>
        <row r="9486">
          <cell r="K9486">
            <v>0</v>
          </cell>
          <cell r="M9486">
            <v>0</v>
          </cell>
          <cell r="P9486">
            <v>0</v>
          </cell>
        </row>
        <row r="9487">
          <cell r="K9487">
            <v>0</v>
          </cell>
          <cell r="M9487">
            <v>0</v>
          </cell>
          <cell r="P9487">
            <v>0</v>
          </cell>
        </row>
        <row r="9488">
          <cell r="K9488">
            <v>0</v>
          </cell>
          <cell r="M9488">
            <v>0</v>
          </cell>
          <cell r="P9488">
            <v>0</v>
          </cell>
        </row>
        <row r="9489">
          <cell r="K9489">
            <v>0</v>
          </cell>
          <cell r="M9489">
            <v>0</v>
          </cell>
          <cell r="P9489">
            <v>0</v>
          </cell>
        </row>
        <row r="9490">
          <cell r="K9490">
            <v>0</v>
          </cell>
          <cell r="M9490">
            <v>0</v>
          </cell>
          <cell r="P9490">
            <v>0</v>
          </cell>
        </row>
        <row r="9491">
          <cell r="K9491">
            <v>0</v>
          </cell>
          <cell r="M9491">
            <v>0</v>
          </cell>
          <cell r="P9491">
            <v>0</v>
          </cell>
        </row>
        <row r="9492">
          <cell r="K9492">
            <v>0</v>
          </cell>
          <cell r="M9492">
            <v>0</v>
          </cell>
          <cell r="P9492">
            <v>0</v>
          </cell>
        </row>
        <row r="9493">
          <cell r="K9493">
            <v>0</v>
          </cell>
          <cell r="M9493">
            <v>0</v>
          </cell>
          <cell r="P9493">
            <v>0</v>
          </cell>
        </row>
        <row r="9494">
          <cell r="K9494">
            <v>0</v>
          </cell>
          <cell r="M9494">
            <v>0</v>
          </cell>
          <cell r="P9494">
            <v>0</v>
          </cell>
        </row>
        <row r="9495">
          <cell r="K9495">
            <v>0</v>
          </cell>
          <cell r="M9495">
            <v>0</v>
          </cell>
          <cell r="P9495">
            <v>0</v>
          </cell>
        </row>
        <row r="9496">
          <cell r="K9496">
            <v>0</v>
          </cell>
          <cell r="M9496">
            <v>0</v>
          </cell>
          <cell r="P9496">
            <v>0</v>
          </cell>
        </row>
        <row r="9497">
          <cell r="K9497">
            <v>0</v>
          </cell>
          <cell r="M9497">
            <v>0</v>
          </cell>
          <cell r="P9497">
            <v>0</v>
          </cell>
        </row>
        <row r="9498">
          <cell r="K9498">
            <v>0</v>
          </cell>
          <cell r="M9498">
            <v>0</v>
          </cell>
          <cell r="P9498">
            <v>0</v>
          </cell>
        </row>
        <row r="9499">
          <cell r="K9499">
            <v>0</v>
          </cell>
          <cell r="M9499">
            <v>0</v>
          </cell>
          <cell r="P9499">
            <v>0</v>
          </cell>
        </row>
        <row r="9500">
          <cell r="K9500">
            <v>0</v>
          </cell>
          <cell r="M9500">
            <v>0</v>
          </cell>
          <cell r="P9500">
            <v>0</v>
          </cell>
        </row>
        <row r="9501">
          <cell r="K9501">
            <v>0</v>
          </cell>
          <cell r="M9501">
            <v>0</v>
          </cell>
          <cell r="P9501">
            <v>0</v>
          </cell>
        </row>
        <row r="9502">
          <cell r="K9502">
            <v>0</v>
          </cell>
          <cell r="M9502">
            <v>0</v>
          </cell>
          <cell r="P9502">
            <v>0</v>
          </cell>
        </row>
        <row r="9503">
          <cell r="K9503">
            <v>0</v>
          </cell>
          <cell r="M9503">
            <v>0</v>
          </cell>
          <cell r="P9503">
            <v>0</v>
          </cell>
        </row>
        <row r="9504">
          <cell r="K9504">
            <v>0</v>
          </cell>
          <cell r="M9504">
            <v>0</v>
          </cell>
          <cell r="P9504">
            <v>0</v>
          </cell>
        </row>
        <row r="9505">
          <cell r="K9505">
            <v>0</v>
          </cell>
          <cell r="M9505">
            <v>0</v>
          </cell>
          <cell r="P9505">
            <v>0</v>
          </cell>
        </row>
        <row r="9506">
          <cell r="K9506">
            <v>0</v>
          </cell>
          <cell r="M9506">
            <v>0</v>
          </cell>
          <cell r="P9506">
            <v>0</v>
          </cell>
        </row>
        <row r="9507">
          <cell r="K9507">
            <v>0</v>
          </cell>
          <cell r="M9507">
            <v>0</v>
          </cell>
          <cell r="P9507">
            <v>0</v>
          </cell>
        </row>
        <row r="9508">
          <cell r="K9508">
            <v>0</v>
          </cell>
          <cell r="M9508">
            <v>0</v>
          </cell>
          <cell r="P9508">
            <v>0</v>
          </cell>
        </row>
        <row r="9509">
          <cell r="K9509">
            <v>0</v>
          </cell>
          <cell r="M9509">
            <v>0</v>
          </cell>
          <cell r="P9509">
            <v>0</v>
          </cell>
        </row>
        <row r="9510">
          <cell r="K9510">
            <v>0</v>
          </cell>
          <cell r="M9510">
            <v>0</v>
          </cell>
          <cell r="P9510">
            <v>0</v>
          </cell>
        </row>
        <row r="9511">
          <cell r="K9511">
            <v>0</v>
          </cell>
          <cell r="M9511">
            <v>0</v>
          </cell>
          <cell r="P9511">
            <v>0</v>
          </cell>
        </row>
        <row r="9512">
          <cell r="K9512">
            <v>0</v>
          </cell>
          <cell r="M9512">
            <v>0</v>
          </cell>
          <cell r="P9512">
            <v>0</v>
          </cell>
        </row>
        <row r="9513">
          <cell r="K9513">
            <v>0</v>
          </cell>
          <cell r="M9513">
            <v>0</v>
          </cell>
          <cell r="P9513">
            <v>0</v>
          </cell>
        </row>
        <row r="9514">
          <cell r="K9514">
            <v>0</v>
          </cell>
          <cell r="M9514">
            <v>0</v>
          </cell>
          <cell r="P9514">
            <v>0</v>
          </cell>
        </row>
        <row r="9515">
          <cell r="K9515">
            <v>0</v>
          </cell>
          <cell r="M9515">
            <v>0</v>
          </cell>
          <cell r="P9515">
            <v>0</v>
          </cell>
        </row>
        <row r="9516">
          <cell r="K9516">
            <v>0</v>
          </cell>
          <cell r="M9516">
            <v>0</v>
          </cell>
          <cell r="P9516">
            <v>0</v>
          </cell>
        </row>
        <row r="9517">
          <cell r="K9517">
            <v>0</v>
          </cell>
          <cell r="M9517">
            <v>0</v>
          </cell>
          <cell r="P9517">
            <v>0</v>
          </cell>
        </row>
        <row r="9518">
          <cell r="K9518">
            <v>0</v>
          </cell>
          <cell r="M9518">
            <v>0</v>
          </cell>
          <cell r="P9518">
            <v>0</v>
          </cell>
        </row>
        <row r="9519">
          <cell r="K9519">
            <v>0</v>
          </cell>
          <cell r="M9519">
            <v>0</v>
          </cell>
          <cell r="P9519">
            <v>0</v>
          </cell>
        </row>
        <row r="9520">
          <cell r="K9520">
            <v>0</v>
          </cell>
          <cell r="M9520">
            <v>0</v>
          </cell>
          <cell r="P9520">
            <v>0</v>
          </cell>
        </row>
        <row r="9521">
          <cell r="K9521">
            <v>0</v>
          </cell>
          <cell r="M9521">
            <v>0</v>
          </cell>
          <cell r="P9521">
            <v>0</v>
          </cell>
        </row>
        <row r="9522">
          <cell r="K9522">
            <v>0</v>
          </cell>
          <cell r="M9522">
            <v>0</v>
          </cell>
          <cell r="P9522">
            <v>0</v>
          </cell>
        </row>
        <row r="9523">
          <cell r="K9523">
            <v>0</v>
          </cell>
          <cell r="M9523">
            <v>0</v>
          </cell>
          <cell r="P9523">
            <v>0</v>
          </cell>
        </row>
        <row r="9524">
          <cell r="K9524">
            <v>0</v>
          </cell>
          <cell r="M9524">
            <v>0</v>
          </cell>
          <cell r="P9524">
            <v>0</v>
          </cell>
        </row>
        <row r="9525">
          <cell r="K9525">
            <v>0</v>
          </cell>
          <cell r="M9525">
            <v>0</v>
          </cell>
          <cell r="P9525">
            <v>0</v>
          </cell>
        </row>
        <row r="9526">
          <cell r="K9526">
            <v>0</v>
          </cell>
          <cell r="M9526">
            <v>0</v>
          </cell>
          <cell r="P9526">
            <v>0</v>
          </cell>
        </row>
        <row r="9527">
          <cell r="K9527">
            <v>0</v>
          </cell>
          <cell r="M9527">
            <v>0</v>
          </cell>
          <cell r="P9527">
            <v>0</v>
          </cell>
        </row>
        <row r="9528">
          <cell r="K9528">
            <v>0</v>
          </cell>
          <cell r="M9528">
            <v>0</v>
          </cell>
          <cell r="P9528">
            <v>0</v>
          </cell>
        </row>
        <row r="9529">
          <cell r="K9529">
            <v>0</v>
          </cell>
          <cell r="M9529">
            <v>0</v>
          </cell>
          <cell r="P9529">
            <v>0</v>
          </cell>
        </row>
        <row r="9530">
          <cell r="K9530">
            <v>0</v>
          </cell>
          <cell r="M9530">
            <v>0</v>
          </cell>
          <cell r="P9530">
            <v>0</v>
          </cell>
        </row>
        <row r="9531">
          <cell r="K9531">
            <v>0</v>
          </cell>
          <cell r="M9531">
            <v>0</v>
          </cell>
          <cell r="P9531">
            <v>0</v>
          </cell>
        </row>
        <row r="9532">
          <cell r="K9532">
            <v>0</v>
          </cell>
          <cell r="M9532">
            <v>0</v>
          </cell>
          <cell r="P9532">
            <v>0</v>
          </cell>
        </row>
        <row r="9533">
          <cell r="K9533">
            <v>0</v>
          </cell>
          <cell r="M9533">
            <v>0</v>
          </cell>
          <cell r="P9533">
            <v>0</v>
          </cell>
        </row>
        <row r="9534">
          <cell r="K9534">
            <v>0</v>
          </cell>
          <cell r="M9534">
            <v>0</v>
          </cell>
          <cell r="P9534">
            <v>0</v>
          </cell>
        </row>
        <row r="9535">
          <cell r="K9535">
            <v>0</v>
          </cell>
          <cell r="M9535">
            <v>0</v>
          </cell>
          <cell r="P9535">
            <v>0</v>
          </cell>
        </row>
        <row r="9536">
          <cell r="K9536">
            <v>0</v>
          </cell>
          <cell r="M9536">
            <v>0</v>
          </cell>
          <cell r="P9536">
            <v>0</v>
          </cell>
        </row>
        <row r="9537">
          <cell r="K9537">
            <v>0</v>
          </cell>
          <cell r="M9537">
            <v>0</v>
          </cell>
          <cell r="P9537">
            <v>0</v>
          </cell>
        </row>
        <row r="9538">
          <cell r="K9538">
            <v>0</v>
          </cell>
          <cell r="M9538">
            <v>0</v>
          </cell>
          <cell r="P9538">
            <v>0</v>
          </cell>
        </row>
        <row r="9539">
          <cell r="K9539">
            <v>0</v>
          </cell>
          <cell r="M9539">
            <v>0</v>
          </cell>
          <cell r="P9539">
            <v>0</v>
          </cell>
        </row>
        <row r="9540">
          <cell r="K9540">
            <v>0</v>
          </cell>
          <cell r="M9540">
            <v>0</v>
          </cell>
          <cell r="P9540">
            <v>0</v>
          </cell>
        </row>
        <row r="9541">
          <cell r="K9541">
            <v>0</v>
          </cell>
          <cell r="M9541">
            <v>0</v>
          </cell>
          <cell r="P9541">
            <v>0</v>
          </cell>
        </row>
        <row r="9542">
          <cell r="K9542">
            <v>0</v>
          </cell>
          <cell r="M9542">
            <v>0</v>
          </cell>
          <cell r="P9542">
            <v>0</v>
          </cell>
        </row>
        <row r="9543">
          <cell r="K9543">
            <v>0</v>
          </cell>
          <cell r="M9543">
            <v>0</v>
          </cell>
          <cell r="P9543">
            <v>0</v>
          </cell>
        </row>
        <row r="9544">
          <cell r="K9544">
            <v>0</v>
          </cell>
          <cell r="M9544">
            <v>0</v>
          </cell>
          <cell r="P9544">
            <v>0</v>
          </cell>
        </row>
        <row r="9545">
          <cell r="K9545">
            <v>0</v>
          </cell>
          <cell r="M9545">
            <v>0</v>
          </cell>
          <cell r="P9545">
            <v>0</v>
          </cell>
        </row>
        <row r="9546">
          <cell r="K9546">
            <v>0</v>
          </cell>
          <cell r="M9546">
            <v>0</v>
          </cell>
          <cell r="P9546">
            <v>0</v>
          </cell>
        </row>
        <row r="9547">
          <cell r="K9547">
            <v>0</v>
          </cell>
          <cell r="M9547">
            <v>0</v>
          </cell>
          <cell r="P9547">
            <v>0</v>
          </cell>
        </row>
        <row r="9548">
          <cell r="K9548">
            <v>0</v>
          </cell>
          <cell r="M9548">
            <v>0</v>
          </cell>
          <cell r="P9548">
            <v>0</v>
          </cell>
        </row>
        <row r="9549">
          <cell r="K9549">
            <v>0</v>
          </cell>
          <cell r="M9549">
            <v>0</v>
          </cell>
          <cell r="P9549">
            <v>0</v>
          </cell>
        </row>
        <row r="9550">
          <cell r="K9550">
            <v>0</v>
          </cell>
          <cell r="M9550">
            <v>0</v>
          </cell>
          <cell r="P9550">
            <v>0</v>
          </cell>
        </row>
        <row r="9551">
          <cell r="K9551">
            <v>0</v>
          </cell>
          <cell r="M9551">
            <v>0</v>
          </cell>
          <cell r="P9551">
            <v>0</v>
          </cell>
        </row>
        <row r="9552">
          <cell r="K9552">
            <v>0</v>
          </cell>
          <cell r="M9552">
            <v>0</v>
          </cell>
          <cell r="P9552">
            <v>0</v>
          </cell>
        </row>
        <row r="9553">
          <cell r="K9553">
            <v>0</v>
          </cell>
          <cell r="M9553">
            <v>0</v>
          </cell>
          <cell r="P9553">
            <v>0</v>
          </cell>
        </row>
        <row r="9554">
          <cell r="K9554">
            <v>0</v>
          </cell>
          <cell r="M9554">
            <v>0</v>
          </cell>
          <cell r="P9554">
            <v>0</v>
          </cell>
        </row>
        <row r="9555">
          <cell r="K9555">
            <v>0</v>
          </cell>
          <cell r="M9555">
            <v>0</v>
          </cell>
          <cell r="P9555">
            <v>0</v>
          </cell>
        </row>
        <row r="9556">
          <cell r="K9556">
            <v>0</v>
          </cell>
          <cell r="M9556">
            <v>0</v>
          </cell>
          <cell r="P9556">
            <v>0</v>
          </cell>
        </row>
        <row r="9557">
          <cell r="K9557">
            <v>0</v>
          </cell>
          <cell r="M9557">
            <v>0</v>
          </cell>
          <cell r="P9557">
            <v>0</v>
          </cell>
        </row>
        <row r="9558">
          <cell r="K9558">
            <v>0</v>
          </cell>
          <cell r="M9558">
            <v>0</v>
          </cell>
          <cell r="P9558">
            <v>0</v>
          </cell>
        </row>
        <row r="9559">
          <cell r="K9559">
            <v>0</v>
          </cell>
          <cell r="M9559">
            <v>0</v>
          </cell>
          <cell r="P9559">
            <v>0</v>
          </cell>
        </row>
        <row r="9560">
          <cell r="K9560">
            <v>0</v>
          </cell>
          <cell r="M9560">
            <v>0</v>
          </cell>
          <cell r="P9560">
            <v>0</v>
          </cell>
        </row>
        <row r="9561">
          <cell r="K9561">
            <v>0</v>
          </cell>
          <cell r="M9561">
            <v>0</v>
          </cell>
          <cell r="P9561">
            <v>0</v>
          </cell>
        </row>
        <row r="9562">
          <cell r="K9562">
            <v>0</v>
          </cell>
          <cell r="M9562">
            <v>0</v>
          </cell>
          <cell r="P9562">
            <v>0</v>
          </cell>
        </row>
        <row r="9563">
          <cell r="K9563">
            <v>0</v>
          </cell>
          <cell r="M9563">
            <v>0</v>
          </cell>
          <cell r="P9563">
            <v>0</v>
          </cell>
        </row>
        <row r="9564">
          <cell r="K9564">
            <v>0</v>
          </cell>
          <cell r="M9564">
            <v>0</v>
          </cell>
          <cell r="P9564">
            <v>0</v>
          </cell>
        </row>
        <row r="9565">
          <cell r="K9565">
            <v>0</v>
          </cell>
          <cell r="M9565">
            <v>0</v>
          </cell>
          <cell r="P9565">
            <v>0</v>
          </cell>
        </row>
        <row r="9566">
          <cell r="K9566">
            <v>0</v>
          </cell>
          <cell r="M9566">
            <v>0</v>
          </cell>
          <cell r="P9566">
            <v>0</v>
          </cell>
        </row>
        <row r="9567">
          <cell r="K9567">
            <v>0</v>
          </cell>
          <cell r="M9567">
            <v>0</v>
          </cell>
          <cell r="P9567">
            <v>0</v>
          </cell>
        </row>
        <row r="9568">
          <cell r="K9568">
            <v>0</v>
          </cell>
          <cell r="M9568">
            <v>0</v>
          </cell>
          <cell r="P9568">
            <v>0</v>
          </cell>
        </row>
        <row r="9569">
          <cell r="K9569">
            <v>0</v>
          </cell>
          <cell r="M9569">
            <v>0</v>
          </cell>
          <cell r="P9569">
            <v>0</v>
          </cell>
        </row>
        <row r="9570">
          <cell r="K9570">
            <v>0</v>
          </cell>
          <cell r="M9570">
            <v>0</v>
          </cell>
          <cell r="P9570">
            <v>0</v>
          </cell>
        </row>
        <row r="9571">
          <cell r="K9571">
            <v>0</v>
          </cell>
          <cell r="M9571">
            <v>0</v>
          </cell>
          <cell r="P9571">
            <v>0</v>
          </cell>
        </row>
        <row r="9572">
          <cell r="K9572">
            <v>0</v>
          </cell>
          <cell r="M9572">
            <v>0</v>
          </cell>
          <cell r="P9572">
            <v>0</v>
          </cell>
        </row>
        <row r="9573">
          <cell r="K9573">
            <v>0</v>
          </cell>
          <cell r="M9573">
            <v>0</v>
          </cell>
          <cell r="P9573">
            <v>0</v>
          </cell>
        </row>
        <row r="9574">
          <cell r="K9574">
            <v>0</v>
          </cell>
          <cell r="M9574">
            <v>0</v>
          </cell>
          <cell r="P9574">
            <v>0</v>
          </cell>
        </row>
        <row r="9575">
          <cell r="K9575">
            <v>0</v>
          </cell>
          <cell r="M9575">
            <v>0</v>
          </cell>
          <cell r="P9575">
            <v>0</v>
          </cell>
        </row>
        <row r="9576">
          <cell r="K9576">
            <v>0</v>
          </cell>
          <cell r="M9576">
            <v>0</v>
          </cell>
          <cell r="P9576">
            <v>0</v>
          </cell>
        </row>
        <row r="9577">
          <cell r="K9577">
            <v>0</v>
          </cell>
          <cell r="M9577">
            <v>0</v>
          </cell>
          <cell r="P9577">
            <v>0</v>
          </cell>
        </row>
        <row r="9578">
          <cell r="K9578">
            <v>0</v>
          </cell>
          <cell r="M9578">
            <v>0</v>
          </cell>
          <cell r="P9578">
            <v>0</v>
          </cell>
        </row>
        <row r="9579">
          <cell r="K9579">
            <v>0</v>
          </cell>
          <cell r="M9579">
            <v>0</v>
          </cell>
          <cell r="P9579">
            <v>0</v>
          </cell>
        </row>
        <row r="9580">
          <cell r="K9580">
            <v>0</v>
          </cell>
          <cell r="M9580">
            <v>0</v>
          </cell>
          <cell r="P9580">
            <v>0</v>
          </cell>
        </row>
        <row r="9581">
          <cell r="K9581">
            <v>0</v>
          </cell>
          <cell r="M9581">
            <v>0</v>
          </cell>
          <cell r="P9581">
            <v>0</v>
          </cell>
        </row>
        <row r="9582">
          <cell r="K9582">
            <v>0</v>
          </cell>
          <cell r="M9582">
            <v>0</v>
          </cell>
          <cell r="P9582">
            <v>0</v>
          </cell>
        </row>
        <row r="9583">
          <cell r="K9583">
            <v>0</v>
          </cell>
          <cell r="M9583">
            <v>0</v>
          </cell>
          <cell r="P9583">
            <v>0</v>
          </cell>
        </row>
        <row r="9584">
          <cell r="K9584">
            <v>0</v>
          </cell>
          <cell r="M9584">
            <v>0</v>
          </cell>
          <cell r="P9584">
            <v>0</v>
          </cell>
        </row>
        <row r="9585">
          <cell r="K9585">
            <v>0</v>
          </cell>
          <cell r="M9585">
            <v>0</v>
          </cell>
          <cell r="P9585">
            <v>0</v>
          </cell>
        </row>
        <row r="9586">
          <cell r="K9586">
            <v>0</v>
          </cell>
          <cell r="M9586">
            <v>0</v>
          </cell>
          <cell r="P9586">
            <v>0</v>
          </cell>
        </row>
        <row r="9587">
          <cell r="K9587">
            <v>0</v>
          </cell>
          <cell r="M9587">
            <v>0</v>
          </cell>
          <cell r="P9587">
            <v>0</v>
          </cell>
        </row>
        <row r="9588">
          <cell r="K9588">
            <v>0</v>
          </cell>
          <cell r="M9588">
            <v>0</v>
          </cell>
          <cell r="P9588">
            <v>0</v>
          </cell>
        </row>
        <row r="9589">
          <cell r="K9589">
            <v>0</v>
          </cell>
          <cell r="M9589">
            <v>0</v>
          </cell>
          <cell r="P9589">
            <v>0</v>
          </cell>
        </row>
        <row r="9590">
          <cell r="K9590">
            <v>0</v>
          </cell>
          <cell r="M9590">
            <v>0</v>
          </cell>
          <cell r="P9590">
            <v>0</v>
          </cell>
        </row>
        <row r="9591">
          <cell r="K9591">
            <v>0</v>
          </cell>
          <cell r="M9591">
            <v>0</v>
          </cell>
          <cell r="P9591">
            <v>0</v>
          </cell>
        </row>
        <row r="9592">
          <cell r="K9592">
            <v>0</v>
          </cell>
          <cell r="M9592">
            <v>0</v>
          </cell>
          <cell r="P9592">
            <v>0</v>
          </cell>
        </row>
        <row r="9593">
          <cell r="K9593">
            <v>0</v>
          </cell>
          <cell r="M9593">
            <v>0</v>
          </cell>
          <cell r="P9593">
            <v>0</v>
          </cell>
        </row>
        <row r="9594">
          <cell r="K9594">
            <v>0</v>
          </cell>
          <cell r="M9594">
            <v>0</v>
          </cell>
          <cell r="P9594">
            <v>0</v>
          </cell>
        </row>
        <row r="9595">
          <cell r="K9595">
            <v>0</v>
          </cell>
          <cell r="M9595">
            <v>0</v>
          </cell>
          <cell r="P9595">
            <v>0</v>
          </cell>
        </row>
        <row r="9596">
          <cell r="K9596">
            <v>0</v>
          </cell>
          <cell r="M9596">
            <v>0</v>
          </cell>
          <cell r="P9596">
            <v>0</v>
          </cell>
        </row>
        <row r="9597">
          <cell r="K9597">
            <v>0</v>
          </cell>
          <cell r="M9597">
            <v>0</v>
          </cell>
          <cell r="P9597">
            <v>0</v>
          </cell>
        </row>
        <row r="9598">
          <cell r="K9598">
            <v>0</v>
          </cell>
          <cell r="M9598">
            <v>0</v>
          </cell>
          <cell r="P9598">
            <v>0</v>
          </cell>
        </row>
        <row r="9599">
          <cell r="K9599">
            <v>0</v>
          </cell>
          <cell r="M9599">
            <v>0</v>
          </cell>
          <cell r="P9599">
            <v>0</v>
          </cell>
        </row>
        <row r="9600">
          <cell r="K9600">
            <v>0</v>
          </cell>
          <cell r="M9600">
            <v>0</v>
          </cell>
          <cell r="P9600">
            <v>0</v>
          </cell>
        </row>
        <row r="9601">
          <cell r="K9601">
            <v>0</v>
          </cell>
          <cell r="M9601">
            <v>0</v>
          </cell>
          <cell r="P9601">
            <v>0</v>
          </cell>
        </row>
        <row r="9602">
          <cell r="K9602">
            <v>0</v>
          </cell>
          <cell r="M9602">
            <v>0</v>
          </cell>
          <cell r="P9602">
            <v>0</v>
          </cell>
        </row>
        <row r="9603">
          <cell r="K9603">
            <v>0</v>
          </cell>
          <cell r="M9603">
            <v>0</v>
          </cell>
          <cell r="P9603">
            <v>0</v>
          </cell>
        </row>
        <row r="9604">
          <cell r="K9604">
            <v>0</v>
          </cell>
          <cell r="M9604">
            <v>0</v>
          </cell>
          <cell r="P9604">
            <v>0</v>
          </cell>
        </row>
        <row r="9605">
          <cell r="K9605">
            <v>0</v>
          </cell>
          <cell r="M9605">
            <v>0</v>
          </cell>
          <cell r="P9605">
            <v>0</v>
          </cell>
        </row>
        <row r="9606">
          <cell r="K9606">
            <v>0</v>
          </cell>
          <cell r="M9606">
            <v>0</v>
          </cell>
          <cell r="P9606">
            <v>0</v>
          </cell>
        </row>
        <row r="9607">
          <cell r="K9607">
            <v>0</v>
          </cell>
          <cell r="M9607">
            <v>0</v>
          </cell>
          <cell r="P9607">
            <v>0</v>
          </cell>
        </row>
        <row r="9608">
          <cell r="K9608">
            <v>0</v>
          </cell>
          <cell r="M9608">
            <v>0</v>
          </cell>
          <cell r="P9608">
            <v>0</v>
          </cell>
        </row>
        <row r="9609">
          <cell r="K9609">
            <v>0</v>
          </cell>
          <cell r="M9609">
            <v>0</v>
          </cell>
          <cell r="P9609">
            <v>0</v>
          </cell>
        </row>
        <row r="9610">
          <cell r="K9610">
            <v>0</v>
          </cell>
          <cell r="M9610">
            <v>0</v>
          </cell>
          <cell r="P9610">
            <v>0</v>
          </cell>
        </row>
        <row r="9611">
          <cell r="K9611">
            <v>0</v>
          </cell>
          <cell r="M9611">
            <v>0</v>
          </cell>
          <cell r="P9611">
            <v>0</v>
          </cell>
        </row>
        <row r="9612">
          <cell r="K9612">
            <v>0</v>
          </cell>
          <cell r="M9612">
            <v>0</v>
          </cell>
          <cell r="P9612">
            <v>0</v>
          </cell>
        </row>
        <row r="9613">
          <cell r="K9613">
            <v>0</v>
          </cell>
          <cell r="M9613">
            <v>0</v>
          </cell>
          <cell r="P9613">
            <v>0</v>
          </cell>
        </row>
        <row r="9614">
          <cell r="K9614">
            <v>0</v>
          </cell>
          <cell r="M9614">
            <v>0</v>
          </cell>
          <cell r="P9614">
            <v>0</v>
          </cell>
        </row>
        <row r="9615">
          <cell r="K9615">
            <v>0</v>
          </cell>
          <cell r="M9615">
            <v>0</v>
          </cell>
          <cell r="P9615">
            <v>0</v>
          </cell>
        </row>
        <row r="9616">
          <cell r="K9616">
            <v>0</v>
          </cell>
          <cell r="M9616">
            <v>0</v>
          </cell>
          <cell r="P9616">
            <v>0</v>
          </cell>
        </row>
        <row r="9617">
          <cell r="K9617">
            <v>0</v>
          </cell>
          <cell r="M9617">
            <v>0</v>
          </cell>
          <cell r="P9617">
            <v>0</v>
          </cell>
        </row>
        <row r="9618">
          <cell r="K9618">
            <v>0</v>
          </cell>
          <cell r="M9618">
            <v>0</v>
          </cell>
          <cell r="P9618">
            <v>0</v>
          </cell>
        </row>
        <row r="9619">
          <cell r="K9619">
            <v>0</v>
          </cell>
          <cell r="M9619">
            <v>0</v>
          </cell>
          <cell r="P9619">
            <v>0</v>
          </cell>
        </row>
        <row r="9620">
          <cell r="K9620">
            <v>0</v>
          </cell>
          <cell r="M9620">
            <v>0</v>
          </cell>
          <cell r="P9620">
            <v>0</v>
          </cell>
        </row>
        <row r="9621">
          <cell r="K9621">
            <v>0</v>
          </cell>
          <cell r="M9621">
            <v>0</v>
          </cell>
          <cell r="P9621">
            <v>0</v>
          </cell>
        </row>
        <row r="9622">
          <cell r="K9622">
            <v>0</v>
          </cell>
          <cell r="M9622">
            <v>0</v>
          </cell>
          <cell r="P9622">
            <v>0</v>
          </cell>
        </row>
        <row r="9623">
          <cell r="K9623">
            <v>0</v>
          </cell>
          <cell r="M9623">
            <v>0</v>
          </cell>
          <cell r="P9623">
            <v>0</v>
          </cell>
        </row>
        <row r="9624">
          <cell r="K9624">
            <v>0</v>
          </cell>
          <cell r="M9624">
            <v>0</v>
          </cell>
          <cell r="P9624">
            <v>0</v>
          </cell>
        </row>
        <row r="9625">
          <cell r="K9625">
            <v>0</v>
          </cell>
          <cell r="M9625">
            <v>0</v>
          </cell>
          <cell r="P9625">
            <v>0</v>
          </cell>
        </row>
        <row r="9626">
          <cell r="K9626">
            <v>0</v>
          </cell>
          <cell r="M9626">
            <v>0</v>
          </cell>
          <cell r="P9626">
            <v>0</v>
          </cell>
        </row>
        <row r="9627">
          <cell r="K9627">
            <v>0</v>
          </cell>
          <cell r="M9627">
            <v>0</v>
          </cell>
          <cell r="P9627">
            <v>0</v>
          </cell>
        </row>
        <row r="9628">
          <cell r="K9628">
            <v>0</v>
          </cell>
          <cell r="M9628">
            <v>0</v>
          </cell>
          <cell r="P9628">
            <v>0</v>
          </cell>
        </row>
        <row r="9629">
          <cell r="K9629">
            <v>0</v>
          </cell>
          <cell r="M9629">
            <v>0</v>
          </cell>
          <cell r="P9629">
            <v>0</v>
          </cell>
        </row>
        <row r="9630">
          <cell r="K9630">
            <v>0</v>
          </cell>
          <cell r="M9630">
            <v>0</v>
          </cell>
          <cell r="P9630">
            <v>0</v>
          </cell>
        </row>
        <row r="9631">
          <cell r="K9631">
            <v>0</v>
          </cell>
          <cell r="M9631">
            <v>0</v>
          </cell>
          <cell r="P9631">
            <v>0</v>
          </cell>
        </row>
        <row r="9632">
          <cell r="K9632">
            <v>0</v>
          </cell>
          <cell r="M9632">
            <v>0</v>
          </cell>
          <cell r="P9632">
            <v>0</v>
          </cell>
        </row>
        <row r="9633">
          <cell r="K9633">
            <v>0</v>
          </cell>
          <cell r="M9633">
            <v>0</v>
          </cell>
          <cell r="P9633">
            <v>0</v>
          </cell>
        </row>
        <row r="9634">
          <cell r="K9634">
            <v>0</v>
          </cell>
          <cell r="M9634">
            <v>0</v>
          </cell>
          <cell r="P9634">
            <v>0</v>
          </cell>
        </row>
        <row r="9635">
          <cell r="K9635">
            <v>0</v>
          </cell>
          <cell r="M9635">
            <v>0</v>
          </cell>
          <cell r="P9635">
            <v>0</v>
          </cell>
        </row>
        <row r="9636">
          <cell r="K9636">
            <v>0</v>
          </cell>
          <cell r="M9636">
            <v>0</v>
          </cell>
          <cell r="P9636">
            <v>0</v>
          </cell>
        </row>
        <row r="9637">
          <cell r="K9637">
            <v>0</v>
          </cell>
          <cell r="M9637">
            <v>0</v>
          </cell>
          <cell r="P9637">
            <v>0</v>
          </cell>
        </row>
        <row r="9638">
          <cell r="K9638">
            <v>0</v>
          </cell>
          <cell r="M9638">
            <v>0</v>
          </cell>
          <cell r="P9638">
            <v>0</v>
          </cell>
        </row>
        <row r="9639">
          <cell r="K9639">
            <v>0</v>
          </cell>
          <cell r="M9639">
            <v>0</v>
          </cell>
          <cell r="P9639">
            <v>0</v>
          </cell>
        </row>
        <row r="9640">
          <cell r="K9640">
            <v>0</v>
          </cell>
          <cell r="M9640">
            <v>0</v>
          </cell>
          <cell r="P9640">
            <v>0</v>
          </cell>
        </row>
        <row r="9641">
          <cell r="K9641">
            <v>0</v>
          </cell>
          <cell r="M9641">
            <v>0</v>
          </cell>
          <cell r="P9641">
            <v>0</v>
          </cell>
        </row>
        <row r="9642">
          <cell r="K9642">
            <v>0</v>
          </cell>
          <cell r="M9642">
            <v>0</v>
          </cell>
          <cell r="P9642">
            <v>0</v>
          </cell>
        </row>
        <row r="9643">
          <cell r="K9643">
            <v>0</v>
          </cell>
          <cell r="M9643">
            <v>0</v>
          </cell>
          <cell r="P9643">
            <v>0</v>
          </cell>
        </row>
        <row r="9644">
          <cell r="K9644">
            <v>0</v>
          </cell>
          <cell r="M9644">
            <v>0</v>
          </cell>
          <cell r="P9644">
            <v>0</v>
          </cell>
        </row>
        <row r="9645">
          <cell r="K9645">
            <v>0</v>
          </cell>
          <cell r="M9645">
            <v>0</v>
          </cell>
          <cell r="P9645">
            <v>0</v>
          </cell>
        </row>
        <row r="9646">
          <cell r="K9646">
            <v>0</v>
          </cell>
          <cell r="M9646">
            <v>0</v>
          </cell>
          <cell r="P9646">
            <v>0</v>
          </cell>
        </row>
        <row r="9647">
          <cell r="K9647">
            <v>0</v>
          </cell>
          <cell r="M9647">
            <v>0</v>
          </cell>
          <cell r="P9647">
            <v>0</v>
          </cell>
        </row>
        <row r="9648">
          <cell r="K9648">
            <v>0</v>
          </cell>
          <cell r="M9648">
            <v>0</v>
          </cell>
          <cell r="P9648">
            <v>0</v>
          </cell>
        </row>
        <row r="9649">
          <cell r="K9649">
            <v>0</v>
          </cell>
          <cell r="M9649">
            <v>0</v>
          </cell>
          <cell r="P9649">
            <v>0</v>
          </cell>
        </row>
        <row r="9650">
          <cell r="K9650">
            <v>0</v>
          </cell>
          <cell r="M9650">
            <v>0</v>
          </cell>
          <cell r="P9650">
            <v>0</v>
          </cell>
        </row>
        <row r="9651">
          <cell r="K9651">
            <v>0</v>
          </cell>
          <cell r="M9651">
            <v>0</v>
          </cell>
          <cell r="P9651">
            <v>0</v>
          </cell>
        </row>
        <row r="9652">
          <cell r="K9652">
            <v>0</v>
          </cell>
          <cell r="M9652">
            <v>0</v>
          </cell>
          <cell r="P9652">
            <v>0</v>
          </cell>
        </row>
        <row r="9653">
          <cell r="K9653">
            <v>0</v>
          </cell>
          <cell r="M9653">
            <v>0</v>
          </cell>
          <cell r="P9653">
            <v>0</v>
          </cell>
        </row>
        <row r="9654">
          <cell r="K9654">
            <v>0</v>
          </cell>
          <cell r="M9654">
            <v>0</v>
          </cell>
          <cell r="P9654">
            <v>0</v>
          </cell>
        </row>
        <row r="9655">
          <cell r="K9655">
            <v>0</v>
          </cell>
          <cell r="M9655">
            <v>0</v>
          </cell>
          <cell r="P9655">
            <v>0</v>
          </cell>
        </row>
        <row r="9656">
          <cell r="K9656">
            <v>0</v>
          </cell>
          <cell r="M9656">
            <v>0</v>
          </cell>
          <cell r="P9656">
            <v>0</v>
          </cell>
        </row>
        <row r="9657">
          <cell r="K9657">
            <v>0</v>
          </cell>
          <cell r="M9657">
            <v>0</v>
          </cell>
          <cell r="P9657">
            <v>0</v>
          </cell>
        </row>
        <row r="9658">
          <cell r="K9658">
            <v>0</v>
          </cell>
          <cell r="M9658">
            <v>0</v>
          </cell>
          <cell r="P9658">
            <v>0</v>
          </cell>
        </row>
        <row r="9659">
          <cell r="K9659">
            <v>0</v>
          </cell>
          <cell r="M9659">
            <v>0</v>
          </cell>
          <cell r="P9659">
            <v>0</v>
          </cell>
        </row>
        <row r="9660">
          <cell r="K9660">
            <v>0</v>
          </cell>
          <cell r="M9660">
            <v>0</v>
          </cell>
          <cell r="P9660">
            <v>0</v>
          </cell>
        </row>
        <row r="9661">
          <cell r="K9661">
            <v>0</v>
          </cell>
          <cell r="M9661">
            <v>0</v>
          </cell>
          <cell r="P9661">
            <v>0</v>
          </cell>
        </row>
        <row r="9662">
          <cell r="K9662">
            <v>0</v>
          </cell>
          <cell r="M9662">
            <v>0</v>
          </cell>
          <cell r="P9662">
            <v>0</v>
          </cell>
        </row>
        <row r="9663">
          <cell r="K9663">
            <v>0</v>
          </cell>
          <cell r="M9663">
            <v>0</v>
          </cell>
          <cell r="P9663">
            <v>0</v>
          </cell>
        </row>
        <row r="9664">
          <cell r="K9664">
            <v>0</v>
          </cell>
          <cell r="M9664">
            <v>0</v>
          </cell>
          <cell r="P9664">
            <v>0</v>
          </cell>
        </row>
        <row r="9665">
          <cell r="K9665">
            <v>0</v>
          </cell>
          <cell r="M9665">
            <v>0</v>
          </cell>
          <cell r="P9665">
            <v>0</v>
          </cell>
        </row>
        <row r="9666">
          <cell r="K9666">
            <v>0</v>
          </cell>
          <cell r="M9666">
            <v>0</v>
          </cell>
          <cell r="P9666">
            <v>0</v>
          </cell>
        </row>
        <row r="9667">
          <cell r="K9667">
            <v>0</v>
          </cell>
          <cell r="M9667">
            <v>0</v>
          </cell>
          <cell r="P9667">
            <v>0</v>
          </cell>
        </row>
        <row r="9668">
          <cell r="K9668">
            <v>0</v>
          </cell>
          <cell r="M9668">
            <v>0</v>
          </cell>
          <cell r="P9668">
            <v>0</v>
          </cell>
        </row>
        <row r="9669">
          <cell r="K9669">
            <v>0</v>
          </cell>
          <cell r="M9669">
            <v>0</v>
          </cell>
          <cell r="P9669">
            <v>0</v>
          </cell>
        </row>
        <row r="9670">
          <cell r="K9670">
            <v>0</v>
          </cell>
          <cell r="M9670">
            <v>0</v>
          </cell>
          <cell r="P9670">
            <v>0</v>
          </cell>
        </row>
        <row r="9671">
          <cell r="K9671">
            <v>0</v>
          </cell>
          <cell r="M9671">
            <v>0</v>
          </cell>
          <cell r="P9671">
            <v>0</v>
          </cell>
        </row>
        <row r="9672">
          <cell r="K9672">
            <v>0</v>
          </cell>
          <cell r="M9672">
            <v>0</v>
          </cell>
          <cell r="P9672">
            <v>0</v>
          </cell>
        </row>
        <row r="9673">
          <cell r="K9673">
            <v>0</v>
          </cell>
          <cell r="M9673">
            <v>0</v>
          </cell>
          <cell r="P9673">
            <v>0</v>
          </cell>
        </row>
        <row r="9674">
          <cell r="K9674">
            <v>0</v>
          </cell>
          <cell r="M9674">
            <v>0</v>
          </cell>
          <cell r="P9674">
            <v>0</v>
          </cell>
        </row>
        <row r="9675">
          <cell r="K9675">
            <v>0</v>
          </cell>
          <cell r="M9675">
            <v>0</v>
          </cell>
          <cell r="P9675">
            <v>0</v>
          </cell>
        </row>
        <row r="9676">
          <cell r="K9676">
            <v>0</v>
          </cell>
          <cell r="M9676">
            <v>0</v>
          </cell>
          <cell r="P9676">
            <v>0</v>
          </cell>
        </row>
        <row r="9677">
          <cell r="K9677">
            <v>0</v>
          </cell>
          <cell r="M9677">
            <v>0</v>
          </cell>
          <cell r="P9677">
            <v>0</v>
          </cell>
        </row>
        <row r="9678">
          <cell r="K9678">
            <v>0</v>
          </cell>
          <cell r="M9678">
            <v>0</v>
          </cell>
          <cell r="P9678">
            <v>0</v>
          </cell>
        </row>
        <row r="9679">
          <cell r="K9679">
            <v>0</v>
          </cell>
          <cell r="M9679">
            <v>0</v>
          </cell>
          <cell r="P9679">
            <v>0</v>
          </cell>
        </row>
        <row r="9680">
          <cell r="K9680">
            <v>0</v>
          </cell>
          <cell r="M9680">
            <v>0</v>
          </cell>
          <cell r="P9680">
            <v>0</v>
          </cell>
        </row>
        <row r="9681">
          <cell r="K9681">
            <v>0</v>
          </cell>
          <cell r="M9681">
            <v>0</v>
          </cell>
          <cell r="P9681">
            <v>0</v>
          </cell>
        </row>
        <row r="9682">
          <cell r="K9682">
            <v>0</v>
          </cell>
          <cell r="M9682">
            <v>0</v>
          </cell>
          <cell r="P9682">
            <v>0</v>
          </cell>
        </row>
        <row r="9683">
          <cell r="K9683">
            <v>0</v>
          </cell>
          <cell r="M9683">
            <v>0</v>
          </cell>
          <cell r="P9683">
            <v>0</v>
          </cell>
        </row>
        <row r="9684">
          <cell r="K9684">
            <v>0</v>
          </cell>
          <cell r="M9684">
            <v>0</v>
          </cell>
          <cell r="P9684">
            <v>0</v>
          </cell>
        </row>
        <row r="9685">
          <cell r="K9685">
            <v>0</v>
          </cell>
          <cell r="M9685">
            <v>0</v>
          </cell>
          <cell r="P9685">
            <v>0</v>
          </cell>
        </row>
        <row r="9686">
          <cell r="K9686">
            <v>0</v>
          </cell>
          <cell r="M9686">
            <v>0</v>
          </cell>
          <cell r="P9686">
            <v>0</v>
          </cell>
        </row>
        <row r="9687">
          <cell r="K9687">
            <v>0</v>
          </cell>
          <cell r="M9687">
            <v>0</v>
          </cell>
          <cell r="P9687">
            <v>0</v>
          </cell>
        </row>
        <row r="9688">
          <cell r="K9688">
            <v>0</v>
          </cell>
          <cell r="M9688">
            <v>0</v>
          </cell>
          <cell r="P9688">
            <v>0</v>
          </cell>
        </row>
        <row r="9689">
          <cell r="K9689">
            <v>0</v>
          </cell>
          <cell r="M9689">
            <v>0</v>
          </cell>
          <cell r="P9689">
            <v>0</v>
          </cell>
        </row>
        <row r="9690">
          <cell r="K9690">
            <v>0</v>
          </cell>
          <cell r="M9690">
            <v>0</v>
          </cell>
          <cell r="P9690">
            <v>0</v>
          </cell>
        </row>
        <row r="9691">
          <cell r="K9691">
            <v>0</v>
          </cell>
          <cell r="M9691">
            <v>0</v>
          </cell>
          <cell r="P9691">
            <v>0</v>
          </cell>
        </row>
        <row r="9692">
          <cell r="K9692">
            <v>0</v>
          </cell>
          <cell r="M9692">
            <v>0</v>
          </cell>
          <cell r="P9692">
            <v>0</v>
          </cell>
        </row>
        <row r="9693">
          <cell r="K9693">
            <v>0</v>
          </cell>
          <cell r="M9693">
            <v>0</v>
          </cell>
          <cell r="P9693">
            <v>0</v>
          </cell>
        </row>
        <row r="9694">
          <cell r="K9694">
            <v>0</v>
          </cell>
          <cell r="M9694">
            <v>0</v>
          </cell>
          <cell r="P9694">
            <v>0</v>
          </cell>
        </row>
        <row r="9695">
          <cell r="K9695">
            <v>0</v>
          </cell>
          <cell r="M9695">
            <v>0</v>
          </cell>
          <cell r="P9695">
            <v>0</v>
          </cell>
        </row>
        <row r="9696">
          <cell r="K9696">
            <v>0</v>
          </cell>
          <cell r="M9696">
            <v>0</v>
          </cell>
          <cell r="P9696">
            <v>0</v>
          </cell>
        </row>
        <row r="9697">
          <cell r="K9697">
            <v>0</v>
          </cell>
          <cell r="M9697">
            <v>0</v>
          </cell>
          <cell r="P9697">
            <v>0</v>
          </cell>
        </row>
        <row r="9698">
          <cell r="K9698">
            <v>0</v>
          </cell>
          <cell r="M9698">
            <v>0</v>
          </cell>
          <cell r="P9698">
            <v>0</v>
          </cell>
        </row>
        <row r="9699">
          <cell r="K9699">
            <v>0</v>
          </cell>
          <cell r="M9699">
            <v>0</v>
          </cell>
          <cell r="P9699">
            <v>0</v>
          </cell>
        </row>
        <row r="9700">
          <cell r="K9700">
            <v>0</v>
          </cell>
          <cell r="M9700">
            <v>0</v>
          </cell>
          <cell r="P9700">
            <v>0</v>
          </cell>
        </row>
        <row r="9701">
          <cell r="K9701">
            <v>0</v>
          </cell>
          <cell r="M9701">
            <v>0</v>
          </cell>
          <cell r="P9701">
            <v>0</v>
          </cell>
        </row>
        <row r="9702">
          <cell r="K9702">
            <v>0</v>
          </cell>
          <cell r="M9702">
            <v>0</v>
          </cell>
          <cell r="P9702">
            <v>0</v>
          </cell>
        </row>
        <row r="9703">
          <cell r="K9703">
            <v>0</v>
          </cell>
          <cell r="M9703">
            <v>0</v>
          </cell>
          <cell r="P9703">
            <v>0</v>
          </cell>
        </row>
        <row r="9704">
          <cell r="K9704">
            <v>0</v>
          </cell>
          <cell r="M9704">
            <v>0</v>
          </cell>
          <cell r="P9704">
            <v>0</v>
          </cell>
        </row>
        <row r="9705">
          <cell r="K9705">
            <v>0</v>
          </cell>
          <cell r="M9705">
            <v>0</v>
          </cell>
          <cell r="P9705">
            <v>0</v>
          </cell>
        </row>
        <row r="9706">
          <cell r="K9706">
            <v>0</v>
          </cell>
          <cell r="M9706">
            <v>0</v>
          </cell>
          <cell r="P9706">
            <v>0</v>
          </cell>
        </row>
        <row r="9707">
          <cell r="K9707">
            <v>0</v>
          </cell>
          <cell r="M9707">
            <v>0</v>
          </cell>
          <cell r="P9707">
            <v>0</v>
          </cell>
        </row>
        <row r="9708">
          <cell r="K9708">
            <v>0</v>
          </cell>
          <cell r="M9708">
            <v>0</v>
          </cell>
          <cell r="P9708">
            <v>0</v>
          </cell>
        </row>
        <row r="9709">
          <cell r="K9709">
            <v>0</v>
          </cell>
          <cell r="M9709">
            <v>0</v>
          </cell>
          <cell r="P9709">
            <v>0</v>
          </cell>
        </row>
        <row r="9710">
          <cell r="K9710">
            <v>0</v>
          </cell>
          <cell r="M9710">
            <v>0</v>
          </cell>
          <cell r="P9710">
            <v>0</v>
          </cell>
        </row>
        <row r="9711">
          <cell r="K9711">
            <v>0</v>
          </cell>
          <cell r="M9711">
            <v>0</v>
          </cell>
          <cell r="P9711">
            <v>0</v>
          </cell>
        </row>
        <row r="9712">
          <cell r="K9712">
            <v>0</v>
          </cell>
          <cell r="M9712">
            <v>0</v>
          </cell>
          <cell r="P9712">
            <v>0</v>
          </cell>
        </row>
        <row r="9713">
          <cell r="K9713">
            <v>0</v>
          </cell>
          <cell r="M9713">
            <v>0</v>
          </cell>
          <cell r="P9713">
            <v>0</v>
          </cell>
        </row>
        <row r="9714">
          <cell r="K9714">
            <v>0</v>
          </cell>
          <cell r="M9714">
            <v>0</v>
          </cell>
          <cell r="P9714">
            <v>0</v>
          </cell>
        </row>
        <row r="9715">
          <cell r="K9715">
            <v>0</v>
          </cell>
          <cell r="M9715">
            <v>0</v>
          </cell>
          <cell r="P9715">
            <v>0</v>
          </cell>
        </row>
        <row r="9716">
          <cell r="K9716">
            <v>0</v>
          </cell>
          <cell r="M9716">
            <v>0</v>
          </cell>
          <cell r="P9716">
            <v>0</v>
          </cell>
        </row>
        <row r="9717">
          <cell r="K9717">
            <v>0</v>
          </cell>
          <cell r="M9717">
            <v>0</v>
          </cell>
          <cell r="P9717">
            <v>0</v>
          </cell>
        </row>
        <row r="9718">
          <cell r="K9718">
            <v>0</v>
          </cell>
          <cell r="M9718">
            <v>0</v>
          </cell>
          <cell r="P9718">
            <v>0</v>
          </cell>
        </row>
        <row r="9719">
          <cell r="K9719">
            <v>0</v>
          </cell>
          <cell r="M9719">
            <v>0</v>
          </cell>
          <cell r="P9719">
            <v>0</v>
          </cell>
        </row>
        <row r="9720">
          <cell r="K9720">
            <v>0</v>
          </cell>
          <cell r="M9720">
            <v>0</v>
          </cell>
          <cell r="P9720">
            <v>0</v>
          </cell>
        </row>
        <row r="9721">
          <cell r="K9721">
            <v>0</v>
          </cell>
          <cell r="M9721">
            <v>0</v>
          </cell>
          <cell r="P9721">
            <v>0</v>
          </cell>
        </row>
        <row r="9722">
          <cell r="K9722">
            <v>0</v>
          </cell>
          <cell r="M9722">
            <v>0</v>
          </cell>
          <cell r="P9722">
            <v>0</v>
          </cell>
        </row>
        <row r="9723">
          <cell r="K9723">
            <v>0</v>
          </cell>
          <cell r="M9723">
            <v>0</v>
          </cell>
          <cell r="P9723">
            <v>0</v>
          </cell>
        </row>
        <row r="9724">
          <cell r="K9724">
            <v>0</v>
          </cell>
          <cell r="M9724">
            <v>0</v>
          </cell>
          <cell r="P9724">
            <v>0</v>
          </cell>
        </row>
        <row r="9725">
          <cell r="K9725">
            <v>0</v>
          </cell>
          <cell r="M9725">
            <v>0</v>
          </cell>
          <cell r="P9725">
            <v>0</v>
          </cell>
        </row>
        <row r="9726">
          <cell r="K9726">
            <v>0</v>
          </cell>
          <cell r="M9726">
            <v>0</v>
          </cell>
          <cell r="P9726">
            <v>0</v>
          </cell>
        </row>
        <row r="9727">
          <cell r="K9727">
            <v>0</v>
          </cell>
          <cell r="M9727">
            <v>0</v>
          </cell>
          <cell r="P9727">
            <v>0</v>
          </cell>
        </row>
        <row r="9728">
          <cell r="K9728">
            <v>0</v>
          </cell>
          <cell r="M9728">
            <v>0</v>
          </cell>
          <cell r="P9728">
            <v>0</v>
          </cell>
        </row>
        <row r="9729">
          <cell r="K9729">
            <v>0</v>
          </cell>
          <cell r="M9729">
            <v>0</v>
          </cell>
          <cell r="P9729">
            <v>0</v>
          </cell>
        </row>
        <row r="9730">
          <cell r="K9730">
            <v>0</v>
          </cell>
          <cell r="M9730">
            <v>0</v>
          </cell>
          <cell r="P9730">
            <v>0</v>
          </cell>
        </row>
        <row r="9731">
          <cell r="K9731">
            <v>0</v>
          </cell>
          <cell r="M9731">
            <v>0</v>
          </cell>
          <cell r="P9731">
            <v>0</v>
          </cell>
        </row>
        <row r="9732">
          <cell r="K9732">
            <v>0</v>
          </cell>
          <cell r="M9732">
            <v>0</v>
          </cell>
          <cell r="P9732">
            <v>0</v>
          </cell>
        </row>
        <row r="9733">
          <cell r="K9733">
            <v>0</v>
          </cell>
          <cell r="M9733">
            <v>0</v>
          </cell>
          <cell r="P9733">
            <v>0</v>
          </cell>
        </row>
        <row r="9734">
          <cell r="K9734">
            <v>0</v>
          </cell>
          <cell r="M9734">
            <v>0</v>
          </cell>
          <cell r="P9734">
            <v>0</v>
          </cell>
        </row>
        <row r="9735">
          <cell r="K9735">
            <v>0</v>
          </cell>
          <cell r="M9735">
            <v>0</v>
          </cell>
          <cell r="P9735">
            <v>0</v>
          </cell>
        </row>
        <row r="9736">
          <cell r="K9736">
            <v>0</v>
          </cell>
          <cell r="M9736">
            <v>0</v>
          </cell>
          <cell r="P9736">
            <v>0</v>
          </cell>
        </row>
        <row r="9737">
          <cell r="K9737">
            <v>0</v>
          </cell>
          <cell r="M9737">
            <v>0</v>
          </cell>
          <cell r="P9737">
            <v>0</v>
          </cell>
        </row>
        <row r="9738">
          <cell r="K9738">
            <v>0</v>
          </cell>
          <cell r="M9738">
            <v>0</v>
          </cell>
          <cell r="P9738">
            <v>0</v>
          </cell>
        </row>
        <row r="9739">
          <cell r="K9739">
            <v>0</v>
          </cell>
          <cell r="M9739">
            <v>0</v>
          </cell>
          <cell r="P9739">
            <v>0</v>
          </cell>
        </row>
        <row r="9740">
          <cell r="K9740">
            <v>0</v>
          </cell>
          <cell r="M9740">
            <v>0</v>
          </cell>
          <cell r="P9740">
            <v>0</v>
          </cell>
        </row>
        <row r="9741">
          <cell r="K9741">
            <v>0</v>
          </cell>
          <cell r="M9741">
            <v>0</v>
          </cell>
          <cell r="P9741">
            <v>0</v>
          </cell>
        </row>
        <row r="9742">
          <cell r="K9742">
            <v>0</v>
          </cell>
          <cell r="M9742">
            <v>0</v>
          </cell>
          <cell r="P9742">
            <v>0</v>
          </cell>
        </row>
        <row r="9743">
          <cell r="K9743">
            <v>0</v>
          </cell>
          <cell r="M9743">
            <v>0</v>
          </cell>
          <cell r="P9743">
            <v>0</v>
          </cell>
        </row>
        <row r="9744">
          <cell r="K9744">
            <v>0</v>
          </cell>
          <cell r="M9744">
            <v>0</v>
          </cell>
          <cell r="P9744">
            <v>0</v>
          </cell>
        </row>
        <row r="9745">
          <cell r="K9745">
            <v>0</v>
          </cell>
          <cell r="M9745">
            <v>0</v>
          </cell>
          <cell r="P9745">
            <v>0</v>
          </cell>
        </row>
        <row r="9746">
          <cell r="K9746">
            <v>0</v>
          </cell>
          <cell r="M9746">
            <v>0</v>
          </cell>
          <cell r="P9746">
            <v>0</v>
          </cell>
        </row>
        <row r="9747">
          <cell r="K9747">
            <v>0</v>
          </cell>
          <cell r="M9747">
            <v>0</v>
          </cell>
          <cell r="P9747">
            <v>0</v>
          </cell>
        </row>
        <row r="9748">
          <cell r="K9748">
            <v>0</v>
          </cell>
          <cell r="M9748">
            <v>0</v>
          </cell>
          <cell r="P9748">
            <v>0</v>
          </cell>
        </row>
        <row r="9749">
          <cell r="K9749">
            <v>0</v>
          </cell>
          <cell r="M9749">
            <v>0</v>
          </cell>
          <cell r="P9749">
            <v>0</v>
          </cell>
        </row>
        <row r="9750">
          <cell r="K9750">
            <v>0</v>
          </cell>
          <cell r="M9750">
            <v>0</v>
          </cell>
          <cell r="P9750">
            <v>0</v>
          </cell>
        </row>
        <row r="9751">
          <cell r="K9751">
            <v>0</v>
          </cell>
          <cell r="M9751">
            <v>0</v>
          </cell>
          <cell r="P9751">
            <v>0</v>
          </cell>
        </row>
        <row r="9752">
          <cell r="K9752">
            <v>0</v>
          </cell>
          <cell r="M9752">
            <v>0</v>
          </cell>
          <cell r="P9752">
            <v>0</v>
          </cell>
        </row>
        <row r="9753">
          <cell r="K9753">
            <v>0</v>
          </cell>
          <cell r="M9753">
            <v>0</v>
          </cell>
          <cell r="P9753">
            <v>0</v>
          </cell>
        </row>
        <row r="9754">
          <cell r="K9754">
            <v>0</v>
          </cell>
          <cell r="M9754">
            <v>0</v>
          </cell>
          <cell r="P9754">
            <v>0</v>
          </cell>
        </row>
        <row r="9755">
          <cell r="K9755">
            <v>0</v>
          </cell>
          <cell r="M9755">
            <v>0</v>
          </cell>
          <cell r="P9755">
            <v>0</v>
          </cell>
        </row>
        <row r="9756">
          <cell r="K9756">
            <v>0</v>
          </cell>
          <cell r="M9756">
            <v>0</v>
          </cell>
          <cell r="P9756">
            <v>0</v>
          </cell>
        </row>
        <row r="9757">
          <cell r="K9757">
            <v>0</v>
          </cell>
          <cell r="M9757">
            <v>0</v>
          </cell>
          <cell r="P9757">
            <v>0</v>
          </cell>
        </row>
        <row r="9758">
          <cell r="K9758">
            <v>0</v>
          </cell>
          <cell r="M9758">
            <v>0</v>
          </cell>
          <cell r="P9758">
            <v>0</v>
          </cell>
        </row>
        <row r="9759">
          <cell r="K9759">
            <v>0</v>
          </cell>
          <cell r="M9759">
            <v>0</v>
          </cell>
          <cell r="P9759">
            <v>0</v>
          </cell>
        </row>
        <row r="9760">
          <cell r="K9760">
            <v>0</v>
          </cell>
          <cell r="M9760">
            <v>0</v>
          </cell>
          <cell r="P9760">
            <v>0</v>
          </cell>
        </row>
        <row r="9761">
          <cell r="K9761">
            <v>0</v>
          </cell>
          <cell r="M9761">
            <v>0</v>
          </cell>
          <cell r="P9761">
            <v>0</v>
          </cell>
        </row>
        <row r="9762">
          <cell r="K9762">
            <v>0</v>
          </cell>
          <cell r="M9762">
            <v>0</v>
          </cell>
          <cell r="P9762">
            <v>0</v>
          </cell>
        </row>
        <row r="9763">
          <cell r="K9763">
            <v>0</v>
          </cell>
          <cell r="M9763">
            <v>0</v>
          </cell>
          <cell r="P9763">
            <v>0</v>
          </cell>
        </row>
        <row r="9764">
          <cell r="K9764">
            <v>0</v>
          </cell>
          <cell r="M9764">
            <v>0</v>
          </cell>
          <cell r="P9764">
            <v>0</v>
          </cell>
        </row>
        <row r="9765">
          <cell r="K9765">
            <v>0</v>
          </cell>
          <cell r="M9765">
            <v>0</v>
          </cell>
          <cell r="P9765">
            <v>0</v>
          </cell>
        </row>
        <row r="9766">
          <cell r="K9766">
            <v>0</v>
          </cell>
          <cell r="M9766">
            <v>0</v>
          </cell>
          <cell r="P9766">
            <v>0</v>
          </cell>
        </row>
        <row r="9767">
          <cell r="K9767">
            <v>0</v>
          </cell>
          <cell r="M9767">
            <v>0</v>
          </cell>
          <cell r="P9767">
            <v>0</v>
          </cell>
        </row>
        <row r="9768">
          <cell r="K9768">
            <v>0</v>
          </cell>
          <cell r="M9768">
            <v>0</v>
          </cell>
          <cell r="P9768">
            <v>0</v>
          </cell>
        </row>
        <row r="9769">
          <cell r="K9769">
            <v>0</v>
          </cell>
          <cell r="M9769">
            <v>0</v>
          </cell>
          <cell r="P9769">
            <v>0</v>
          </cell>
        </row>
        <row r="9770">
          <cell r="K9770">
            <v>0</v>
          </cell>
          <cell r="M9770">
            <v>0</v>
          </cell>
          <cell r="P9770">
            <v>0</v>
          </cell>
        </row>
        <row r="9771">
          <cell r="K9771">
            <v>0</v>
          </cell>
          <cell r="M9771">
            <v>0</v>
          </cell>
          <cell r="P9771">
            <v>0</v>
          </cell>
        </row>
        <row r="9772">
          <cell r="K9772">
            <v>0</v>
          </cell>
          <cell r="M9772">
            <v>0</v>
          </cell>
          <cell r="P9772">
            <v>0</v>
          </cell>
        </row>
        <row r="9773">
          <cell r="K9773">
            <v>0</v>
          </cell>
          <cell r="M9773">
            <v>0</v>
          </cell>
          <cell r="P9773">
            <v>0</v>
          </cell>
        </row>
        <row r="9774">
          <cell r="K9774">
            <v>0</v>
          </cell>
          <cell r="M9774">
            <v>0</v>
          </cell>
          <cell r="P9774">
            <v>0</v>
          </cell>
        </row>
        <row r="9775">
          <cell r="K9775">
            <v>0</v>
          </cell>
          <cell r="M9775">
            <v>0</v>
          </cell>
          <cell r="P9775">
            <v>0</v>
          </cell>
        </row>
        <row r="9776">
          <cell r="K9776">
            <v>0</v>
          </cell>
          <cell r="M9776">
            <v>0</v>
          </cell>
          <cell r="P9776">
            <v>0</v>
          </cell>
        </row>
        <row r="9777">
          <cell r="K9777">
            <v>0</v>
          </cell>
          <cell r="M9777">
            <v>0</v>
          </cell>
          <cell r="P9777">
            <v>0</v>
          </cell>
        </row>
        <row r="9778">
          <cell r="K9778">
            <v>0</v>
          </cell>
          <cell r="M9778">
            <v>0</v>
          </cell>
          <cell r="P9778">
            <v>0</v>
          </cell>
        </row>
        <row r="9779">
          <cell r="K9779">
            <v>0</v>
          </cell>
          <cell r="M9779">
            <v>0</v>
          </cell>
          <cell r="P9779">
            <v>0</v>
          </cell>
        </row>
        <row r="9780">
          <cell r="K9780">
            <v>0</v>
          </cell>
          <cell r="M9780">
            <v>0</v>
          </cell>
          <cell r="P9780">
            <v>0</v>
          </cell>
        </row>
        <row r="9781">
          <cell r="K9781">
            <v>0</v>
          </cell>
          <cell r="M9781">
            <v>0</v>
          </cell>
          <cell r="P9781">
            <v>0</v>
          </cell>
        </row>
        <row r="9782">
          <cell r="K9782">
            <v>0</v>
          </cell>
          <cell r="M9782">
            <v>0</v>
          </cell>
          <cell r="P9782">
            <v>0</v>
          </cell>
        </row>
        <row r="9783">
          <cell r="K9783">
            <v>0</v>
          </cell>
          <cell r="M9783">
            <v>0</v>
          </cell>
          <cell r="P9783">
            <v>0</v>
          </cell>
        </row>
        <row r="9784">
          <cell r="K9784">
            <v>0</v>
          </cell>
          <cell r="M9784">
            <v>0</v>
          </cell>
          <cell r="P9784">
            <v>0</v>
          </cell>
        </row>
        <row r="9785">
          <cell r="K9785">
            <v>0</v>
          </cell>
          <cell r="M9785">
            <v>0</v>
          </cell>
          <cell r="P9785">
            <v>0</v>
          </cell>
        </row>
        <row r="9786">
          <cell r="K9786">
            <v>0</v>
          </cell>
          <cell r="M9786">
            <v>0</v>
          </cell>
          <cell r="P9786">
            <v>0</v>
          </cell>
        </row>
        <row r="9787">
          <cell r="K9787">
            <v>0</v>
          </cell>
          <cell r="M9787">
            <v>0</v>
          </cell>
          <cell r="P9787">
            <v>0</v>
          </cell>
        </row>
        <row r="9788">
          <cell r="K9788">
            <v>0</v>
          </cell>
          <cell r="M9788">
            <v>0</v>
          </cell>
          <cell r="P9788">
            <v>0</v>
          </cell>
        </row>
        <row r="9789">
          <cell r="K9789">
            <v>0</v>
          </cell>
          <cell r="M9789">
            <v>0</v>
          </cell>
          <cell r="P9789">
            <v>0</v>
          </cell>
        </row>
        <row r="9790">
          <cell r="K9790">
            <v>0</v>
          </cell>
          <cell r="M9790">
            <v>0</v>
          </cell>
          <cell r="P9790">
            <v>0</v>
          </cell>
        </row>
        <row r="9791">
          <cell r="K9791">
            <v>0</v>
          </cell>
          <cell r="M9791">
            <v>0</v>
          </cell>
          <cell r="P9791">
            <v>0</v>
          </cell>
        </row>
        <row r="9792">
          <cell r="K9792">
            <v>0</v>
          </cell>
          <cell r="M9792">
            <v>0</v>
          </cell>
          <cell r="P9792">
            <v>0</v>
          </cell>
        </row>
        <row r="9793">
          <cell r="K9793">
            <v>0</v>
          </cell>
          <cell r="M9793">
            <v>0</v>
          </cell>
          <cell r="P9793">
            <v>0</v>
          </cell>
        </row>
        <row r="9794">
          <cell r="K9794">
            <v>0</v>
          </cell>
          <cell r="M9794">
            <v>0</v>
          </cell>
          <cell r="P9794">
            <v>0</v>
          </cell>
        </row>
        <row r="9795">
          <cell r="K9795">
            <v>0</v>
          </cell>
          <cell r="M9795">
            <v>0</v>
          </cell>
          <cell r="P9795">
            <v>0</v>
          </cell>
        </row>
        <row r="9796">
          <cell r="K9796">
            <v>0</v>
          </cell>
          <cell r="M9796">
            <v>0</v>
          </cell>
          <cell r="P9796">
            <v>0</v>
          </cell>
        </row>
        <row r="9797">
          <cell r="K9797">
            <v>0</v>
          </cell>
          <cell r="M9797">
            <v>0</v>
          </cell>
          <cell r="P9797">
            <v>0</v>
          </cell>
        </row>
        <row r="9798">
          <cell r="K9798">
            <v>0</v>
          </cell>
          <cell r="M9798">
            <v>0</v>
          </cell>
          <cell r="P9798">
            <v>0</v>
          </cell>
        </row>
        <row r="9799">
          <cell r="K9799">
            <v>0</v>
          </cell>
          <cell r="M9799">
            <v>0</v>
          </cell>
          <cell r="P9799">
            <v>0</v>
          </cell>
        </row>
        <row r="9800">
          <cell r="K9800">
            <v>0</v>
          </cell>
          <cell r="M9800">
            <v>0</v>
          </cell>
          <cell r="P9800">
            <v>0</v>
          </cell>
        </row>
        <row r="9801">
          <cell r="K9801">
            <v>0</v>
          </cell>
          <cell r="M9801">
            <v>0</v>
          </cell>
          <cell r="P9801">
            <v>0</v>
          </cell>
        </row>
        <row r="9802">
          <cell r="K9802">
            <v>0</v>
          </cell>
          <cell r="M9802">
            <v>0</v>
          </cell>
          <cell r="P9802">
            <v>0</v>
          </cell>
        </row>
        <row r="9803">
          <cell r="K9803">
            <v>0</v>
          </cell>
          <cell r="M9803">
            <v>0</v>
          </cell>
          <cell r="P9803">
            <v>0</v>
          </cell>
        </row>
        <row r="9804">
          <cell r="K9804">
            <v>0</v>
          </cell>
          <cell r="M9804">
            <v>0</v>
          </cell>
          <cell r="P9804">
            <v>0</v>
          </cell>
        </row>
        <row r="9805">
          <cell r="K9805">
            <v>0</v>
          </cell>
          <cell r="M9805">
            <v>0</v>
          </cell>
          <cell r="P9805">
            <v>0</v>
          </cell>
        </row>
        <row r="9806">
          <cell r="K9806">
            <v>0</v>
          </cell>
          <cell r="M9806">
            <v>0</v>
          </cell>
          <cell r="P9806">
            <v>0</v>
          </cell>
        </row>
        <row r="9807">
          <cell r="K9807">
            <v>0</v>
          </cell>
          <cell r="M9807">
            <v>0</v>
          </cell>
          <cell r="P9807">
            <v>0</v>
          </cell>
        </row>
        <row r="9808">
          <cell r="K9808">
            <v>0</v>
          </cell>
          <cell r="M9808">
            <v>0</v>
          </cell>
          <cell r="P9808">
            <v>0</v>
          </cell>
        </row>
        <row r="9809">
          <cell r="K9809">
            <v>0</v>
          </cell>
          <cell r="M9809">
            <v>0</v>
          </cell>
          <cell r="P9809">
            <v>0</v>
          </cell>
        </row>
        <row r="9810">
          <cell r="K9810">
            <v>0</v>
          </cell>
          <cell r="M9810">
            <v>0</v>
          </cell>
          <cell r="P9810">
            <v>0</v>
          </cell>
        </row>
        <row r="9811">
          <cell r="K9811">
            <v>0</v>
          </cell>
          <cell r="M9811">
            <v>0</v>
          </cell>
          <cell r="P9811">
            <v>0</v>
          </cell>
        </row>
        <row r="9812">
          <cell r="K9812">
            <v>0</v>
          </cell>
          <cell r="M9812">
            <v>0</v>
          </cell>
          <cell r="P9812">
            <v>0</v>
          </cell>
        </row>
        <row r="9813">
          <cell r="K9813">
            <v>0</v>
          </cell>
          <cell r="M9813">
            <v>0</v>
          </cell>
          <cell r="P9813">
            <v>0</v>
          </cell>
        </row>
        <row r="9814">
          <cell r="K9814">
            <v>0</v>
          </cell>
          <cell r="M9814">
            <v>0</v>
          </cell>
          <cell r="P9814">
            <v>0</v>
          </cell>
        </row>
        <row r="9815">
          <cell r="K9815">
            <v>0</v>
          </cell>
          <cell r="M9815">
            <v>0</v>
          </cell>
          <cell r="P9815">
            <v>0</v>
          </cell>
        </row>
        <row r="9816">
          <cell r="K9816">
            <v>0</v>
          </cell>
          <cell r="M9816">
            <v>0</v>
          </cell>
          <cell r="P9816">
            <v>0</v>
          </cell>
        </row>
        <row r="9817">
          <cell r="K9817">
            <v>0</v>
          </cell>
          <cell r="M9817">
            <v>0</v>
          </cell>
          <cell r="P9817">
            <v>0</v>
          </cell>
        </row>
        <row r="9818">
          <cell r="K9818">
            <v>0</v>
          </cell>
          <cell r="M9818">
            <v>0</v>
          </cell>
          <cell r="P9818">
            <v>0</v>
          </cell>
        </row>
        <row r="9819">
          <cell r="K9819">
            <v>0</v>
          </cell>
          <cell r="M9819">
            <v>0</v>
          </cell>
          <cell r="P9819">
            <v>0</v>
          </cell>
        </row>
        <row r="9820">
          <cell r="K9820">
            <v>0</v>
          </cell>
          <cell r="M9820">
            <v>0</v>
          </cell>
          <cell r="P9820">
            <v>0</v>
          </cell>
        </row>
        <row r="9821">
          <cell r="K9821">
            <v>0</v>
          </cell>
          <cell r="M9821">
            <v>0</v>
          </cell>
          <cell r="P9821">
            <v>0</v>
          </cell>
        </row>
        <row r="9822">
          <cell r="K9822">
            <v>0</v>
          </cell>
          <cell r="M9822">
            <v>0</v>
          </cell>
          <cell r="P9822">
            <v>0</v>
          </cell>
        </row>
        <row r="9823">
          <cell r="K9823">
            <v>0</v>
          </cell>
          <cell r="M9823">
            <v>0</v>
          </cell>
          <cell r="P9823">
            <v>0</v>
          </cell>
        </row>
        <row r="9824">
          <cell r="K9824">
            <v>0</v>
          </cell>
          <cell r="M9824">
            <v>0</v>
          </cell>
          <cell r="P9824">
            <v>0</v>
          </cell>
        </row>
        <row r="9825">
          <cell r="K9825">
            <v>0</v>
          </cell>
          <cell r="M9825">
            <v>0</v>
          </cell>
          <cell r="P9825">
            <v>0</v>
          </cell>
        </row>
        <row r="9826">
          <cell r="K9826">
            <v>0</v>
          </cell>
          <cell r="M9826">
            <v>0</v>
          </cell>
          <cell r="P9826">
            <v>0</v>
          </cell>
        </row>
        <row r="9827">
          <cell r="K9827">
            <v>0</v>
          </cell>
          <cell r="M9827">
            <v>0</v>
          </cell>
          <cell r="P9827">
            <v>0</v>
          </cell>
        </row>
        <row r="9828">
          <cell r="K9828">
            <v>0</v>
          </cell>
          <cell r="M9828">
            <v>0</v>
          </cell>
          <cell r="P9828">
            <v>0</v>
          </cell>
        </row>
        <row r="9829">
          <cell r="K9829">
            <v>0</v>
          </cell>
          <cell r="M9829">
            <v>0</v>
          </cell>
          <cell r="P9829">
            <v>0</v>
          </cell>
        </row>
        <row r="9830">
          <cell r="K9830">
            <v>0</v>
          </cell>
          <cell r="M9830">
            <v>0</v>
          </cell>
          <cell r="P9830">
            <v>0</v>
          </cell>
        </row>
        <row r="9831">
          <cell r="K9831">
            <v>0</v>
          </cell>
          <cell r="M9831">
            <v>0</v>
          </cell>
          <cell r="P9831">
            <v>0</v>
          </cell>
        </row>
        <row r="9832">
          <cell r="K9832">
            <v>0</v>
          </cell>
          <cell r="M9832">
            <v>0</v>
          </cell>
          <cell r="P9832">
            <v>0</v>
          </cell>
        </row>
        <row r="9833">
          <cell r="K9833">
            <v>0</v>
          </cell>
          <cell r="M9833">
            <v>0</v>
          </cell>
          <cell r="P9833">
            <v>0</v>
          </cell>
        </row>
        <row r="9834">
          <cell r="K9834">
            <v>0</v>
          </cell>
          <cell r="M9834">
            <v>0</v>
          </cell>
          <cell r="P9834">
            <v>0</v>
          </cell>
        </row>
        <row r="9835">
          <cell r="K9835">
            <v>0</v>
          </cell>
          <cell r="M9835">
            <v>0</v>
          </cell>
          <cell r="P9835">
            <v>0</v>
          </cell>
        </row>
        <row r="9836">
          <cell r="K9836">
            <v>0</v>
          </cell>
          <cell r="M9836">
            <v>0</v>
          </cell>
          <cell r="P9836">
            <v>0</v>
          </cell>
        </row>
        <row r="9837">
          <cell r="K9837">
            <v>0</v>
          </cell>
          <cell r="M9837">
            <v>0</v>
          </cell>
          <cell r="P9837">
            <v>0</v>
          </cell>
        </row>
        <row r="9838">
          <cell r="K9838">
            <v>0</v>
          </cell>
          <cell r="M9838">
            <v>0</v>
          </cell>
          <cell r="P9838">
            <v>0</v>
          </cell>
        </row>
        <row r="9839">
          <cell r="K9839">
            <v>0</v>
          </cell>
          <cell r="M9839">
            <v>0</v>
          </cell>
          <cell r="P9839">
            <v>0</v>
          </cell>
        </row>
        <row r="9840">
          <cell r="K9840">
            <v>0</v>
          </cell>
          <cell r="M9840">
            <v>0</v>
          </cell>
          <cell r="P9840">
            <v>0</v>
          </cell>
        </row>
        <row r="9841">
          <cell r="K9841">
            <v>0</v>
          </cell>
          <cell r="M9841">
            <v>0</v>
          </cell>
          <cell r="P9841">
            <v>0</v>
          </cell>
        </row>
        <row r="9842">
          <cell r="K9842">
            <v>0</v>
          </cell>
          <cell r="M9842">
            <v>0</v>
          </cell>
          <cell r="P9842">
            <v>0</v>
          </cell>
        </row>
        <row r="9843">
          <cell r="K9843">
            <v>0</v>
          </cell>
          <cell r="M9843">
            <v>0</v>
          </cell>
          <cell r="P9843">
            <v>0</v>
          </cell>
        </row>
        <row r="9844">
          <cell r="K9844">
            <v>0</v>
          </cell>
          <cell r="M9844">
            <v>0</v>
          </cell>
          <cell r="P9844">
            <v>0</v>
          </cell>
        </row>
        <row r="9845">
          <cell r="K9845">
            <v>0</v>
          </cell>
          <cell r="M9845">
            <v>0</v>
          </cell>
          <cell r="P9845">
            <v>0</v>
          </cell>
        </row>
        <row r="9846">
          <cell r="K9846">
            <v>0</v>
          </cell>
          <cell r="M9846">
            <v>0</v>
          </cell>
          <cell r="P9846">
            <v>0</v>
          </cell>
        </row>
        <row r="9847">
          <cell r="K9847">
            <v>0</v>
          </cell>
          <cell r="M9847">
            <v>0</v>
          </cell>
          <cell r="P9847">
            <v>0</v>
          </cell>
        </row>
        <row r="9848">
          <cell r="K9848">
            <v>0</v>
          </cell>
          <cell r="M9848">
            <v>0</v>
          </cell>
          <cell r="P9848">
            <v>0</v>
          </cell>
        </row>
        <row r="9849">
          <cell r="K9849">
            <v>0</v>
          </cell>
          <cell r="M9849">
            <v>0</v>
          </cell>
          <cell r="P9849">
            <v>0</v>
          </cell>
        </row>
        <row r="9850">
          <cell r="K9850">
            <v>0</v>
          </cell>
          <cell r="M9850">
            <v>0</v>
          </cell>
          <cell r="P9850">
            <v>0</v>
          </cell>
        </row>
        <row r="9851">
          <cell r="K9851">
            <v>0</v>
          </cell>
          <cell r="M9851">
            <v>0</v>
          </cell>
          <cell r="P9851">
            <v>0</v>
          </cell>
        </row>
        <row r="9852">
          <cell r="K9852">
            <v>0</v>
          </cell>
          <cell r="M9852">
            <v>0</v>
          </cell>
          <cell r="P9852">
            <v>0</v>
          </cell>
        </row>
        <row r="9853">
          <cell r="K9853">
            <v>0</v>
          </cell>
          <cell r="M9853">
            <v>0</v>
          </cell>
          <cell r="P9853">
            <v>0</v>
          </cell>
        </row>
        <row r="9854">
          <cell r="K9854">
            <v>0</v>
          </cell>
          <cell r="M9854">
            <v>0</v>
          </cell>
          <cell r="P9854">
            <v>0</v>
          </cell>
        </row>
        <row r="9855">
          <cell r="K9855">
            <v>0</v>
          </cell>
          <cell r="M9855">
            <v>0</v>
          </cell>
          <cell r="P9855">
            <v>0</v>
          </cell>
        </row>
        <row r="9856">
          <cell r="K9856">
            <v>0</v>
          </cell>
          <cell r="M9856">
            <v>0</v>
          </cell>
          <cell r="P9856">
            <v>0</v>
          </cell>
        </row>
        <row r="9857">
          <cell r="K9857">
            <v>0</v>
          </cell>
          <cell r="M9857">
            <v>0</v>
          </cell>
          <cell r="P9857">
            <v>0</v>
          </cell>
        </row>
        <row r="9858">
          <cell r="K9858">
            <v>0</v>
          </cell>
          <cell r="M9858">
            <v>0</v>
          </cell>
          <cell r="P9858">
            <v>0</v>
          </cell>
        </row>
        <row r="9859">
          <cell r="K9859">
            <v>0</v>
          </cell>
          <cell r="M9859">
            <v>0</v>
          </cell>
          <cell r="P9859">
            <v>0</v>
          </cell>
        </row>
        <row r="9860">
          <cell r="K9860">
            <v>0</v>
          </cell>
          <cell r="M9860">
            <v>0</v>
          </cell>
          <cell r="P9860">
            <v>0</v>
          </cell>
        </row>
        <row r="9861">
          <cell r="K9861">
            <v>0</v>
          </cell>
          <cell r="M9861">
            <v>0</v>
          </cell>
          <cell r="P9861">
            <v>0</v>
          </cell>
        </row>
        <row r="9862">
          <cell r="K9862">
            <v>0</v>
          </cell>
          <cell r="M9862">
            <v>0</v>
          </cell>
          <cell r="P9862">
            <v>0</v>
          </cell>
        </row>
        <row r="9863">
          <cell r="K9863">
            <v>0</v>
          </cell>
          <cell r="M9863">
            <v>0</v>
          </cell>
          <cell r="P9863">
            <v>0</v>
          </cell>
        </row>
        <row r="9864">
          <cell r="K9864">
            <v>0</v>
          </cell>
          <cell r="M9864">
            <v>0</v>
          </cell>
          <cell r="P9864">
            <v>0</v>
          </cell>
        </row>
        <row r="9865">
          <cell r="K9865">
            <v>0</v>
          </cell>
          <cell r="M9865">
            <v>0</v>
          </cell>
          <cell r="P9865">
            <v>0</v>
          </cell>
        </row>
        <row r="9866">
          <cell r="K9866">
            <v>0</v>
          </cell>
          <cell r="M9866">
            <v>0</v>
          </cell>
          <cell r="P9866">
            <v>0</v>
          </cell>
        </row>
        <row r="9867">
          <cell r="K9867">
            <v>0</v>
          </cell>
          <cell r="M9867">
            <v>0</v>
          </cell>
          <cell r="P9867">
            <v>0</v>
          </cell>
        </row>
        <row r="9868">
          <cell r="K9868">
            <v>0</v>
          </cell>
          <cell r="M9868">
            <v>0</v>
          </cell>
          <cell r="P9868">
            <v>0</v>
          </cell>
        </row>
        <row r="9869">
          <cell r="K9869">
            <v>0</v>
          </cell>
          <cell r="M9869">
            <v>0</v>
          </cell>
          <cell r="P9869">
            <v>0</v>
          </cell>
        </row>
        <row r="9870">
          <cell r="K9870">
            <v>0</v>
          </cell>
          <cell r="M9870">
            <v>0</v>
          </cell>
          <cell r="P9870">
            <v>0</v>
          </cell>
        </row>
        <row r="9871">
          <cell r="K9871">
            <v>0</v>
          </cell>
          <cell r="M9871">
            <v>0</v>
          </cell>
          <cell r="P9871">
            <v>0</v>
          </cell>
        </row>
        <row r="9872">
          <cell r="K9872">
            <v>0</v>
          </cell>
          <cell r="M9872">
            <v>0</v>
          </cell>
          <cell r="P9872">
            <v>0</v>
          </cell>
        </row>
        <row r="9873">
          <cell r="K9873">
            <v>0</v>
          </cell>
          <cell r="M9873">
            <v>0</v>
          </cell>
          <cell r="P9873">
            <v>0</v>
          </cell>
        </row>
        <row r="9874">
          <cell r="K9874">
            <v>0</v>
          </cell>
          <cell r="M9874">
            <v>0</v>
          </cell>
          <cell r="P9874">
            <v>0</v>
          </cell>
        </row>
        <row r="9875">
          <cell r="K9875">
            <v>0</v>
          </cell>
          <cell r="M9875">
            <v>0</v>
          </cell>
          <cell r="P9875">
            <v>0</v>
          </cell>
        </row>
        <row r="9876">
          <cell r="K9876">
            <v>0</v>
          </cell>
          <cell r="M9876">
            <v>0</v>
          </cell>
          <cell r="P9876">
            <v>0</v>
          </cell>
        </row>
        <row r="9877">
          <cell r="K9877">
            <v>0</v>
          </cell>
          <cell r="M9877">
            <v>0</v>
          </cell>
          <cell r="P9877">
            <v>0</v>
          </cell>
        </row>
        <row r="9878">
          <cell r="K9878">
            <v>0</v>
          </cell>
          <cell r="M9878">
            <v>0</v>
          </cell>
          <cell r="P9878">
            <v>0</v>
          </cell>
        </row>
        <row r="9879">
          <cell r="K9879">
            <v>0</v>
          </cell>
          <cell r="M9879">
            <v>0</v>
          </cell>
          <cell r="P9879">
            <v>0</v>
          </cell>
        </row>
        <row r="9880">
          <cell r="K9880">
            <v>0</v>
          </cell>
          <cell r="M9880">
            <v>0</v>
          </cell>
          <cell r="P9880">
            <v>0</v>
          </cell>
        </row>
        <row r="9881">
          <cell r="K9881">
            <v>0</v>
          </cell>
          <cell r="M9881">
            <v>0</v>
          </cell>
          <cell r="P9881">
            <v>0</v>
          </cell>
        </row>
        <row r="9882">
          <cell r="K9882">
            <v>0</v>
          </cell>
          <cell r="M9882">
            <v>0</v>
          </cell>
          <cell r="P9882">
            <v>0</v>
          </cell>
        </row>
        <row r="9883">
          <cell r="K9883">
            <v>0</v>
          </cell>
          <cell r="M9883">
            <v>0</v>
          </cell>
          <cell r="P9883">
            <v>0</v>
          </cell>
        </row>
        <row r="9884">
          <cell r="K9884">
            <v>0</v>
          </cell>
          <cell r="M9884">
            <v>0</v>
          </cell>
          <cell r="P9884">
            <v>0</v>
          </cell>
        </row>
        <row r="9885">
          <cell r="K9885">
            <v>0</v>
          </cell>
          <cell r="M9885">
            <v>0</v>
          </cell>
          <cell r="P9885">
            <v>0</v>
          </cell>
        </row>
        <row r="9886">
          <cell r="K9886">
            <v>0</v>
          </cell>
          <cell r="M9886">
            <v>0</v>
          </cell>
          <cell r="P9886">
            <v>0</v>
          </cell>
        </row>
        <row r="9887">
          <cell r="K9887">
            <v>0</v>
          </cell>
          <cell r="M9887">
            <v>0</v>
          </cell>
          <cell r="P9887">
            <v>0</v>
          </cell>
        </row>
        <row r="9888">
          <cell r="K9888">
            <v>0</v>
          </cell>
          <cell r="M9888">
            <v>0</v>
          </cell>
          <cell r="P9888">
            <v>0</v>
          </cell>
        </row>
        <row r="9889">
          <cell r="K9889">
            <v>0</v>
          </cell>
          <cell r="M9889">
            <v>0</v>
          </cell>
          <cell r="P9889">
            <v>0</v>
          </cell>
        </row>
        <row r="9890">
          <cell r="K9890">
            <v>0</v>
          </cell>
          <cell r="M9890">
            <v>0</v>
          </cell>
          <cell r="P9890">
            <v>0</v>
          </cell>
        </row>
        <row r="9891">
          <cell r="K9891">
            <v>0</v>
          </cell>
          <cell r="M9891">
            <v>0</v>
          </cell>
          <cell r="P9891">
            <v>0</v>
          </cell>
        </row>
        <row r="9892">
          <cell r="K9892">
            <v>0</v>
          </cell>
          <cell r="M9892">
            <v>0</v>
          </cell>
          <cell r="P9892">
            <v>0</v>
          </cell>
        </row>
        <row r="9893">
          <cell r="K9893">
            <v>0</v>
          </cell>
          <cell r="M9893">
            <v>0</v>
          </cell>
          <cell r="P9893">
            <v>0</v>
          </cell>
        </row>
        <row r="9894">
          <cell r="K9894">
            <v>0</v>
          </cell>
          <cell r="M9894">
            <v>0</v>
          </cell>
          <cell r="P9894">
            <v>0</v>
          </cell>
        </row>
        <row r="9895">
          <cell r="K9895">
            <v>0</v>
          </cell>
          <cell r="M9895">
            <v>0</v>
          </cell>
          <cell r="P9895">
            <v>0</v>
          </cell>
        </row>
        <row r="9896">
          <cell r="K9896">
            <v>0</v>
          </cell>
          <cell r="M9896">
            <v>0</v>
          </cell>
          <cell r="P9896">
            <v>0</v>
          </cell>
        </row>
        <row r="9897">
          <cell r="K9897">
            <v>0</v>
          </cell>
          <cell r="M9897">
            <v>0</v>
          </cell>
          <cell r="P9897">
            <v>0</v>
          </cell>
        </row>
        <row r="9898">
          <cell r="K9898">
            <v>0</v>
          </cell>
          <cell r="M9898">
            <v>0</v>
          </cell>
          <cell r="P9898">
            <v>0</v>
          </cell>
        </row>
        <row r="9899">
          <cell r="K9899">
            <v>0</v>
          </cell>
          <cell r="M9899">
            <v>0</v>
          </cell>
          <cell r="P9899">
            <v>0</v>
          </cell>
        </row>
        <row r="9900">
          <cell r="K9900">
            <v>0</v>
          </cell>
          <cell r="M9900">
            <v>0</v>
          </cell>
          <cell r="P9900">
            <v>0</v>
          </cell>
        </row>
        <row r="9901">
          <cell r="K9901">
            <v>0</v>
          </cell>
          <cell r="M9901">
            <v>0</v>
          </cell>
          <cell r="P9901">
            <v>0</v>
          </cell>
        </row>
        <row r="9902">
          <cell r="K9902">
            <v>0</v>
          </cell>
          <cell r="M9902">
            <v>0</v>
          </cell>
          <cell r="P9902">
            <v>0</v>
          </cell>
        </row>
        <row r="9903">
          <cell r="K9903">
            <v>0</v>
          </cell>
          <cell r="M9903">
            <v>0</v>
          </cell>
          <cell r="P9903">
            <v>0</v>
          </cell>
        </row>
        <row r="9904">
          <cell r="K9904">
            <v>0</v>
          </cell>
          <cell r="M9904">
            <v>0</v>
          </cell>
          <cell r="P9904">
            <v>0</v>
          </cell>
        </row>
        <row r="9905">
          <cell r="K9905">
            <v>0</v>
          </cell>
          <cell r="M9905">
            <v>0</v>
          </cell>
          <cell r="P9905">
            <v>0</v>
          </cell>
        </row>
        <row r="9906">
          <cell r="K9906">
            <v>0</v>
          </cell>
          <cell r="M9906">
            <v>0</v>
          </cell>
          <cell r="P9906">
            <v>0</v>
          </cell>
        </row>
        <row r="9907">
          <cell r="K9907">
            <v>0</v>
          </cell>
          <cell r="M9907">
            <v>0</v>
          </cell>
          <cell r="P9907">
            <v>0</v>
          </cell>
        </row>
        <row r="9908">
          <cell r="K9908">
            <v>0</v>
          </cell>
          <cell r="M9908">
            <v>0</v>
          </cell>
          <cell r="P9908">
            <v>0</v>
          </cell>
        </row>
        <row r="9909">
          <cell r="K9909">
            <v>0</v>
          </cell>
          <cell r="M9909">
            <v>0</v>
          </cell>
          <cell r="P9909">
            <v>0</v>
          </cell>
        </row>
        <row r="9910">
          <cell r="K9910">
            <v>0</v>
          </cell>
          <cell r="M9910">
            <v>0</v>
          </cell>
          <cell r="P9910">
            <v>0</v>
          </cell>
        </row>
        <row r="9911">
          <cell r="K9911">
            <v>0</v>
          </cell>
          <cell r="M9911">
            <v>0</v>
          </cell>
          <cell r="P9911">
            <v>0</v>
          </cell>
        </row>
        <row r="9912">
          <cell r="K9912">
            <v>0</v>
          </cell>
          <cell r="M9912">
            <v>0</v>
          </cell>
          <cell r="P9912">
            <v>0</v>
          </cell>
        </row>
        <row r="9913">
          <cell r="K9913">
            <v>0</v>
          </cell>
          <cell r="M9913">
            <v>0</v>
          </cell>
          <cell r="P9913">
            <v>0</v>
          </cell>
        </row>
        <row r="9914">
          <cell r="K9914">
            <v>0</v>
          </cell>
          <cell r="M9914">
            <v>0</v>
          </cell>
          <cell r="P9914">
            <v>0</v>
          </cell>
        </row>
        <row r="9915">
          <cell r="K9915">
            <v>0</v>
          </cell>
          <cell r="M9915">
            <v>0</v>
          </cell>
          <cell r="P9915">
            <v>0</v>
          </cell>
        </row>
        <row r="9916">
          <cell r="K9916">
            <v>0</v>
          </cell>
          <cell r="M9916">
            <v>0</v>
          </cell>
          <cell r="P9916">
            <v>0</v>
          </cell>
        </row>
        <row r="9917">
          <cell r="K9917">
            <v>0</v>
          </cell>
          <cell r="M9917">
            <v>0</v>
          </cell>
          <cell r="P9917">
            <v>0</v>
          </cell>
        </row>
        <row r="9918">
          <cell r="K9918">
            <v>0</v>
          </cell>
          <cell r="M9918">
            <v>0</v>
          </cell>
          <cell r="P9918">
            <v>0</v>
          </cell>
        </row>
        <row r="9919">
          <cell r="K9919">
            <v>0</v>
          </cell>
          <cell r="M9919">
            <v>0</v>
          </cell>
          <cell r="P9919">
            <v>0</v>
          </cell>
        </row>
        <row r="9920">
          <cell r="K9920">
            <v>0</v>
          </cell>
          <cell r="M9920">
            <v>0</v>
          </cell>
          <cell r="P9920">
            <v>0</v>
          </cell>
        </row>
        <row r="9921">
          <cell r="K9921">
            <v>0</v>
          </cell>
          <cell r="M9921">
            <v>0</v>
          </cell>
          <cell r="P9921">
            <v>0</v>
          </cell>
        </row>
        <row r="9922">
          <cell r="K9922">
            <v>0</v>
          </cell>
          <cell r="M9922">
            <v>0</v>
          </cell>
          <cell r="P9922">
            <v>0</v>
          </cell>
        </row>
        <row r="9923">
          <cell r="K9923">
            <v>0</v>
          </cell>
          <cell r="M9923">
            <v>0</v>
          </cell>
          <cell r="P9923">
            <v>0</v>
          </cell>
        </row>
        <row r="9924">
          <cell r="K9924">
            <v>0</v>
          </cell>
          <cell r="M9924">
            <v>0</v>
          </cell>
          <cell r="P9924">
            <v>0</v>
          </cell>
        </row>
        <row r="9925">
          <cell r="K9925">
            <v>0</v>
          </cell>
          <cell r="M9925">
            <v>0</v>
          </cell>
          <cell r="P9925">
            <v>0</v>
          </cell>
        </row>
        <row r="9926">
          <cell r="K9926">
            <v>0</v>
          </cell>
          <cell r="M9926">
            <v>0</v>
          </cell>
          <cell r="P9926">
            <v>0</v>
          </cell>
        </row>
        <row r="9927">
          <cell r="K9927">
            <v>0</v>
          </cell>
          <cell r="M9927">
            <v>0</v>
          </cell>
          <cell r="P9927">
            <v>0</v>
          </cell>
        </row>
        <row r="9928">
          <cell r="K9928">
            <v>0</v>
          </cell>
          <cell r="M9928">
            <v>0</v>
          </cell>
          <cell r="P9928">
            <v>0</v>
          </cell>
        </row>
        <row r="9929">
          <cell r="K9929">
            <v>0</v>
          </cell>
          <cell r="M9929">
            <v>0</v>
          </cell>
          <cell r="P9929">
            <v>0</v>
          </cell>
        </row>
        <row r="9930">
          <cell r="K9930">
            <v>0</v>
          </cell>
          <cell r="M9930">
            <v>0</v>
          </cell>
          <cell r="P9930">
            <v>0</v>
          </cell>
        </row>
        <row r="9931">
          <cell r="K9931">
            <v>0</v>
          </cell>
          <cell r="M9931">
            <v>0</v>
          </cell>
          <cell r="P9931">
            <v>0</v>
          </cell>
        </row>
        <row r="9932">
          <cell r="K9932">
            <v>0</v>
          </cell>
          <cell r="M9932">
            <v>0</v>
          </cell>
          <cell r="P9932">
            <v>0</v>
          </cell>
        </row>
        <row r="9933">
          <cell r="K9933">
            <v>0</v>
          </cell>
          <cell r="M9933">
            <v>0</v>
          </cell>
          <cell r="P9933">
            <v>0</v>
          </cell>
        </row>
        <row r="9934">
          <cell r="K9934">
            <v>0</v>
          </cell>
          <cell r="M9934">
            <v>0</v>
          </cell>
          <cell r="P9934">
            <v>0</v>
          </cell>
        </row>
        <row r="9935">
          <cell r="K9935">
            <v>0</v>
          </cell>
          <cell r="M9935">
            <v>0</v>
          </cell>
          <cell r="P9935">
            <v>0</v>
          </cell>
        </row>
        <row r="9936">
          <cell r="K9936">
            <v>0</v>
          </cell>
          <cell r="M9936">
            <v>0</v>
          </cell>
          <cell r="P9936">
            <v>0</v>
          </cell>
        </row>
        <row r="9937">
          <cell r="K9937">
            <v>0</v>
          </cell>
          <cell r="M9937">
            <v>0</v>
          </cell>
          <cell r="P9937">
            <v>0</v>
          </cell>
        </row>
        <row r="9938">
          <cell r="K9938">
            <v>0</v>
          </cell>
          <cell r="M9938">
            <v>0</v>
          </cell>
          <cell r="P9938">
            <v>0</v>
          </cell>
        </row>
        <row r="9939">
          <cell r="K9939">
            <v>0</v>
          </cell>
          <cell r="M9939">
            <v>0</v>
          </cell>
          <cell r="P9939">
            <v>0</v>
          </cell>
        </row>
        <row r="9940">
          <cell r="K9940">
            <v>0</v>
          </cell>
          <cell r="M9940">
            <v>0</v>
          </cell>
          <cell r="P9940">
            <v>0</v>
          </cell>
        </row>
        <row r="9941">
          <cell r="K9941">
            <v>0</v>
          </cell>
          <cell r="M9941">
            <v>0</v>
          </cell>
          <cell r="P9941">
            <v>0</v>
          </cell>
        </row>
        <row r="9942">
          <cell r="K9942">
            <v>0</v>
          </cell>
          <cell r="M9942">
            <v>0</v>
          </cell>
          <cell r="P9942">
            <v>0</v>
          </cell>
        </row>
        <row r="9943">
          <cell r="K9943">
            <v>0</v>
          </cell>
          <cell r="M9943">
            <v>0</v>
          </cell>
          <cell r="P9943">
            <v>0</v>
          </cell>
        </row>
        <row r="9944">
          <cell r="K9944">
            <v>0</v>
          </cell>
          <cell r="M9944">
            <v>0</v>
          </cell>
          <cell r="P9944">
            <v>0</v>
          </cell>
        </row>
        <row r="9945">
          <cell r="K9945">
            <v>0</v>
          </cell>
          <cell r="M9945">
            <v>0</v>
          </cell>
          <cell r="P9945">
            <v>0</v>
          </cell>
        </row>
        <row r="9946">
          <cell r="K9946">
            <v>0</v>
          </cell>
          <cell r="M9946">
            <v>0</v>
          </cell>
          <cell r="P9946">
            <v>0</v>
          </cell>
        </row>
        <row r="9947">
          <cell r="K9947">
            <v>0</v>
          </cell>
          <cell r="M9947">
            <v>0</v>
          </cell>
          <cell r="P9947">
            <v>0</v>
          </cell>
        </row>
        <row r="9948">
          <cell r="K9948">
            <v>0</v>
          </cell>
          <cell r="M9948">
            <v>0</v>
          </cell>
          <cell r="P9948">
            <v>0</v>
          </cell>
        </row>
        <row r="9949">
          <cell r="K9949">
            <v>0</v>
          </cell>
          <cell r="M9949">
            <v>0</v>
          </cell>
          <cell r="P9949">
            <v>0</v>
          </cell>
        </row>
        <row r="9950">
          <cell r="K9950">
            <v>0</v>
          </cell>
          <cell r="M9950">
            <v>0</v>
          </cell>
          <cell r="P9950">
            <v>0</v>
          </cell>
        </row>
        <row r="9951">
          <cell r="K9951">
            <v>0</v>
          </cell>
          <cell r="M9951">
            <v>0</v>
          </cell>
          <cell r="P9951">
            <v>0</v>
          </cell>
        </row>
        <row r="9952">
          <cell r="K9952">
            <v>0</v>
          </cell>
          <cell r="M9952">
            <v>0</v>
          </cell>
          <cell r="P9952">
            <v>0</v>
          </cell>
        </row>
        <row r="9953">
          <cell r="K9953">
            <v>0</v>
          </cell>
          <cell r="M9953">
            <v>0</v>
          </cell>
          <cell r="P9953">
            <v>0</v>
          </cell>
        </row>
        <row r="9954">
          <cell r="K9954">
            <v>0</v>
          </cell>
          <cell r="M9954">
            <v>0</v>
          </cell>
          <cell r="P9954">
            <v>0</v>
          </cell>
        </row>
        <row r="9955">
          <cell r="K9955">
            <v>0</v>
          </cell>
          <cell r="M9955">
            <v>0</v>
          </cell>
          <cell r="P9955">
            <v>0</v>
          </cell>
        </row>
        <row r="9956">
          <cell r="K9956">
            <v>0</v>
          </cell>
          <cell r="M9956">
            <v>0</v>
          </cell>
          <cell r="P9956">
            <v>0</v>
          </cell>
        </row>
        <row r="9957">
          <cell r="K9957">
            <v>0</v>
          </cell>
          <cell r="M9957">
            <v>0</v>
          </cell>
          <cell r="P9957">
            <v>0</v>
          </cell>
        </row>
        <row r="9958">
          <cell r="K9958">
            <v>0</v>
          </cell>
          <cell r="M9958">
            <v>0</v>
          </cell>
          <cell r="P9958">
            <v>0</v>
          </cell>
        </row>
        <row r="9959">
          <cell r="K9959">
            <v>0</v>
          </cell>
          <cell r="M9959">
            <v>0</v>
          </cell>
          <cell r="P9959">
            <v>0</v>
          </cell>
        </row>
        <row r="9960">
          <cell r="K9960">
            <v>0</v>
          </cell>
          <cell r="M9960">
            <v>0</v>
          </cell>
          <cell r="P9960">
            <v>0</v>
          </cell>
        </row>
        <row r="9961">
          <cell r="K9961">
            <v>0</v>
          </cell>
          <cell r="M9961">
            <v>0</v>
          </cell>
          <cell r="P9961">
            <v>0</v>
          </cell>
        </row>
        <row r="9962">
          <cell r="K9962">
            <v>0</v>
          </cell>
          <cell r="M9962">
            <v>0</v>
          </cell>
          <cell r="P9962">
            <v>0</v>
          </cell>
        </row>
        <row r="9963">
          <cell r="K9963">
            <v>0</v>
          </cell>
          <cell r="M9963">
            <v>0</v>
          </cell>
          <cell r="P9963">
            <v>0</v>
          </cell>
        </row>
        <row r="9964">
          <cell r="K9964">
            <v>0</v>
          </cell>
          <cell r="M9964">
            <v>0</v>
          </cell>
          <cell r="P9964">
            <v>0</v>
          </cell>
        </row>
        <row r="9965">
          <cell r="K9965">
            <v>0</v>
          </cell>
          <cell r="M9965">
            <v>0</v>
          </cell>
          <cell r="P9965">
            <v>0</v>
          </cell>
        </row>
        <row r="9966">
          <cell r="K9966">
            <v>0</v>
          </cell>
          <cell r="M9966">
            <v>0</v>
          </cell>
          <cell r="P9966">
            <v>0</v>
          </cell>
        </row>
        <row r="9967">
          <cell r="K9967">
            <v>0</v>
          </cell>
          <cell r="M9967">
            <v>0</v>
          </cell>
          <cell r="P9967">
            <v>0</v>
          </cell>
        </row>
        <row r="9968">
          <cell r="K9968">
            <v>0</v>
          </cell>
          <cell r="M9968">
            <v>0</v>
          </cell>
          <cell r="P9968">
            <v>0</v>
          </cell>
        </row>
        <row r="9969">
          <cell r="K9969">
            <v>0</v>
          </cell>
          <cell r="M9969">
            <v>0</v>
          </cell>
          <cell r="P9969">
            <v>0</v>
          </cell>
        </row>
        <row r="9970">
          <cell r="K9970">
            <v>0</v>
          </cell>
          <cell r="M9970">
            <v>0</v>
          </cell>
          <cell r="P9970">
            <v>0</v>
          </cell>
        </row>
        <row r="9971">
          <cell r="K9971">
            <v>0</v>
          </cell>
          <cell r="M9971">
            <v>0</v>
          </cell>
          <cell r="P9971">
            <v>0</v>
          </cell>
        </row>
        <row r="9972">
          <cell r="K9972">
            <v>0</v>
          </cell>
          <cell r="M9972">
            <v>0</v>
          </cell>
          <cell r="P9972">
            <v>0</v>
          </cell>
        </row>
        <row r="9973">
          <cell r="K9973">
            <v>0</v>
          </cell>
          <cell r="M9973">
            <v>0</v>
          </cell>
          <cell r="P9973">
            <v>0</v>
          </cell>
        </row>
        <row r="9974">
          <cell r="K9974">
            <v>0</v>
          </cell>
          <cell r="M9974">
            <v>0</v>
          </cell>
          <cell r="P9974">
            <v>0</v>
          </cell>
        </row>
        <row r="9975">
          <cell r="K9975">
            <v>0</v>
          </cell>
          <cell r="M9975">
            <v>0</v>
          </cell>
          <cell r="P9975">
            <v>0</v>
          </cell>
        </row>
        <row r="9976">
          <cell r="K9976">
            <v>0</v>
          </cell>
          <cell r="M9976">
            <v>0</v>
          </cell>
          <cell r="P9976">
            <v>0</v>
          </cell>
        </row>
        <row r="9977">
          <cell r="K9977">
            <v>0</v>
          </cell>
          <cell r="M9977">
            <v>0</v>
          </cell>
          <cell r="P9977">
            <v>0</v>
          </cell>
        </row>
        <row r="9978">
          <cell r="K9978">
            <v>0</v>
          </cell>
          <cell r="M9978">
            <v>0</v>
          </cell>
          <cell r="P9978">
            <v>0</v>
          </cell>
        </row>
        <row r="9979">
          <cell r="K9979">
            <v>0</v>
          </cell>
          <cell r="M9979">
            <v>0</v>
          </cell>
          <cell r="P9979">
            <v>0</v>
          </cell>
        </row>
        <row r="9980">
          <cell r="K9980">
            <v>0</v>
          </cell>
          <cell r="M9980">
            <v>0</v>
          </cell>
          <cell r="P9980">
            <v>0</v>
          </cell>
        </row>
        <row r="9981">
          <cell r="K9981">
            <v>0</v>
          </cell>
          <cell r="M9981">
            <v>0</v>
          </cell>
          <cell r="P9981">
            <v>0</v>
          </cell>
        </row>
        <row r="9982">
          <cell r="K9982">
            <v>0</v>
          </cell>
          <cell r="M9982">
            <v>0</v>
          </cell>
          <cell r="P9982">
            <v>0</v>
          </cell>
        </row>
        <row r="9983">
          <cell r="K9983">
            <v>0</v>
          </cell>
          <cell r="M9983">
            <v>0</v>
          </cell>
          <cell r="P9983">
            <v>0</v>
          </cell>
        </row>
        <row r="9984">
          <cell r="K9984">
            <v>0</v>
          </cell>
          <cell r="M9984">
            <v>0</v>
          </cell>
          <cell r="P9984">
            <v>0</v>
          </cell>
        </row>
        <row r="9985">
          <cell r="K9985">
            <v>0</v>
          </cell>
          <cell r="M9985">
            <v>0</v>
          </cell>
          <cell r="P9985">
            <v>0</v>
          </cell>
        </row>
        <row r="9986">
          <cell r="K9986">
            <v>0</v>
          </cell>
          <cell r="M9986">
            <v>0</v>
          </cell>
          <cell r="P9986">
            <v>0</v>
          </cell>
        </row>
        <row r="9987">
          <cell r="K9987">
            <v>0</v>
          </cell>
          <cell r="M9987">
            <v>0</v>
          </cell>
          <cell r="P9987">
            <v>0</v>
          </cell>
        </row>
        <row r="9988">
          <cell r="K9988">
            <v>0</v>
          </cell>
          <cell r="M9988">
            <v>0</v>
          </cell>
          <cell r="P9988">
            <v>0</v>
          </cell>
        </row>
        <row r="9989">
          <cell r="K9989">
            <v>0</v>
          </cell>
          <cell r="M9989">
            <v>0</v>
          </cell>
          <cell r="P9989">
            <v>0</v>
          </cell>
        </row>
        <row r="9990">
          <cell r="K9990">
            <v>0</v>
          </cell>
          <cell r="M9990">
            <v>0</v>
          </cell>
          <cell r="P9990">
            <v>0</v>
          </cell>
        </row>
        <row r="9991">
          <cell r="K9991">
            <v>0</v>
          </cell>
          <cell r="M9991">
            <v>0</v>
          </cell>
          <cell r="P9991">
            <v>0</v>
          </cell>
        </row>
        <row r="9992">
          <cell r="K9992">
            <v>0</v>
          </cell>
          <cell r="M9992">
            <v>0</v>
          </cell>
          <cell r="P9992">
            <v>0</v>
          </cell>
        </row>
        <row r="9993">
          <cell r="K9993">
            <v>0</v>
          </cell>
          <cell r="M9993">
            <v>0</v>
          </cell>
          <cell r="P9993">
            <v>0</v>
          </cell>
        </row>
        <row r="9994">
          <cell r="K9994">
            <v>0</v>
          </cell>
          <cell r="M9994">
            <v>0</v>
          </cell>
          <cell r="P9994">
            <v>0</v>
          </cell>
        </row>
        <row r="9995">
          <cell r="K9995">
            <v>0</v>
          </cell>
          <cell r="M9995">
            <v>0</v>
          </cell>
          <cell r="P9995">
            <v>0</v>
          </cell>
        </row>
      </sheetData>
      <sheetData sheetId="3"/>
      <sheetData sheetId="4">
        <row r="14">
          <cell r="C14" t="str">
            <v>RIZAL</v>
          </cell>
          <cell r="I14" t="str">
            <v>146/K/VII/26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"/>
  <sheetViews>
    <sheetView tabSelected="1" topLeftCell="A13" workbookViewId="0">
      <selection activeCell="K24" sqref="K24"/>
    </sheetView>
  </sheetViews>
  <sheetFormatPr defaultRowHeight="14.5" x14ac:dyDescent="0.35"/>
  <cols>
    <col min="5" max="5" width="15.36328125" bestFit="1" customWidth="1"/>
    <col min="11" max="11" width="11" bestFit="1" customWidth="1"/>
  </cols>
  <sheetData>
    <row r="1" spans="1:13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r="2" spans="1:13" x14ac:dyDescent="0.35">
      <c r="A2" s="1"/>
      <c r="B2" s="1"/>
      <c r="C2" s="1"/>
      <c r="D2" s="1"/>
      <c r="E2" s="1"/>
      <c r="F2" s="3" t="s">
        <v>0</v>
      </c>
      <c r="G2" s="1"/>
      <c r="H2" s="1"/>
      <c r="I2" s="1"/>
      <c r="J2" s="1"/>
      <c r="K2" s="1"/>
      <c r="L2" s="1"/>
      <c r="M2" s="2"/>
    </row>
    <row r="3" spans="1:13" x14ac:dyDescent="0.35">
      <c r="A3" s="1"/>
      <c r="B3" s="1"/>
      <c r="C3" s="1"/>
      <c r="D3" s="1"/>
      <c r="E3" s="1"/>
      <c r="F3" s="3" t="s">
        <v>1</v>
      </c>
      <c r="G3" s="1"/>
      <c r="H3" s="1"/>
      <c r="I3" s="1"/>
      <c r="J3" s="1"/>
      <c r="K3" s="1"/>
      <c r="L3" s="1"/>
      <c r="M3" s="2"/>
    </row>
    <row r="4" spans="1:13" x14ac:dyDescent="0.35">
      <c r="A4" s="1"/>
      <c r="B4" s="1"/>
      <c r="C4" s="1"/>
      <c r="D4" s="1"/>
      <c r="E4" s="1"/>
      <c r="F4" s="3" t="s">
        <v>2</v>
      </c>
      <c r="G4" s="1"/>
      <c r="H4" s="1"/>
      <c r="I4" s="1"/>
      <c r="J4" s="1"/>
      <c r="K4" s="1"/>
      <c r="L4" s="1"/>
      <c r="M4" s="2"/>
    </row>
    <row r="5" spans="1:13" x14ac:dyDescent="0.35">
      <c r="A5" s="1"/>
      <c r="B5" s="1"/>
      <c r="C5" s="1"/>
      <c r="D5" s="1"/>
      <c r="E5" s="1"/>
      <c r="F5" s="3" t="s">
        <v>3</v>
      </c>
      <c r="G5" s="1"/>
      <c r="H5" s="1"/>
      <c r="I5" s="1"/>
      <c r="J5" s="1"/>
      <c r="K5" s="1"/>
      <c r="L5" s="1"/>
      <c r="M5" s="2"/>
    </row>
    <row r="6" spans="1:13" x14ac:dyDescent="0.35">
      <c r="A6" s="1"/>
      <c r="B6" s="1"/>
      <c r="C6" s="1"/>
      <c r="D6" s="1"/>
      <c r="E6" s="1"/>
      <c r="F6" s="3" t="s">
        <v>4</v>
      </c>
      <c r="G6" s="1"/>
      <c r="H6" s="1"/>
      <c r="I6" s="1"/>
      <c r="J6" s="1"/>
      <c r="K6" s="1"/>
      <c r="L6" s="1"/>
      <c r="M6" s="2"/>
    </row>
    <row r="7" spans="1:13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2"/>
    </row>
    <row r="8" spans="1:13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2"/>
    </row>
    <row r="9" spans="1:13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2"/>
    </row>
    <row r="10" spans="1:13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2"/>
    </row>
    <row r="11" spans="1:13" ht="24.5" x14ac:dyDescent="0.35">
      <c r="A11" s="4" t="s">
        <v>5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1"/>
      <c r="M11" s="2"/>
    </row>
    <row r="12" spans="1:13" ht="24.5" x14ac:dyDescent="0.35">
      <c r="A12" s="1"/>
      <c r="B12" s="5"/>
      <c r="C12" s="5"/>
      <c r="D12" s="5"/>
      <c r="E12" s="5"/>
      <c r="F12" s="5"/>
      <c r="G12" s="5"/>
      <c r="H12" s="5"/>
      <c r="I12" s="5"/>
      <c r="J12" s="5"/>
      <c r="K12" s="5"/>
      <c r="L12" s="1"/>
      <c r="M12" s="2"/>
    </row>
    <row r="13" spans="1:13" x14ac:dyDescent="0.35">
      <c r="A13" s="1"/>
      <c r="B13" s="6"/>
      <c r="C13" s="7"/>
      <c r="D13" s="7"/>
      <c r="E13" s="7"/>
      <c r="F13" s="8"/>
      <c r="G13" s="1"/>
      <c r="H13" s="6"/>
      <c r="I13" s="7"/>
      <c r="J13" s="7"/>
      <c r="K13" s="8"/>
      <c r="L13" s="1"/>
      <c r="M13" s="2"/>
    </row>
    <row r="14" spans="1:13" x14ac:dyDescent="0.35">
      <c r="A14" s="1"/>
      <c r="B14" s="9" t="s">
        <v>6</v>
      </c>
      <c r="C14" s="10" t="str">
        <f>VLOOKUP('[1]PV KERADENAN'!I14, '[1]DB PV KARADENAN'!B2:Q9995, 4, 0)</f>
        <v>RIZAL</v>
      </c>
      <c r="D14" s="10"/>
      <c r="E14" s="10"/>
      <c r="F14" s="11"/>
      <c r="G14" s="1"/>
      <c r="H14" s="9" t="s">
        <v>7</v>
      </c>
      <c r="I14" s="12" t="s">
        <v>8</v>
      </c>
      <c r="J14" s="12"/>
      <c r="K14" s="13"/>
      <c r="L14" s="1"/>
      <c r="M14" s="2"/>
    </row>
    <row r="15" spans="1:13" x14ac:dyDescent="0.35">
      <c r="A15" s="1"/>
      <c r="B15" s="14"/>
      <c r="C15" s="1"/>
      <c r="D15" s="1"/>
      <c r="E15" s="1"/>
      <c r="F15" s="15"/>
      <c r="G15" s="1"/>
      <c r="H15" s="16"/>
      <c r="I15" s="1"/>
      <c r="J15" s="1"/>
      <c r="K15" s="15"/>
      <c r="L15" s="1"/>
      <c r="M15" s="2"/>
    </row>
    <row r="16" spans="1:13" x14ac:dyDescent="0.35">
      <c r="A16" s="1"/>
      <c r="B16" s="14"/>
      <c r="C16" s="17" t="str">
        <f ca="1">VLOOKUP('[1]PV KERADENAN'!C14,OFFSET('[1]DB VENDOR &amp; CLIENT'!B2,0,0,COUNTA('[1]DB VENDOR &amp; CLIENT'!B:B)-1,5),2,0)</f>
        <v>CV Multi Rezeki</v>
      </c>
      <c r="D16" s="17"/>
      <c r="E16" s="17"/>
      <c r="F16" s="18"/>
      <c r="G16" s="1"/>
      <c r="H16" s="19" t="s">
        <v>9</v>
      </c>
      <c r="I16" s="20">
        <f>VLOOKUP('[1]PV KERADENAN'!I14, '[1]DB PV KARADENAN'!B2:Q9995, 3, 0)</f>
        <v>0</v>
      </c>
      <c r="J16" s="20"/>
      <c r="K16" s="21"/>
      <c r="L16" s="1"/>
      <c r="M16" s="2"/>
    </row>
    <row r="17" spans="1:13" x14ac:dyDescent="0.35">
      <c r="A17" s="1"/>
      <c r="B17" s="14"/>
      <c r="C17" s="17"/>
      <c r="D17" s="17"/>
      <c r="E17" s="17"/>
      <c r="F17" s="18"/>
      <c r="G17" s="1"/>
      <c r="H17" s="16"/>
      <c r="I17" s="1"/>
      <c r="J17" s="1"/>
      <c r="K17" s="15"/>
      <c r="L17" s="1"/>
      <c r="M17" s="2"/>
    </row>
    <row r="18" spans="1:13" x14ac:dyDescent="0.35">
      <c r="A18" s="1"/>
      <c r="B18" s="14"/>
      <c r="C18" s="17"/>
      <c r="D18" s="17"/>
      <c r="E18" s="17"/>
      <c r="F18" s="18"/>
      <c r="G18" s="1"/>
      <c r="H18" s="9" t="s">
        <v>10</v>
      </c>
      <c r="I18" s="22">
        <f>VLOOKUP('[1]PV KERADENAN'!I14, '[1]DB PV KARADENAN'!B2:Q9995, 2, 0)</f>
        <v>46230</v>
      </c>
      <c r="J18" s="22"/>
      <c r="K18" s="23"/>
      <c r="L18" s="1"/>
      <c r="M18" s="2"/>
    </row>
    <row r="19" spans="1:13" x14ac:dyDescent="0.35">
      <c r="A19" s="1"/>
      <c r="B19" s="24"/>
      <c r="C19" s="25"/>
      <c r="D19" s="25"/>
      <c r="E19" s="25"/>
      <c r="F19" s="26"/>
      <c r="G19" s="1"/>
      <c r="H19" s="24"/>
      <c r="I19" s="27"/>
      <c r="J19" s="27"/>
      <c r="K19" s="28"/>
      <c r="L19" s="1"/>
      <c r="M19" s="2"/>
    </row>
    <row r="20" spans="1:13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2"/>
      <c r="L20" s="12"/>
      <c r="M20" s="12"/>
    </row>
    <row r="21" spans="1:13" x14ac:dyDescent="0.35">
      <c r="A21" s="1"/>
      <c r="B21" s="29" t="str">
        <f>VLOOKUP('[1]PV KERADENAN'!I14, '[1]DB PV KARADENAN'!B2:Q9995, 7, 0)</f>
        <v>Pelunasan perbaikan 004/OPS-VII/2026</v>
      </c>
      <c r="C21" s="30"/>
      <c r="D21" s="30"/>
      <c r="E21" s="30"/>
      <c r="F21" s="30"/>
      <c r="G21" s="30"/>
      <c r="H21" s="30"/>
      <c r="I21" s="30"/>
      <c r="J21" s="30"/>
      <c r="K21" s="31"/>
      <c r="L21" s="1"/>
      <c r="M21" s="2"/>
    </row>
    <row r="22" spans="1:13" ht="42" x14ac:dyDescent="0.35">
      <c r="A22" s="1"/>
      <c r="B22" s="32" t="s">
        <v>11</v>
      </c>
      <c r="C22" s="33" t="s">
        <v>12</v>
      </c>
      <c r="D22" s="34"/>
      <c r="E22" s="35"/>
      <c r="F22" s="36" t="s">
        <v>13</v>
      </c>
      <c r="G22" s="37"/>
      <c r="H22" s="38"/>
      <c r="I22" s="38"/>
      <c r="J22" s="38"/>
      <c r="K22" s="36" t="s">
        <v>14</v>
      </c>
      <c r="L22" s="39"/>
      <c r="M22" s="40"/>
    </row>
    <row r="23" spans="1:13" x14ac:dyDescent="0.35">
      <c r="A23" s="1"/>
      <c r="B23" s="41"/>
      <c r="C23" s="41"/>
      <c r="D23" s="42"/>
      <c r="E23" s="43"/>
      <c r="F23" s="44"/>
      <c r="G23" s="42"/>
      <c r="H23" s="45"/>
      <c r="I23" s="45"/>
      <c r="J23" s="45"/>
      <c r="K23" s="46"/>
      <c r="L23" s="39"/>
      <c r="M23" s="40"/>
    </row>
    <row r="24" spans="1:13" ht="25" x14ac:dyDescent="0.35">
      <c r="A24" s="47"/>
      <c r="B24" s="48">
        <v>1</v>
      </c>
      <c r="C24" s="49">
        <f>VLOOKUP('[1]PV KERADENAN'!I14, '[1]DB PV KARADENAN'!B2:Q9995, 5, 0)</f>
        <v>0</v>
      </c>
      <c r="D24" s="50"/>
      <c r="E24" s="51"/>
      <c r="F24" s="52" t="str">
        <f>VLOOKUP('[1]PV KERADENAN'!I14, '[1]DB PV KARADENAN'!B2:Q9995, 6, 0)</f>
        <v>004/OPS-VII/2026</v>
      </c>
      <c r="G24" s="53"/>
      <c r="H24" s="54" t="s">
        <v>15</v>
      </c>
      <c r="I24" s="54"/>
      <c r="J24" s="54"/>
      <c r="K24" s="55">
        <f>VLOOKUP('[1]PV KERADENAN'!I14, '[1]DB PV KARADENAN'!B2:Q9995, 8, 0)</f>
        <v>9500000</v>
      </c>
      <c r="L24" s="47"/>
      <c r="M24" s="56"/>
    </row>
    <row r="25" spans="1:13" x14ac:dyDescent="0.35">
      <c r="A25" s="1"/>
      <c r="B25" s="57"/>
      <c r="C25" s="58"/>
      <c r="D25" s="53"/>
      <c r="E25" s="59"/>
      <c r="F25" s="60"/>
      <c r="G25" s="61"/>
      <c r="H25" s="62" t="s">
        <v>16</v>
      </c>
      <c r="I25" s="63"/>
      <c r="J25" s="63"/>
      <c r="K25" s="64">
        <f>VLOOKUP('[1]PV KERADENAN'!I14, '[1]DB PV KARADENAN'!B2:Q9995, 9, 0)</f>
        <v>0</v>
      </c>
      <c r="L25" s="1"/>
      <c r="M25" s="2"/>
    </row>
    <row r="26" spans="1:13" x14ac:dyDescent="0.35">
      <c r="A26" s="1"/>
      <c r="B26" s="57"/>
      <c r="C26" s="58"/>
      <c r="D26" s="53"/>
      <c r="E26" s="59"/>
      <c r="F26" s="60"/>
      <c r="G26" s="61"/>
      <c r="H26" s="65" t="s">
        <v>17</v>
      </c>
      <c r="I26" s="62" t="str">
        <f>IFERROR(IF(VLOOKUP('[1]PV KERADENAN'!I14, '[1]DB PV KARADENAN'!B2:Q995, 10, 0) = 0, "", VLOOKUP('[1]PV KERADENAN'!I14, '[1]DB PV KARADENAN'!B2:Q995, 10, 0)), "")</f>
        <v/>
      </c>
      <c r="J26" s="63"/>
      <c r="K26" s="64">
        <f>VLOOKUP('[1]PV KERADENAN'!I14, '[1]DB PV KARADENAN'!B2:Q9995, 12, 0)</f>
        <v>0</v>
      </c>
      <c r="L26" s="66"/>
      <c r="M26" s="2"/>
    </row>
    <row r="27" spans="1:13" x14ac:dyDescent="0.35">
      <c r="A27" s="1"/>
      <c r="B27" s="67"/>
      <c r="C27" s="68"/>
      <c r="D27" s="54"/>
      <c r="E27" s="69"/>
      <c r="F27" s="70"/>
      <c r="G27" s="71"/>
      <c r="H27" s="62" t="s">
        <v>18</v>
      </c>
      <c r="I27" s="62"/>
      <c r="J27" s="63"/>
      <c r="K27" s="72">
        <f>VLOOKUP('[1]PV KERADENAN'!I14, '[1]DB PV KARADENAN'!B2:Q9995, 13, 0)</f>
        <v>0</v>
      </c>
      <c r="L27" s="1"/>
      <c r="M27" s="2"/>
    </row>
    <row r="28" spans="1:13" x14ac:dyDescent="0.35">
      <c r="A28" s="1"/>
      <c r="B28" s="67"/>
      <c r="C28" s="68"/>
      <c r="D28" s="54"/>
      <c r="E28" s="69"/>
      <c r="F28" s="70"/>
      <c r="G28" s="71"/>
      <c r="H28" s="73" t="s">
        <v>19</v>
      </c>
      <c r="I28" s="71"/>
      <c r="J28" s="71"/>
      <c r="K28" s="74">
        <f>VLOOKUP('[1]PV KERADENAN'!I14, '[1]DB PV KARADENAN'!B2:Q9995, 14, 0)</f>
        <v>0</v>
      </c>
      <c r="L28" s="1"/>
      <c r="M28" s="2"/>
    </row>
    <row r="29" spans="1:13" x14ac:dyDescent="0.35">
      <c r="A29" s="1"/>
      <c r="B29" s="75"/>
      <c r="C29" s="76"/>
      <c r="D29" s="77"/>
      <c r="E29" s="78"/>
      <c r="F29" s="79"/>
      <c r="G29" s="1"/>
      <c r="H29" s="1" t="s">
        <v>20</v>
      </c>
      <c r="I29" s="1"/>
      <c r="J29" s="1"/>
      <c r="K29" s="80"/>
      <c r="L29" s="1"/>
      <c r="M29" s="2"/>
    </row>
    <row r="30" spans="1:13" x14ac:dyDescent="0.35">
      <c r="A30" s="1"/>
      <c r="B30" s="81" t="s">
        <v>34</v>
      </c>
      <c r="C30" s="82"/>
      <c r="D30" s="82"/>
      <c r="E30" s="82"/>
      <c r="F30" s="82"/>
      <c r="G30" s="82"/>
      <c r="H30" s="82"/>
      <c r="I30" s="82"/>
      <c r="J30" s="82"/>
      <c r="K30" s="83">
        <f>SUM(K23:K29)</f>
        <v>9500000</v>
      </c>
      <c r="L30" s="1"/>
      <c r="M30" s="2"/>
    </row>
    <row r="31" spans="1:13" ht="15" thickBot="1" x14ac:dyDescent="0.4">
      <c r="A31" s="1"/>
      <c r="B31" s="84"/>
      <c r="C31" s="47"/>
      <c r="D31" s="47"/>
      <c r="E31" s="85"/>
      <c r="F31" s="1"/>
      <c r="G31" s="1"/>
      <c r="H31" s="1"/>
      <c r="I31" s="1"/>
      <c r="J31" s="1"/>
      <c r="K31" s="1"/>
      <c r="L31" s="1"/>
      <c r="M31" s="2"/>
    </row>
    <row r="32" spans="1:13" x14ac:dyDescent="0.35">
      <c r="A32" s="1"/>
      <c r="B32" s="86" t="s">
        <v>21</v>
      </c>
      <c r="C32" s="87"/>
      <c r="D32" s="88" t="s">
        <v>22</v>
      </c>
      <c r="E32" s="89">
        <f ca="1">VLOOKUP('[1]PV KERADENAN'!C14,OFFSET('[1]DB VENDOR &amp; CLIENT'!B2,0,0,COUNTA('[1]DB VENDOR &amp; CLIENT'!B:B)-1,5),3,0)</f>
        <v>113007297918</v>
      </c>
      <c r="F32" s="90"/>
      <c r="G32" s="90"/>
      <c r="H32" s="90"/>
      <c r="I32" s="90"/>
      <c r="J32" s="90"/>
      <c r="K32" s="91"/>
      <c r="L32" s="1"/>
      <c r="M32" s="2"/>
    </row>
    <row r="33" spans="1:13" x14ac:dyDescent="0.35">
      <c r="A33" s="1"/>
      <c r="B33" s="92" t="s">
        <v>23</v>
      </c>
      <c r="C33" s="93"/>
      <c r="D33" s="94" t="s">
        <v>22</v>
      </c>
      <c r="E33" s="95" t="str">
        <f ca="1">VLOOKUP('[1]PV KERADENAN'!C14,OFFSET('[1]DB VENDOR &amp; CLIENT'!B2,0,0,COUNTA('[1]DB VENDOR &amp; CLIENT'!B:B)-1,5),4,0)</f>
        <v>Rizal</v>
      </c>
      <c r="F33" s="96"/>
      <c r="G33" s="96"/>
      <c r="H33" s="96"/>
      <c r="I33" s="96"/>
      <c r="J33" s="96"/>
      <c r="K33" s="97"/>
      <c r="L33" s="96"/>
      <c r="M33" s="98"/>
    </row>
    <row r="34" spans="1:13" ht="15" thickBot="1" x14ac:dyDescent="0.4">
      <c r="A34" s="1"/>
      <c r="B34" s="99" t="s">
        <v>24</v>
      </c>
      <c r="C34" s="100"/>
      <c r="D34" s="101" t="s">
        <v>22</v>
      </c>
      <c r="E34" s="102" t="str">
        <f ca="1">VLOOKUP('[1]PV KERADENAN'!C14,OFFSET('[1]DB VENDOR &amp; CLIENT'!B2,0,0,COUNTA('[1]DB VENDOR &amp; CLIENT'!B:B)-1,5),5,0)</f>
        <v>Mandiri</v>
      </c>
      <c r="F34" s="103"/>
      <c r="G34" s="103"/>
      <c r="H34" s="103"/>
      <c r="I34" s="103"/>
      <c r="J34" s="103"/>
      <c r="K34" s="104"/>
      <c r="L34" s="1"/>
      <c r="M34" s="2"/>
    </row>
    <row r="35" spans="1:13" x14ac:dyDescent="0.35">
      <c r="A35" s="1"/>
      <c r="B35" s="105"/>
      <c r="C35" s="106"/>
      <c r="D35" s="47"/>
      <c r="E35" s="47"/>
      <c r="F35" s="1"/>
      <c r="G35" s="1"/>
      <c r="H35" s="1"/>
      <c r="I35" s="1"/>
      <c r="J35" s="1"/>
      <c r="K35" s="1"/>
      <c r="L35" s="1"/>
      <c r="M35" s="2"/>
    </row>
    <row r="36" spans="1:13" x14ac:dyDescent="0.35">
      <c r="A36" s="1"/>
      <c r="B36" s="107" t="s">
        <v>25</v>
      </c>
      <c r="C36" s="107"/>
      <c r="D36" s="108" t="s">
        <v>22</v>
      </c>
      <c r="E36" s="77" t="s">
        <v>26</v>
      </c>
      <c r="F36" s="27"/>
      <c r="G36" s="1"/>
      <c r="H36" s="3" t="s">
        <v>27</v>
      </c>
      <c r="I36" s="1"/>
      <c r="J36" s="109" t="s">
        <v>28</v>
      </c>
      <c r="K36" s="109"/>
      <c r="L36" s="1"/>
      <c r="M36" s="2"/>
    </row>
    <row r="37" spans="1:13" x14ac:dyDescent="0.35">
      <c r="A37" s="1"/>
      <c r="B37" s="107" t="s">
        <v>29</v>
      </c>
      <c r="C37" s="107"/>
      <c r="D37" s="108" t="s">
        <v>22</v>
      </c>
      <c r="E37" s="110">
        <f>VLOOKUP('[1]PV KERADENAN'!I14, '[1]DB PV KARADENAN'!B2:Q9995, 16, 0)</f>
        <v>46230</v>
      </c>
      <c r="F37" s="111"/>
      <c r="G37" s="1"/>
      <c r="H37" s="3"/>
      <c r="I37" s="1"/>
      <c r="J37" s="112"/>
      <c r="K37" s="112"/>
      <c r="L37" s="1"/>
      <c r="M37" s="2"/>
    </row>
    <row r="38" spans="1:13" x14ac:dyDescent="0.35">
      <c r="A38" s="1"/>
      <c r="B38" s="107" t="s">
        <v>30</v>
      </c>
      <c r="C38" s="107"/>
      <c r="D38" s="108" t="s">
        <v>22</v>
      </c>
      <c r="E38" s="110" t="s">
        <v>31</v>
      </c>
      <c r="F38" s="111"/>
      <c r="G38" s="1"/>
      <c r="H38" s="3" t="s">
        <v>32</v>
      </c>
      <c r="I38" s="1"/>
      <c r="J38" s="109" t="s">
        <v>33</v>
      </c>
      <c r="K38" s="109"/>
      <c r="L38" s="1"/>
      <c r="M38" s="2"/>
    </row>
    <row r="39" spans="1:13" ht="22.5" x14ac:dyDescent="0.35">
      <c r="A39" s="1"/>
      <c r="B39" s="113"/>
      <c r="C39" s="114"/>
      <c r="D39" s="114"/>
      <c r="E39" s="114"/>
      <c r="F39" s="115"/>
      <c r="G39" s="115"/>
      <c r="H39" s="115"/>
      <c r="I39" s="115"/>
      <c r="J39" s="115"/>
      <c r="K39" s="115"/>
      <c r="L39" s="1"/>
      <c r="M39" s="2"/>
    </row>
  </sheetData>
  <mergeCells count="17">
    <mergeCell ref="B33:C33"/>
    <mergeCell ref="B34:C34"/>
    <mergeCell ref="B36:C36"/>
    <mergeCell ref="B37:C37"/>
    <mergeCell ref="B38:C38"/>
    <mergeCell ref="K20:M20"/>
    <mergeCell ref="B21:K21"/>
    <mergeCell ref="C22:E22"/>
    <mergeCell ref="C24:E24"/>
    <mergeCell ref="B30:J30"/>
    <mergeCell ref="B32:C32"/>
    <mergeCell ref="A11:K11"/>
    <mergeCell ref="C14:F14"/>
    <mergeCell ref="I14:K14"/>
    <mergeCell ref="C16:F19"/>
    <mergeCell ref="I16:K16"/>
    <mergeCell ref="I18:K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 Indonesia</cp:lastModifiedBy>
  <dcterms:created xsi:type="dcterms:W3CDTF">2015-06-05T18:17:20Z</dcterms:created>
  <dcterms:modified xsi:type="dcterms:W3CDTF">2026-10-14T12:27:55Z</dcterms:modified>
</cp:coreProperties>
</file>